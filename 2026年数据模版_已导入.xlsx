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400" tabRatio="701" firstSheet="0" activeTab="0" autoFilterDateGrouping="1"/>
  </bookViews>
  <sheets>
    <sheet xmlns:r="http://schemas.openxmlformats.org/officeDocument/2006/relationships" name="年终奖分配明细表-国内" sheetId="1" state="visible" r:id="rId1"/>
    <sheet xmlns:r="http://schemas.openxmlformats.org/officeDocument/2006/relationships" name="年终奖分配明细表-海外" sheetId="2" state="visible" r:id="rId2"/>
    <sheet xmlns:r="http://schemas.openxmlformats.org/officeDocument/2006/relationships" name="汇率" sheetId="3" state="visible" r:id="rId3"/>
  </sheets>
  <definedNames>
    <definedName name="IQ_DNTM" hidden="1">700000</definedName>
    <definedName name="IQ_EXPENSE_CODE_" hidden="1">"research"</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"07/29/2019 06:49:38"</definedName>
    <definedName name="IQ_QTD" hidden="1">750000</definedName>
    <definedName name="IQ_TODAY" hidden="1">0</definedName>
    <definedName name="IQ_YTDMONTH" hidden="1">130000</definedName>
  </definedNames>
  <calcPr calcId="191029" fullCalcOnLoad="1"/>
</workbook>
</file>

<file path=xl/styles.xml><?xml version="1.0" encoding="utf-8"?>
<styleSheet xmlns="http://schemas.openxmlformats.org/spreadsheetml/2006/main">
  <numFmts count="13">
    <numFmt numFmtId="164" formatCode="yyyy/mm/dd"/>
    <numFmt numFmtId="165" formatCode="0.00_ "/>
    <numFmt numFmtId="166" formatCode="#,##0.00_ "/>
    <numFmt numFmtId="167" formatCode="0.00_);[Red]\(0.00\)"/>
    <numFmt numFmtId="168" formatCode="yyyy/m/d;@"/>
    <numFmt numFmtId="169" formatCode="0.000000_ "/>
    <numFmt numFmtId="170" formatCode="0;[Red]0"/>
    <numFmt numFmtId="171" formatCode="#,##0_ "/>
    <numFmt numFmtId="172" formatCode="_ &quot;¥&quot;* #,##0.00_ ;_ &quot;¥&quot;* \-#,##0.00_ ;_ &quot;¥&quot;* &quot;-&quot;??_ ;_ @_ "/>
    <numFmt numFmtId="173" formatCode="_ &quot;¥&quot;* #,##0_ ;_ &quot;¥&quot;* \-#,##0_ ;_ &quot;¥&quot;* &quot;-&quot;_ ;_ @_ "/>
    <numFmt numFmtId="174" formatCode="_ * #,##0.00_ ;_ * \-#,##0.00_ ;_ * &quot;-&quot;??_ ;_ @_ "/>
    <numFmt numFmtId="175" formatCode="_ * #,##0_ ;_ * \-#,##0_ ;_ * &quot;-&quot;_ ;_ @_ "/>
    <numFmt numFmtId="176" formatCode="yyyy-mm-dd h:mm:ss"/>
  </numFmts>
  <fonts count="70">
    <font>
      <name val="Tahoma"/>
      <family val="2"/>
      <sz val="10"/>
    </font>
    <font>
      <name val="Arial"/>
      <family val="2"/>
      <sz val="10"/>
    </font>
    <font>
      <name val="微软雅黑"/>
      <charset val="134"/>
      <family val="2"/>
      <b val="1"/>
      <sz val="9"/>
    </font>
    <font>
      <name val="Arial"/>
      <family val="2"/>
      <b val="1"/>
      <sz val="9"/>
    </font>
    <font>
      <name val="Arial"/>
      <family val="2"/>
      <sz val="9"/>
    </font>
    <font>
      <name val="Arial"/>
      <family val="2"/>
      <b val="1"/>
      <color theme="0" tint="-0.4987029633472701"/>
      <sz val="9"/>
    </font>
    <font>
      <name val="微软雅黑"/>
      <charset val="134"/>
      <family val="2"/>
      <color rgb="FFFF0000"/>
      <sz val="10"/>
    </font>
    <font>
      <name val="宋体"/>
      <charset val="134"/>
      <family val="2"/>
      <color theme="1"/>
      <sz val="11"/>
      <scheme val="minor"/>
    </font>
    <font>
      <name val="Arial"/>
      <family val="2"/>
      <b val="1"/>
      <color theme="1"/>
      <sz val="9"/>
    </font>
    <font>
      <name val="微软雅黑"/>
      <charset val="134"/>
      <family val="2"/>
      <b val="1"/>
      <color theme="1"/>
      <sz val="9"/>
    </font>
    <font>
      <name val="Arial"/>
      <family val="2"/>
      <color theme="0" tint="-0.3485213782158879"/>
      <sz val="9"/>
    </font>
    <font>
      <name val="Arial"/>
      <family val="2"/>
      <color rgb="FFFF0000"/>
      <sz val="9"/>
    </font>
    <font>
      <name val="微软雅黑"/>
      <charset val="134"/>
      <family val="2"/>
      <b val="1"/>
      <color rgb="FFFF0000"/>
      <sz val="9"/>
    </font>
    <font>
      <name val="Arial"/>
      <family val="2"/>
      <b val="1"/>
      <color rgb="FFFF0000"/>
      <sz val="11"/>
    </font>
    <font>
      <name val="微软雅黑"/>
      <charset val="134"/>
      <family val="2"/>
      <b val="1"/>
      <color rgb="FFFF0000"/>
      <sz val="11"/>
    </font>
    <font>
      <name val="Arial"/>
      <family val="2"/>
      <b val="1"/>
      <color rgb="FF0066FF"/>
      <sz val="9"/>
    </font>
    <font>
      <name val="微软雅黑"/>
      <charset val="134"/>
      <family val="2"/>
      <b val="1"/>
      <color rgb="FF0066FF"/>
      <sz val="9"/>
    </font>
    <font>
      <name val="Arial"/>
      <family val="2"/>
      <b val="1"/>
      <color rgb="FFFF0000"/>
      <sz val="9"/>
    </font>
    <font>
      <name val="Arial"/>
      <family val="2"/>
      <sz val="18"/>
    </font>
    <font>
      <name val="Arial"/>
      <family val="2"/>
      <color rgb="FFFF0000"/>
      <sz val="10"/>
    </font>
    <font>
      <name val="Arial"/>
      <family val="2"/>
      <b val="1"/>
      <color rgb="FFFF0000"/>
      <sz val="10"/>
    </font>
    <font>
      <name val="Arial"/>
      <family val="2"/>
      <color theme="0" tint="-0.347422711874752"/>
      <sz val="10"/>
    </font>
    <font>
      <name val="Arial"/>
      <family val="2"/>
      <b val="1"/>
      <color theme="0" tint="-0.4991912594988861"/>
      <sz val="9"/>
    </font>
    <font>
      <name val="微软雅黑"/>
      <charset val="134"/>
      <family val="2"/>
      <b val="1"/>
      <color theme="0" tint="-0.4991912594988861"/>
      <sz val="9"/>
    </font>
    <font>
      <name val="Arial"/>
      <family val="2"/>
      <b val="1"/>
      <color rgb="FF00B050"/>
      <sz val="10"/>
    </font>
    <font>
      <name val="Arial"/>
      <family val="2"/>
      <color theme="0"/>
      <sz val="10"/>
    </font>
    <font>
      <name val="Arial"/>
      <family val="2"/>
      <color theme="0"/>
      <sz val="9"/>
    </font>
    <font>
      <name val="Arial"/>
      <family val="2"/>
      <b val="1"/>
      <color theme="0"/>
      <sz val="9"/>
    </font>
    <font>
      <name val="Tahoma"/>
      <family val="2"/>
      <color rgb="FFFF0000"/>
      <sz val="10"/>
    </font>
    <font>
      <name val="宋体"/>
      <charset val="134"/>
      <family val="2"/>
      <sz val="10"/>
    </font>
    <font>
      <name val="Arial"/>
      <family val="2"/>
      <b val="1"/>
      <color theme="0" tint="-0.4989471114230781"/>
      <sz val="9"/>
    </font>
    <font>
      <name val="微软雅黑"/>
      <charset val="134"/>
      <family val="2"/>
      <b val="1"/>
      <color theme="0" tint="-0.4989471114230781"/>
      <sz val="9"/>
    </font>
    <font>
      <name val="Arial"/>
      <family val="2"/>
      <b val="1"/>
      <color theme="1" tint="0.499679555650502"/>
      <sz val="9"/>
    </font>
    <font>
      <name val="微软雅黑"/>
      <charset val="134"/>
      <family val="2"/>
      <b val="1"/>
      <color theme="1" tint="0.499679555650502"/>
      <sz val="9"/>
    </font>
    <font>
      <name val="Arial"/>
      <family val="2"/>
      <b val="1"/>
      <color theme="0" tint="-0.4986419263283181"/>
      <sz val="9"/>
    </font>
    <font>
      <name val="Arial"/>
      <family val="2"/>
      <color theme="1"/>
      <sz val="9"/>
    </font>
    <font>
      <name val="微软雅黑"/>
      <charset val="134"/>
      <family val="2"/>
      <color theme="1"/>
      <sz val="9"/>
    </font>
    <font>
      <name val="Arial"/>
      <family val="2"/>
      <color theme="0" tint="-0.4993133335367901"/>
      <sz val="9"/>
    </font>
    <font>
      <name val="Arial"/>
      <family val="2"/>
      <b val="1"/>
      <color theme="0" tint="-0.4993438520462661"/>
      <sz val="9"/>
    </font>
    <font>
      <name val="微软雅黑"/>
      <charset val="134"/>
      <family val="2"/>
      <b val="1"/>
      <color theme="0" tint="-0.4989776299325541"/>
      <sz val="9"/>
    </font>
    <font>
      <name val="Arial"/>
      <family val="2"/>
      <color rgb="FF000000"/>
      <sz val="9"/>
    </font>
    <font>
      <name val="微软雅黑"/>
      <charset val="134"/>
      <family val="2"/>
      <color rgb="FF000000"/>
      <sz val="9"/>
    </font>
    <font>
      <name val="宋体"/>
      <charset val="134"/>
      <family val="2"/>
      <color rgb="FF000000"/>
      <sz val="9"/>
    </font>
    <font>
      <name val="Arial"/>
      <family val="2"/>
      <b val="1"/>
      <color theme="0" tint="-0.4988250373851741"/>
      <sz val="9"/>
    </font>
    <font>
      <name val="Arial"/>
      <family val="2"/>
      <b val="1"/>
      <color theme="0" tint="-0.4980315561387982"/>
      <sz val="9"/>
    </font>
    <font>
      <name val="微软雅黑"/>
      <charset val="134"/>
      <family val="2"/>
      <b val="1"/>
      <color theme="0" tint="-0.4993438520462661"/>
      <sz val="9"/>
    </font>
    <font>
      <name val="Arial"/>
      <family val="2"/>
      <color rgb="FFFF0000"/>
      <sz val="8"/>
    </font>
    <font>
      <name val="Arial"/>
      <family val="2"/>
      <b val="1"/>
      <color theme="0" tint="-0.4989776299325541"/>
      <sz val="9"/>
    </font>
    <font>
      <name val="Microsoft YaHei"/>
      <charset val="134"/>
      <family val="2"/>
      <b val="1"/>
      <sz val="9"/>
    </font>
    <font>
      <name val="Arial"/>
      <family val="2"/>
      <b val="1"/>
      <color theme="0" tint="-0.49961851863155"/>
      <sz val="9"/>
    </font>
    <font>
      <name val="Microsoft YaHei"/>
      <charset val="134"/>
      <family val="2"/>
      <b val="1"/>
      <color theme="0" tint="-0.49961851863155"/>
      <sz val="9"/>
    </font>
    <font>
      <name val="Arial"/>
      <family val="2"/>
      <b val="1"/>
      <color theme="0" tint="-0.4992522965178381"/>
      <sz val="9"/>
    </font>
    <font>
      <name val="Microsoft YaHei"/>
      <charset val="134"/>
      <family val="2"/>
      <b val="1"/>
      <color theme="0" tint="-0.4992522965178381"/>
      <sz val="9"/>
    </font>
    <font>
      <name val="Arial"/>
      <family val="2"/>
      <b val="1"/>
      <color theme="0" tint="-0.4992828150273141"/>
      <sz val="9"/>
    </font>
    <font>
      <name val="Microsoft YaHei"/>
      <charset val="134"/>
      <family val="2"/>
      <b val="1"/>
      <color theme="0" tint="-0.4992828150273141"/>
      <sz val="9"/>
    </font>
    <font>
      <name val="Arial"/>
      <family val="2"/>
      <b val="1"/>
      <color theme="0" tint="-0.4993133335367901"/>
      <sz val="9"/>
    </font>
    <font>
      <name val="Microsoft YaHei"/>
      <charset val="134"/>
      <family val="2"/>
      <color rgb="FF000000"/>
      <sz val="9"/>
    </font>
    <font>
      <name val="Microsoft YaHei"/>
      <charset val="134"/>
      <family val="2"/>
      <b val="1"/>
      <color theme="0" tint="-0.4993438520462661"/>
      <sz val="9"/>
    </font>
    <font>
      <name val="Arial"/>
      <family val="2"/>
      <b val="1"/>
      <color theme="0" tint="-0.4993743705557421"/>
      <sz val="9"/>
    </font>
    <font>
      <name val="微软雅黑"/>
      <charset val="134"/>
      <family val="2"/>
      <b val="1"/>
      <color theme="0" tint="-0.4993743705557421"/>
      <sz val="9"/>
    </font>
    <font>
      <name val="Arial"/>
      <family val="2"/>
      <color rgb="FFFF0000"/>
      <sz val="18"/>
    </font>
    <font>
      <name val="Arial"/>
      <family val="2"/>
      <b val="1"/>
      <color theme="0" tint="-0.499893185216834"/>
      <sz val="9"/>
    </font>
    <font>
      <name val="微软雅黑"/>
      <charset val="134"/>
      <family val="2"/>
      <b val="1"/>
      <color theme="0" tint="-0.499893185216834"/>
      <sz val="9"/>
    </font>
    <font>
      <name val="Arial"/>
      <family val="2"/>
      <b val="1"/>
      <color theme="0" tint="-0.4990386669515061"/>
      <sz val="9"/>
    </font>
    <font>
      <name val="宋体"/>
      <charset val="134"/>
      <family val="2"/>
      <b val="1"/>
      <color rgb="FF000000"/>
      <sz val="9"/>
    </font>
    <font>
      <name val="Arial"/>
      <family val="2"/>
      <b val="1"/>
      <color theme="0" tint="-0.49977111117893"/>
      <sz val="9"/>
    </font>
    <font>
      <name val="微软雅黑"/>
      <charset val="134"/>
      <family val="2"/>
      <b val="1"/>
      <color theme="0" tint="-0.49977111117893"/>
      <sz val="9"/>
    </font>
    <font>
      <name val="Microsoft YaHei"/>
      <charset val="134"/>
      <family val="2"/>
      <b val="1"/>
      <color rgb="FFFF0000"/>
      <sz val="9"/>
    </font>
    <font>
      <name val="Tahoma"/>
      <family val="2"/>
      <sz val="10"/>
    </font>
    <font>
      <name val="FangSong"/>
      <charset val="134"/>
      <family val="3"/>
      <sz val="9"/>
    </font>
  </fonts>
  <fills count="36">
    <fill>
      <patternFill/>
    </fill>
    <fill>
      <patternFill patternType="gray125"/>
    </fill>
    <fill>
      <patternFill patternType="solid">
        <fgColor indexed="26"/>
        <bgColor indexed="64"/>
      </patternFill>
    </fill>
    <fill>
      <patternFill patternType="solid">
        <fgColor theme="0" tint="-0.04870754112369152"/>
        <bgColor indexed="64"/>
      </patternFill>
    </fill>
    <fill>
      <patternFill patternType="solid">
        <fgColor theme="0" tint="-0.1487166966765343"/>
        <bgColor indexed="64"/>
      </patternFill>
    </fill>
    <fill>
      <patternFill patternType="solid">
        <fgColor theme="0" tint="-0.1481063264870144"/>
        <bgColor indexed="64"/>
      </patternFill>
    </fill>
    <fill>
      <patternFill patternType="solid">
        <fgColor theme="0" tint="-0.1481368449964904"/>
        <bgColor indexed="64"/>
      </patternFill>
    </fill>
    <fill>
      <patternFill patternType="solid">
        <fgColor theme="0" tint="-0.04812768944364757"/>
        <bgColor indexed="64"/>
      </patternFill>
    </fill>
    <fill>
      <patternFill patternType="solid">
        <fgColor rgb="FFCCECFF"/>
        <bgColor indexed="64"/>
      </patternFill>
    </fill>
    <fill>
      <patternFill patternType="solid">
        <fgColor indexed="27"/>
        <bgColor indexed="64"/>
      </patternFill>
    </fill>
    <fill>
      <patternFill patternType="solid">
        <fgColor indexed="42"/>
        <bgColor indexed="64"/>
      </patternFill>
    </fill>
    <fill>
      <patternFill patternType="solid">
        <fgColor theme="0"/>
        <bgColor indexed="64"/>
      </patternFill>
    </fill>
    <fill>
      <patternFill patternType="solid">
        <fgColor theme="0" tint="-0.04867702261421552"/>
        <bgColor indexed="64"/>
      </patternFill>
    </fill>
    <fill>
      <patternFill patternType="solid">
        <fgColor theme="0" tint="-0.1486861781670583"/>
        <bgColor indexed="64"/>
      </patternFill>
    </fill>
    <fill>
      <patternFill patternType="solid">
        <fgColor theme="0" tint="-0.1491744743186743"/>
        <bgColor indexed="64"/>
      </patternFill>
    </fill>
    <fill>
      <patternFill patternType="solid">
        <fgColor theme="0" tint="-0.1490524002807703"/>
        <bgColor indexed="64"/>
      </patternFill>
    </fill>
    <fill>
      <patternFill patternType="solid">
        <fgColor theme="0" tint="-0.04806665242469558"/>
        <bgColor indexed="64"/>
      </patternFill>
    </fill>
    <fill>
      <patternFill patternType="solid">
        <fgColor theme="0" tint="-0.1486556596575823"/>
        <bgColor indexed="64"/>
      </patternFill>
    </fill>
    <fill>
      <patternFill patternType="solid">
        <fgColor theme="0" tint="-0.2477187414166692"/>
        <bgColor indexed="64"/>
      </patternFill>
    </fill>
    <fill>
      <patternFill patternType="solid">
        <fgColor theme="0" tint="-0.1491439558091983"/>
        <bgColor indexed="64"/>
      </patternFill>
    </fill>
    <fill>
      <patternFill patternType="solid">
        <fgColor theme="0" tint="-0.1485335856196783"/>
        <bgColor indexed="64"/>
      </patternFill>
    </fill>
    <fill>
      <patternFill patternType="solid">
        <fgColor theme="3" tint="0.7998596148564104"/>
        <bgColor indexed="64"/>
      </patternFill>
    </fill>
    <fill>
      <patternFill patternType="solid">
        <fgColor theme="0" tint="-0.1494491409039582"/>
        <bgColor indexed="64"/>
      </patternFill>
    </fill>
    <fill>
      <patternFill patternType="solid">
        <fgColor theme="0" tint="-0.0478225043488876"/>
        <bgColor indexed="64"/>
      </patternFill>
    </fill>
    <fill>
      <patternFill patternType="solid">
        <fgColor theme="0" tint="-0.04794457838679159"/>
        <bgColor indexed="64"/>
      </patternFill>
    </fill>
    <fill>
      <patternFill patternType="solid">
        <fgColor theme="0" tint="-0.04730368968779565"/>
        <bgColor indexed="64"/>
      </patternFill>
    </fill>
    <fill>
      <patternFill patternType="solid">
        <fgColor theme="0" tint="-0.04733420819727165"/>
        <bgColor indexed="64"/>
      </patternFill>
    </fill>
    <fill>
      <patternFill patternType="solid">
        <fgColor theme="0" tint="-0.04742576372569964"/>
        <bgColor indexed="64"/>
      </patternFill>
    </fill>
    <fill>
      <patternFill patternType="solid">
        <fgColor theme="0" tint="-0.04858546708578753"/>
        <bgColor indexed="64"/>
      </patternFill>
    </fill>
    <fill>
      <patternFill patternType="solid">
        <fgColor theme="0" tint="-0.04879909665211951"/>
        <bgColor indexed="64"/>
      </patternFill>
    </fill>
    <fill>
      <patternFill patternType="solid">
        <fgColor theme="0" tint="-0.1488692892239143"/>
        <bgColor indexed="64"/>
      </patternFill>
    </fill>
    <fill>
      <patternFill patternType="solid">
        <fgColor theme="0" tint="-0.1491134372997223"/>
        <bgColor indexed="64"/>
      </patternFill>
    </fill>
    <fill>
      <patternFill patternType="solid">
        <fgColor theme="0" tint="-0.1492355113376263"/>
        <bgColor indexed="64"/>
      </patternFill>
    </fill>
    <fill>
      <patternFill patternType="solid">
        <fgColor theme="0" tint="-0.1488387707144383"/>
        <bgColor indexed="64"/>
      </patternFill>
    </fill>
    <fill>
      <patternFill patternType="solid">
        <fgColor theme="0" tint="-0.1492965483565783"/>
        <bgColor indexed="64"/>
      </patternFill>
    </fill>
    <fill>
      <patternFill patternType="solid">
        <fgColor rgb="FFCCFFFF"/>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diagonal/>
    </border>
    <border>
      <left style="thin">
        <color auto="1"/>
      </left>
      <right style="thin">
        <color auto="1"/>
      </right>
      <top/>
      <bottom/>
      <diagonal/>
    </border>
    <border>
      <left/>
      <right/>
      <top/>
      <bottom style="thin">
        <color auto="1"/>
      </bottom>
      <diagonal/>
    </border>
    <border>
      <left/>
      <right/>
      <top style="medium">
        <color auto="1"/>
      </top>
      <bottom/>
      <diagonal/>
    </border>
  </borders>
  <cellStyleXfs count="14">
    <xf numFmtId="3" fontId="68" fillId="0" borderId="0"/>
    <xf numFmtId="9" fontId="1" fillId="0" borderId="0"/>
    <xf numFmtId="172" fontId="1" fillId="0" borderId="0"/>
    <xf numFmtId="173" fontId="1" fillId="0" borderId="0"/>
    <xf numFmtId="174" fontId="1" fillId="0" borderId="0"/>
    <xf numFmtId="175" fontId="1" fillId="0" borderId="0"/>
    <xf numFmtId="3" fontId="68" fillId="0" borderId="0"/>
    <xf numFmtId="0" fontId="7" fillId="0" borderId="0" applyAlignment="1">
      <alignment vertical="center"/>
    </xf>
    <xf numFmtId="174" fontId="1" fillId="0" borderId="0" applyAlignment="1">
      <alignment vertical="center"/>
    </xf>
    <xf numFmtId="0" fontId="7" fillId="0" borderId="0" applyAlignment="1">
      <alignment vertical="center"/>
    </xf>
    <xf numFmtId="9" fontId="68" fillId="0" borderId="0" applyAlignment="1">
      <alignment vertical="center"/>
    </xf>
    <xf numFmtId="3" fontId="7" fillId="0" borderId="0"/>
    <xf numFmtId="3" fontId="7" fillId="0" borderId="0"/>
    <xf numFmtId="174" fontId="7" fillId="0" borderId="0" applyAlignment="1">
      <alignment vertical="center"/>
    </xf>
  </cellStyleXfs>
  <cellXfs count="190">
    <xf numFmtId="3" fontId="0" fillId="0" borderId="0" pivotButton="0" quotePrefix="0" xfId="0"/>
    <xf numFmtId="3" fontId="4" fillId="0" borderId="1" applyAlignment="1" pivotButton="0" quotePrefix="0" xfId="0">
      <alignment vertical="center"/>
    </xf>
    <xf numFmtId="0"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3" fillId="2" borderId="3" applyAlignment="1" pivotButton="0" quotePrefix="0" xfId="0">
      <alignment horizontal="center" vertical="center" wrapText="1"/>
    </xf>
    <xf numFmtId="0" fontId="3" fillId="2" borderId="1" applyAlignment="1" pivotButton="0" quotePrefix="0" xfId="6">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10" fillId="4" borderId="3" pivotButton="0" quotePrefix="0" xfId="0"/>
    <xf numFmtId="0" fontId="11" fillId="4" borderId="3" pivotButton="0" quotePrefix="0" xfId="0"/>
    <xf numFmtId="0" fontId="10" fillId="4" borderId="4" pivotButton="0" quotePrefix="0" xfId="0"/>
    <xf numFmtId="0" fontId="3" fillId="5" borderId="1" applyAlignment="1" pivotButton="0" quotePrefix="0" xfId="8">
      <alignment horizontal="center" vertical="center" wrapText="1"/>
    </xf>
    <xf numFmtId="0" fontId="8" fillId="6" borderId="3" applyAlignment="1" pivotButton="0" quotePrefix="0" xfId="7">
      <alignment horizontal="left" vertical="center"/>
    </xf>
    <xf numFmtId="0" fontId="11" fillId="4" borderId="2" pivotButton="0" quotePrefix="0" xfId="0"/>
    <xf numFmtId="3" fontId="4" fillId="4" borderId="3" pivotButton="0" quotePrefix="0" xfId="0"/>
    <xf numFmtId="3" fontId="11" fillId="4" borderId="4" applyAlignment="1" pivotButton="0" quotePrefix="0" xfId="0">
      <alignment horizontal="left"/>
    </xf>
    <xf numFmtId="3" fontId="11" fillId="3" borderId="3" applyAlignment="1" pivotButton="0" quotePrefix="0" xfId="0">
      <alignment horizontal="center"/>
    </xf>
    <xf numFmtId="0" fontId="3" fillId="7" borderId="3" applyAlignment="1" pivotButton="0" quotePrefix="0" xfId="7">
      <alignment horizontal="center" vertical="center"/>
    </xf>
    <xf numFmtId="0" fontId="3" fillId="8" borderId="1" applyAlignment="1" pivotButton="0" quotePrefix="0" xfId="8">
      <alignment horizontal="center" vertical="center" wrapText="1"/>
    </xf>
    <xf numFmtId="0" fontId="3" fillId="9" borderId="2" applyAlignment="1" pivotButton="0" quotePrefix="0" xfId="0">
      <alignment horizontal="center" vertical="center" wrapText="1"/>
    </xf>
    <xf numFmtId="0" fontId="3" fillId="9" borderId="3" applyAlignment="1" pivotButton="0" quotePrefix="0" xfId="0">
      <alignment horizontal="center" vertical="center" wrapText="1"/>
    </xf>
    <xf numFmtId="0" fontId="5" fillId="9" borderId="3" applyAlignment="1" pivotButton="0" quotePrefix="0" xfId="0">
      <alignment horizontal="center" vertical="center" wrapText="1"/>
    </xf>
    <xf numFmtId="0" fontId="3" fillId="9" borderId="1" applyAlignment="1" pivotButton="0" quotePrefix="0" xfId="0">
      <alignment horizontal="center" vertical="center" wrapText="1"/>
    </xf>
    <xf numFmtId="0" fontId="5" fillId="9" borderId="1" applyAlignment="1" pivotButton="0" quotePrefix="0" xfId="0">
      <alignment horizontal="center" vertical="center" wrapText="1"/>
    </xf>
    <xf numFmtId="3" fontId="1" fillId="0" borderId="0" applyAlignment="1" pivotButton="0" quotePrefix="0" xfId="0">
      <alignment vertical="center"/>
    </xf>
    <xf numFmtId="3" fontId="1" fillId="0" borderId="0" applyAlignment="1" pivotButton="0" quotePrefix="0" xfId="0">
      <alignment horizontal="center" vertical="center"/>
    </xf>
    <xf numFmtId="3" fontId="1" fillId="0" borderId="0" pivotButton="0" quotePrefix="0" xfId="0"/>
    <xf numFmtId="3" fontId="18" fillId="0" borderId="0" applyAlignment="1" pivotButton="0" quotePrefix="0" xfId="0">
      <alignment vertical="center"/>
    </xf>
    <xf numFmtId="3" fontId="19" fillId="0" borderId="0" applyAlignment="1" pivotButton="0" quotePrefix="0" xfId="0">
      <alignment vertical="center"/>
    </xf>
    <xf numFmtId="3" fontId="19" fillId="0" borderId="0" applyAlignment="1" pivotButton="0" quotePrefix="0" xfId="0">
      <alignment horizontal="left" vertical="center"/>
    </xf>
    <xf numFmtId="3" fontId="20" fillId="0" borderId="0" applyAlignment="1" pivotButton="0" quotePrefix="0" xfId="0">
      <alignment horizontal="center" vertical="center"/>
    </xf>
    <xf numFmtId="3" fontId="20" fillId="0" borderId="0" applyAlignment="1" pivotButton="0" quotePrefix="0" xfId="0">
      <alignment vertical="center"/>
    </xf>
    <xf numFmtId="3" fontId="19" fillId="0" borderId="0" applyAlignment="1" pivotButton="0" quotePrefix="0" xfId="0">
      <alignment horizontal="center" vertical="center"/>
    </xf>
    <xf numFmtId="49" fontId="19" fillId="0" borderId="0" applyAlignment="1" pivotButton="0" quotePrefix="0" xfId="0">
      <alignment vertical="center"/>
    </xf>
    <xf numFmtId="0" fontId="20" fillId="0" borderId="0" applyAlignment="1" pivotButton="0" quotePrefix="1" xfId="0">
      <alignment vertical="center"/>
    </xf>
    <xf numFmtId="0" fontId="20" fillId="0" borderId="0" applyAlignment="1" pivotButton="0" quotePrefix="1" xfId="0">
      <alignment horizontal="center" vertical="center"/>
    </xf>
    <xf numFmtId="0" fontId="20" fillId="0" borderId="0" applyAlignment="1" pivotButton="0" quotePrefix="0" xfId="0">
      <alignment horizontal="center" vertical="center"/>
    </xf>
    <xf numFmtId="0" fontId="19" fillId="0" borderId="0" applyAlignment="1" pivotButton="0" quotePrefix="0" xfId="0">
      <alignment vertical="center"/>
    </xf>
    <xf numFmtId="0" fontId="20" fillId="0" borderId="0" applyAlignment="1" pivotButton="0" quotePrefix="0" xfId="0">
      <alignment vertical="center"/>
    </xf>
    <xf numFmtId="0" fontId="19" fillId="0" borderId="0" applyAlignment="1" pivotButton="0" quotePrefix="1" xfId="0">
      <alignment vertical="center"/>
    </xf>
    <xf numFmtId="0" fontId="21" fillId="0" borderId="0" applyAlignment="1" pivotButton="0" quotePrefix="0" xfId="0">
      <alignment vertical="center"/>
    </xf>
    <xf numFmtId="0" fontId="17" fillId="9" borderId="1" applyAlignment="1" pivotButton="0" quotePrefix="0" xfId="0">
      <alignment horizontal="center" vertical="center" wrapText="1"/>
    </xf>
    <xf numFmtId="3" fontId="4" fillId="0" borderId="0" applyAlignment="1" pivotButton="0" quotePrefix="0" xfId="0">
      <alignment vertical="center"/>
    </xf>
    <xf numFmtId="0" fontId="4" fillId="0" borderId="1" applyAlignment="1" pivotButton="0" quotePrefix="0" xfId="0">
      <alignment vertical="center"/>
    </xf>
    <xf numFmtId="0" fontId="4" fillId="0" borderId="1" applyAlignment="1" pivotButton="0" quotePrefix="0" xfId="0">
      <alignment horizontal="left" vertical="center"/>
    </xf>
    <xf numFmtId="164" fontId="4" fillId="0" borderId="1" applyAlignment="1" pivotButton="0" quotePrefix="0" xfId="0">
      <alignment vertical="center"/>
    </xf>
    <xf numFmtId="0" fontId="4" fillId="0" borderId="1" applyAlignment="1" pivotButton="0" quotePrefix="0" xfId="0">
      <alignment horizontal="center" vertical="center"/>
    </xf>
    <xf numFmtId="165" fontId="4" fillId="0" borderId="1" applyAlignment="1" pivotButton="0" quotePrefix="0" xfId="0">
      <alignment horizontal="center" vertical="center"/>
    </xf>
    <xf numFmtId="3" fontId="4" fillId="10" borderId="1" applyAlignment="1" pivotButton="0" quotePrefix="0" xfId="0">
      <alignment vertical="center"/>
    </xf>
    <xf numFmtId="165" fontId="4" fillId="0" borderId="5" applyAlignment="1" pivotButton="0" quotePrefix="0" xfId="0">
      <alignment vertical="center"/>
    </xf>
    <xf numFmtId="165" fontId="4" fillId="0" borderId="1" applyAlignment="1" pivotButton="0" quotePrefix="0" xfId="0">
      <alignment vertical="center"/>
    </xf>
    <xf numFmtId="0" fontId="4" fillId="10" borderId="1" applyAlignment="1" pivotButton="0" quotePrefix="0" xfId="0">
      <alignment vertical="center"/>
    </xf>
    <xf numFmtId="9" fontId="4" fillId="0" borderId="1" applyAlignment="1" pivotButton="0" quotePrefix="0" xfId="0">
      <alignment horizontal="center" vertical="center"/>
    </xf>
    <xf numFmtId="166" fontId="4" fillId="0" borderId="1" applyAlignment="1" pivotButton="0" quotePrefix="0" xfId="0">
      <alignment vertical="center"/>
    </xf>
    <xf numFmtId="4" fontId="4" fillId="0" borderId="1" applyAlignment="1" pivotButton="0" quotePrefix="0" xfId="0">
      <alignment vertical="center"/>
    </xf>
    <xf numFmtId="0" fontId="1" fillId="0" borderId="0" applyAlignment="1" pivotButton="0" quotePrefix="0" xfId="0">
      <alignment horizontal="left" vertical="center"/>
    </xf>
    <xf numFmtId="0" fontId="4" fillId="0" borderId="2" applyAlignment="1" pivotButton="0" quotePrefix="1" xfId="0">
      <alignment horizontal="left" vertical="center"/>
    </xf>
    <xf numFmtId="0" fontId="4" fillId="0" borderId="3" applyAlignment="1" pivotButton="0" quotePrefix="0" xfId="0">
      <alignment horizontal="left" vertical="center"/>
    </xf>
    <xf numFmtId="0" fontId="4" fillId="0" borderId="1" applyAlignment="1" pivotButton="0" quotePrefix="0" xfId="6">
      <alignment horizontal="left" vertical="center"/>
    </xf>
    <xf numFmtId="0" fontId="4" fillId="0" borderId="2" applyAlignment="1" pivotButton="0" quotePrefix="0" xfId="0">
      <alignment horizontal="left" vertical="center"/>
    </xf>
    <xf numFmtId="0" fontId="4" fillId="0" borderId="5" applyAlignment="1" pivotButton="0" quotePrefix="0" xfId="8">
      <alignment horizontal="left" vertical="center"/>
    </xf>
    <xf numFmtId="0" fontId="4" fillId="0" borderId="1" applyAlignment="1" pivotButton="0" quotePrefix="0" xfId="8">
      <alignment horizontal="left" vertical="center"/>
    </xf>
    <xf numFmtId="0" fontId="4" fillId="0" borderId="1" applyAlignment="1" pivotButton="0" quotePrefix="0" xfId="7">
      <alignment horizontal="left" vertical="center"/>
    </xf>
    <xf numFmtId="167" fontId="4" fillId="0" borderId="1" applyAlignment="1" pivotButton="0" quotePrefix="0" xfId="0">
      <alignment horizontal="center" vertical="center"/>
    </xf>
    <xf numFmtId="0" fontId="2" fillId="2" borderId="1" applyAlignment="1" pivotButton="0" quotePrefix="0" xfId="0">
      <alignment horizontal="center" vertical="center" wrapText="1"/>
    </xf>
    <xf numFmtId="0" fontId="22" fillId="2" borderId="1" applyAlignment="1" pivotButton="0" quotePrefix="0" xfId="0">
      <alignment horizontal="center" vertical="center" wrapText="1"/>
    </xf>
    <xf numFmtId="0" fontId="22" fillId="9" borderId="1" applyAlignment="1" pivotButton="0" quotePrefix="0" xfId="0">
      <alignment horizontal="center" vertical="center" wrapText="1"/>
    </xf>
    <xf numFmtId="3" fontId="13" fillId="11" borderId="0" applyAlignment="1" pivotButton="0" quotePrefix="0" xfId="6">
      <alignment vertical="center"/>
    </xf>
    <xf numFmtId="0" fontId="3"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1" applyAlignment="1" pivotButton="0" quotePrefix="0" xfId="0">
      <alignment horizontal="center" vertical="center" wrapText="1"/>
    </xf>
    <xf numFmtId="0" fontId="22" fillId="13" borderId="1" applyAlignment="1" pivotButton="0" quotePrefix="0" xfId="0">
      <alignment horizontal="center" vertical="center" wrapText="1"/>
    </xf>
    <xf numFmtId="0" fontId="22" fillId="15" borderId="1" applyAlignment="1" pivotButton="0" quotePrefix="0" xfId="0">
      <alignment horizontal="center" vertical="center" wrapText="1"/>
    </xf>
    <xf numFmtId="0" fontId="1" fillId="0" borderId="6" applyAlignment="1" pivotButton="0" quotePrefix="0" xfId="0">
      <alignment horizontal="left" vertical="center"/>
    </xf>
    <xf numFmtId="0" fontId="4" fillId="0" borderId="7" applyAlignment="1" pivotButton="0" quotePrefix="0" xfId="8">
      <alignment horizontal="left" vertical="center"/>
    </xf>
    <xf numFmtId="0" fontId="4" fillId="0" borderId="7" applyAlignment="1" pivotButton="0" quotePrefix="0" xfId="0">
      <alignment horizontal="left" vertical="center"/>
    </xf>
    <xf numFmtId="0" fontId="3" fillId="16" borderId="1" applyAlignment="1" pivotButton="0" quotePrefix="0" xfId="7">
      <alignment horizontal="center" vertical="center" wrapText="1"/>
    </xf>
    <xf numFmtId="0" fontId="3" fillId="17" borderId="1" applyAlignment="1" pivotButton="0" quotePrefix="0" xfId="0">
      <alignment horizontal="center" vertical="center" wrapText="1"/>
    </xf>
    <xf numFmtId="0" fontId="3" fillId="18" borderId="1" applyAlignment="1" pivotButton="0" quotePrefix="0" xfId="0">
      <alignment horizontal="center" vertical="center" wrapText="1"/>
    </xf>
    <xf numFmtId="0" fontId="22" fillId="9" borderId="2" applyAlignment="1" pivotButton="0" quotePrefix="0" xfId="0">
      <alignment horizontal="center" vertical="center" wrapText="1"/>
    </xf>
    <xf numFmtId="0" fontId="22" fillId="4" borderId="1" applyAlignment="1" pivotButton="0" quotePrefix="0" xfId="0">
      <alignment horizontal="center" vertical="center" wrapText="1"/>
    </xf>
    <xf numFmtId="0" fontId="22" fillId="17" borderId="1" applyAlignment="1" pivotButton="0" quotePrefix="0" xfId="0">
      <alignment horizontal="center" vertical="center" wrapText="1"/>
    </xf>
    <xf numFmtId="3" fontId="25" fillId="0" borderId="0" applyAlignment="1" pivotButton="0" quotePrefix="0" xfId="0">
      <alignment vertical="center"/>
    </xf>
    <xf numFmtId="0" fontId="5" fillId="4" borderId="5" applyAlignment="1" pivotButton="0" quotePrefix="0" xfId="0">
      <alignment horizontal="center" vertical="center" wrapText="1"/>
    </xf>
    <xf numFmtId="0" fontId="3" fillId="4" borderId="5" applyAlignment="1" pivotButton="0" quotePrefix="0" xfId="0">
      <alignment horizontal="center" vertical="center" wrapText="1"/>
    </xf>
    <xf numFmtId="0" fontId="3" fillId="2" borderId="3" applyAlignment="1" pivotButton="0" quotePrefix="0" xfId="0">
      <alignment horizontal="left" vertical="center"/>
    </xf>
    <xf numFmtId="0" fontId="3" fillId="9" borderId="3" applyAlignment="1" pivotButton="0" quotePrefix="0" xfId="0">
      <alignment horizontal="left" vertical="center"/>
    </xf>
    <xf numFmtId="0" fontId="3" fillId="7" borderId="2" applyAlignment="1" pivotButton="0" quotePrefix="0" xfId="7">
      <alignment horizontal="left" vertical="center"/>
    </xf>
    <xf numFmtId="0" fontId="8" fillId="6" borderId="2" applyAlignment="1" pivotButton="0" quotePrefix="0" xfId="7">
      <alignment horizontal="left" vertical="center"/>
    </xf>
    <xf numFmtId="0" fontId="8" fillId="4" borderId="2" applyAlignment="1" pivotButton="0" quotePrefix="0" xfId="7">
      <alignment horizontal="left" vertical="center"/>
    </xf>
    <xf numFmtId="0" fontId="22" fillId="19" borderId="1" applyAlignment="1" pivotButton="0" quotePrefix="0" xfId="0">
      <alignment horizontal="center" vertical="center" wrapText="1"/>
    </xf>
    <xf numFmtId="3" fontId="13" fillId="11" borderId="0" applyAlignment="1" pivotButton="0" quotePrefix="0" xfId="0">
      <alignment vertical="center"/>
    </xf>
    <xf numFmtId="3" fontId="29" fillId="0" borderId="0" applyAlignment="1" pivotButton="0" quotePrefix="0" xfId="0">
      <alignment vertical="center"/>
    </xf>
    <xf numFmtId="3" fontId="19" fillId="0" borderId="0" pivotButton="0" quotePrefix="0" xfId="0"/>
    <xf numFmtId="0" fontId="30" fillId="9" borderId="1" applyAlignment="1" pivotButton="0" quotePrefix="0" xfId="0">
      <alignment horizontal="center" vertical="center" wrapText="1"/>
    </xf>
    <xf numFmtId="0" fontId="32" fillId="13" borderId="1" applyAlignment="1" pivotButton="0" quotePrefix="0" xfId="0">
      <alignment horizontal="center" vertical="center" wrapText="1"/>
    </xf>
    <xf numFmtId="0" fontId="3" fillId="3" borderId="2" applyAlignment="1" pivotButton="0" quotePrefix="0" xfId="7">
      <alignment horizontal="left" vertical="center"/>
    </xf>
    <xf numFmtId="0" fontId="3" fillId="20" borderId="3" applyAlignment="1" pivotButton="0" quotePrefix="0" xfId="0">
      <alignment horizontal="left" vertical="center"/>
    </xf>
    <xf numFmtId="9" fontId="4" fillId="0" borderId="1" applyAlignment="1" pivotButton="0" quotePrefix="0" xfId="10">
      <alignment vertical="center"/>
    </xf>
    <xf numFmtId="168" fontId="4" fillId="0" borderId="1" applyAlignment="1" pivotButton="0" quotePrefix="0" xfId="0">
      <alignment vertical="center"/>
    </xf>
    <xf numFmtId="0" fontId="34" fillId="9" borderId="1" applyAlignment="1" pivotButton="0" quotePrefix="0" xfId="0">
      <alignment horizontal="center" vertical="center" wrapText="1"/>
    </xf>
    <xf numFmtId="0" fontId="3" fillId="21" borderId="2" applyAlignment="1" pivotButton="0" quotePrefix="0" xfId="0">
      <alignment horizontal="left" vertical="center"/>
    </xf>
    <xf numFmtId="0" fontId="3" fillId="21" borderId="3" applyAlignment="1" pivotButton="0" quotePrefix="0" xfId="0">
      <alignment horizontal="center" vertical="center" wrapText="1"/>
    </xf>
    <xf numFmtId="0" fontId="3" fillId="21" borderId="4" applyAlignment="1" pivotButton="0" quotePrefix="0" xfId="0">
      <alignment horizontal="center" vertical="center" wrapText="1"/>
    </xf>
    <xf numFmtId="0" fontId="3" fillId="21" borderId="5" applyAlignment="1" pivotButton="0" quotePrefix="0" xfId="0">
      <alignment horizontal="center" vertical="center" wrapText="1"/>
    </xf>
    <xf numFmtId="0" fontId="22" fillId="21" borderId="1" applyAlignment="1" pivotButton="0" quotePrefix="0" xfId="0">
      <alignment horizontal="center" vertical="center" wrapText="1"/>
    </xf>
    <xf numFmtId="0" fontId="4" fillId="21" borderId="1" applyAlignment="1" pivotButton="0" quotePrefix="0" xfId="0">
      <alignment horizontal="left" vertical="center"/>
    </xf>
    <xf numFmtId="0" fontId="4" fillId="21" borderId="3" applyAlignment="1" pivotButton="0" quotePrefix="0" xfId="0">
      <alignment horizontal="left" vertical="center"/>
    </xf>
    <xf numFmtId="10" fontId="4" fillId="0" borderId="1" applyAlignment="1" pivotButton="0" quotePrefix="0" xfId="0">
      <alignment vertical="center"/>
    </xf>
    <xf numFmtId="0" fontId="35" fillId="0" borderId="0" applyAlignment="1" pivotButton="0" quotePrefix="0" xfId="11">
      <alignment horizontal="center"/>
    </xf>
    <xf numFmtId="0" fontId="7" fillId="0" borderId="0" pivotButton="0" quotePrefix="0" xfId="12"/>
    <xf numFmtId="49" fontId="35" fillId="0" borderId="0" applyAlignment="1" pivotButton="0" quotePrefix="0" xfId="11">
      <alignment horizontal="center"/>
    </xf>
    <xf numFmtId="169" fontId="35" fillId="0" borderId="0" applyAlignment="1" pivotButton="0" quotePrefix="0" xfId="11">
      <alignment horizontal="center"/>
    </xf>
    <xf numFmtId="3" fontId="27" fillId="0" borderId="0" applyAlignment="1" pivotButton="0" quotePrefix="0" xfId="0">
      <alignment vertical="center"/>
    </xf>
    <xf numFmtId="0" fontId="15" fillId="22" borderId="8" applyAlignment="1" pivotButton="0" quotePrefix="0" xfId="9">
      <alignment horizontal="right" vertical="center"/>
    </xf>
    <xf numFmtId="0" fontId="15" fillId="22" borderId="3" applyAlignment="1" pivotButton="0" quotePrefix="0" xfId="9">
      <alignment horizontal="right" vertical="center"/>
    </xf>
    <xf numFmtId="0" fontId="17" fillId="22" borderId="3" applyAlignment="1" pivotButton="0" quotePrefix="0" xfId="9">
      <alignment horizontal="right" vertical="center"/>
    </xf>
    <xf numFmtId="3" fontId="27" fillId="0" borderId="9" applyAlignment="1" pivotButton="0" quotePrefix="0" xfId="0">
      <alignment vertical="center"/>
    </xf>
    <xf numFmtId="3" fontId="3" fillId="11" borderId="0" applyAlignment="1" pivotButton="0" quotePrefix="0" xfId="0">
      <alignment horizontal="center" vertical="center"/>
    </xf>
    <xf numFmtId="3" fontId="26" fillId="0" borderId="0" applyAlignment="1" pivotButton="0" quotePrefix="0" xfId="0">
      <alignment horizontal="center" vertical="center"/>
    </xf>
    <xf numFmtId="3" fontId="3" fillId="11" borderId="3" applyAlignment="1" pivotButton="0" quotePrefix="0" xfId="0">
      <alignment horizontal="center" vertical="center"/>
    </xf>
    <xf numFmtId="3" fontId="8" fillId="0" borderId="3" applyAlignment="1" pivotButton="0" quotePrefix="0" xfId="0">
      <alignment vertical="center"/>
    </xf>
    <xf numFmtId="0" fontId="3" fillId="23" borderId="1" applyAlignment="1" pivotButton="0" quotePrefix="0" xfId="0">
      <alignment horizontal="center" vertical="center" wrapText="1"/>
    </xf>
    <xf numFmtId="0" fontId="3" fillId="24" borderId="1" applyAlignment="1" pivotButton="0" quotePrefix="0" xfId="7">
      <alignment horizontal="center" vertical="center" wrapText="1"/>
    </xf>
    <xf numFmtId="0" fontId="37" fillId="0" borderId="1" applyAlignment="1" pivotButton="0" quotePrefix="0" xfId="0">
      <alignment horizontal="left" vertical="center"/>
    </xf>
    <xf numFmtId="0" fontId="3" fillId="25" borderId="1" applyAlignment="1" pivotButton="0" quotePrefix="0" xfId="0">
      <alignment horizontal="center" vertical="center" wrapText="1"/>
    </xf>
    <xf numFmtId="170" fontId="4" fillId="0" borderId="1" applyAlignment="1" pivotButton="0" quotePrefix="0" xfId="13">
      <alignment horizontal="left" vertical="center"/>
    </xf>
    <xf numFmtId="0" fontId="3" fillId="25" borderId="4" applyAlignment="1" pivotButton="0" quotePrefix="0" xfId="0">
      <alignment horizontal="center" vertical="center" wrapText="1"/>
    </xf>
    <xf numFmtId="0" fontId="3" fillId="26" borderId="1" applyAlignment="1" pivotButton="0" quotePrefix="0" xfId="11">
      <alignment horizontal="center" vertical="center" wrapText="1"/>
    </xf>
    <xf numFmtId="0" fontId="38" fillId="2" borderId="1" applyAlignment="1" pivotButton="0" quotePrefix="0" xfId="0">
      <alignment horizontal="center" vertical="center" wrapText="1"/>
    </xf>
    <xf numFmtId="0" fontId="3" fillId="27" borderId="5" applyAlignment="1" pivotButton="0" quotePrefix="0" xfId="11">
      <alignment horizontal="center" vertical="center" wrapText="1"/>
    </xf>
    <xf numFmtId="0" fontId="43" fillId="2" borderId="1" applyAlignment="1" pivotButton="0" quotePrefix="0" xfId="11">
      <alignment horizontal="center" vertical="center" wrapText="1"/>
    </xf>
    <xf numFmtId="0" fontId="8" fillId="2" borderId="1" applyAlignment="1" pivotButton="0" quotePrefix="0" xfId="11">
      <alignment horizontal="center" vertical="center" wrapText="1"/>
    </xf>
    <xf numFmtId="0" fontId="44" fillId="2" borderId="1" applyAlignment="1" pivotButton="0" quotePrefix="0" xfId="11">
      <alignment horizontal="center" vertical="center" wrapText="1"/>
    </xf>
    <xf numFmtId="0" fontId="3" fillId="2" borderId="1" applyAlignment="1" pivotButton="0" quotePrefix="0" xfId="11">
      <alignment horizontal="center" vertical="center" wrapText="1"/>
    </xf>
    <xf numFmtId="3" fontId="11" fillId="0" borderId="0" applyAlignment="1" pivotButton="0" quotePrefix="0" xfId="0">
      <alignment vertical="center"/>
    </xf>
    <xf numFmtId="3" fontId="46" fillId="0" borderId="0" applyAlignment="1" pivotButton="0" quotePrefix="0" xfId="0">
      <alignment vertical="center"/>
    </xf>
    <xf numFmtId="0" fontId="22" fillId="21" borderId="5" applyAlignment="1" pivotButton="0" quotePrefix="0" xfId="0">
      <alignment horizontal="center" vertical="center" wrapText="1"/>
    </xf>
    <xf numFmtId="0" fontId="47" fillId="2" borderId="1" applyAlignment="1" pivotButton="0" quotePrefix="0" xfId="0">
      <alignment horizontal="center" vertical="center" wrapText="1"/>
    </xf>
    <xf numFmtId="0" fontId="3" fillId="28"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30" borderId="1" applyAlignment="1" pivotButton="0" quotePrefix="0" xfId="0">
      <alignment horizontal="center" vertical="center" wrapText="1"/>
    </xf>
    <xf numFmtId="0" fontId="22" fillId="31" borderId="1" applyAlignment="1" pivotButton="0" quotePrefix="0" xfId="0">
      <alignment horizontal="center" vertical="center" wrapText="1"/>
    </xf>
    <xf numFmtId="0" fontId="48" fillId="2" borderId="1" applyAlignment="1" pivotButton="0" quotePrefix="0" xfId="0">
      <alignment horizontal="center" vertical="center" wrapText="1"/>
    </xf>
    <xf numFmtId="0" fontId="49" fillId="2" borderId="1" applyAlignment="1" pivotButton="0" quotePrefix="0" xfId="0">
      <alignment horizontal="center" vertical="center" wrapText="1"/>
    </xf>
    <xf numFmtId="0" fontId="51" fillId="31" borderId="1" applyAlignment="1" pivotButton="0" quotePrefix="0" xfId="0">
      <alignment horizontal="center" vertical="center" wrapText="1"/>
    </xf>
    <xf numFmtId="0" fontId="3" fillId="32" borderId="1" applyAlignment="1" pivotButton="0" quotePrefix="0" xfId="0">
      <alignment horizontal="center" vertical="center" wrapText="1"/>
    </xf>
    <xf numFmtId="0" fontId="53" fillId="19" borderId="1" applyAlignment="1" pivotButton="0" quotePrefix="0" xfId="0">
      <alignment horizontal="center" vertical="center" wrapText="1"/>
    </xf>
    <xf numFmtId="0" fontId="55" fillId="33" borderId="1" applyAlignment="1" pivotButton="0" quotePrefix="0" xfId="0">
      <alignment horizontal="center" vertical="center" wrapText="1"/>
    </xf>
    <xf numFmtId="0" fontId="57" fillId="30" borderId="1" applyAlignment="1" pivotButton="0" quotePrefix="0" xfId="0">
      <alignment horizontal="center" vertical="center" wrapText="1"/>
    </xf>
    <xf numFmtId="3" fontId="29" fillId="0" borderId="0" pivotButton="0" quotePrefix="0" xfId="0"/>
    <xf numFmtId="0" fontId="59" fillId="34" borderId="1" applyAlignment="1" pivotButton="0" quotePrefix="0" xfId="0">
      <alignment horizontal="center" vertical="center" wrapText="1"/>
    </xf>
    <xf numFmtId="0" fontId="58" fillId="34" borderId="1" applyAlignment="1" pivotButton="0" quotePrefix="0" xfId="0">
      <alignment horizontal="center" vertical="center" wrapText="1"/>
    </xf>
    <xf numFmtId="3" fontId="60" fillId="0" borderId="0" applyAlignment="1" pivotButton="0" quotePrefix="0" xfId="0">
      <alignment vertical="center"/>
    </xf>
    <xf numFmtId="3" fontId="17" fillId="11" borderId="0" applyAlignment="1" pivotButton="0" quotePrefix="0" xfId="0">
      <alignment horizontal="center" vertical="center"/>
    </xf>
    <xf numFmtId="3" fontId="28" fillId="0" borderId="0" pivotButton="0" quotePrefix="0" xfId="0"/>
    <xf numFmtId="3" fontId="3" fillId="11" borderId="8" applyAlignment="1" pivotButton="0" quotePrefix="0" xfId="0">
      <alignment horizontal="center" vertical="center"/>
    </xf>
    <xf numFmtId="171" fontId="4" fillId="0" borderId="1" applyAlignment="1" pivotButton="0" quotePrefix="0" xfId="0">
      <alignment vertical="center"/>
    </xf>
    <xf numFmtId="3" fontId="4" fillId="11" borderId="0" applyAlignment="1" pivotButton="0" quotePrefix="0" xfId="12">
      <alignment vertical="center"/>
    </xf>
    <xf numFmtId="0" fontId="3" fillId="21" borderId="1" applyAlignment="1" pivotButton="0" quotePrefix="0" xfId="0">
      <alignment horizontal="center" vertical="center" wrapText="1"/>
    </xf>
    <xf numFmtId="0" fontId="61" fillId="2" borderId="1" applyAlignment="1" pivotButton="0" quotePrefix="0" xfId="0">
      <alignment horizontal="center" vertical="center" wrapText="1"/>
    </xf>
    <xf numFmtId="0" fontId="61" fillId="2" borderId="1" applyAlignment="1" pivotButton="0" quotePrefix="0" xfId="6">
      <alignment horizontal="center" vertical="center" wrapText="1"/>
    </xf>
    <xf numFmtId="0" fontId="3" fillId="8" borderId="2" applyAlignment="1" pivotButton="0" quotePrefix="0" xfId="8">
      <alignment vertical="center"/>
    </xf>
    <xf numFmtId="0" fontId="3" fillId="8" borderId="3" applyAlignment="1" pivotButton="0" quotePrefix="0" xfId="8">
      <alignment vertical="center"/>
    </xf>
    <xf numFmtId="0" fontId="63" fillId="15" borderId="5" applyAlignment="1" pivotButton="0" quotePrefix="0" xfId="0">
      <alignment horizontal="center" vertical="center" wrapText="1"/>
    </xf>
    <xf numFmtId="0" fontId="61" fillId="9" borderId="1" applyAlignment="1" pivotButton="0" quotePrefix="0" xfId="0">
      <alignment horizontal="center" vertical="center" wrapText="1"/>
    </xf>
    <xf numFmtId="0" fontId="8" fillId="9" borderId="2" applyAlignment="1" pivotButton="0" quotePrefix="0" xfId="0">
      <alignment horizontal="center" vertical="center" wrapText="1"/>
    </xf>
    <xf numFmtId="0" fontId="8" fillId="9" borderId="1" applyAlignment="1" pivotButton="0" quotePrefix="0" xfId="0">
      <alignment horizontal="center" vertical="center" wrapText="1"/>
    </xf>
    <xf numFmtId="0" fontId="3" fillId="35" borderId="1" applyAlignment="1" pivotButton="0" quotePrefix="0" xfId="0">
      <alignment horizontal="center" vertical="center" wrapText="1"/>
    </xf>
    <xf numFmtId="0" fontId="3" fillId="35" borderId="4" applyAlignment="1" pivotButton="0" quotePrefix="0" xfId="0">
      <alignment horizontal="center" vertical="center" wrapText="1"/>
    </xf>
    <xf numFmtId="0" fontId="65" fillId="9" borderId="1" applyAlignment="1" pivotButton="0" quotePrefix="0" xfId="0">
      <alignment horizontal="center" vertical="center" wrapText="1"/>
    </xf>
    <xf numFmtId="0" fontId="61" fillId="18" borderId="1" applyAlignment="1" pivotButton="0" quotePrefix="0" xfId="0">
      <alignment horizontal="center" vertical="center" wrapText="1"/>
    </xf>
    <xf numFmtId="0" fontId="8" fillId="17" borderId="1" applyAlignment="1" pivotButton="0" quotePrefix="0" xfId="0">
      <alignment horizontal="center" vertical="center" wrapText="1"/>
    </xf>
    <xf numFmtId="0" fontId="8" fillId="19" borderId="1" applyAlignment="1" pivotButton="0" quotePrefix="0" xfId="0">
      <alignment horizontal="center" vertical="center" wrapText="1"/>
    </xf>
    <xf numFmtId="0" fontId="61" fillId="4" borderId="1" applyAlignment="1" pivotButton="0" quotePrefix="0" xfId="0">
      <alignment horizontal="center" vertical="center" wrapText="1"/>
    </xf>
    <xf numFmtId="0" fontId="61" fillId="14" borderId="1" applyAlignment="1" pivotButton="0" quotePrefix="0" xfId="0">
      <alignment horizontal="center" vertical="center" wrapText="1"/>
    </xf>
    <xf numFmtId="0" fontId="61" fillId="13" borderId="1" applyAlignment="1" pivotButton="0" quotePrefix="0" xfId="0">
      <alignment horizontal="center" vertical="center" wrapText="1"/>
    </xf>
    <xf numFmtId="0" fontId="8" fillId="15" borderId="1" applyAlignment="1" pivotButton="0" quotePrefix="0" xfId="0">
      <alignment horizontal="center" vertical="center" wrapText="1"/>
    </xf>
    <xf numFmtId="0" fontId="0" fillId="0" borderId="0" pivotButton="0" quotePrefix="0" xfId="0"/>
    <xf numFmtId="164" fontId="4" fillId="0" borderId="1" applyAlignment="1" pivotButton="0" quotePrefix="0" xfId="0">
      <alignment vertical="center"/>
    </xf>
    <xf numFmtId="170" fontId="4" fillId="0" borderId="1" applyAlignment="1" pivotButton="0" quotePrefix="0" xfId="13">
      <alignment horizontal="left" vertical="center"/>
    </xf>
    <xf numFmtId="165" fontId="4" fillId="0" borderId="1" applyAlignment="1" pivotButton="0" quotePrefix="0" xfId="0">
      <alignment horizontal="center" vertical="center"/>
    </xf>
    <xf numFmtId="165" fontId="4" fillId="0" borderId="5" applyAlignment="1" pivotButton="0" quotePrefix="0" xfId="0">
      <alignment vertical="center"/>
    </xf>
    <xf numFmtId="165" fontId="4" fillId="0" borderId="1" applyAlignment="1" pivotButton="0" quotePrefix="0" xfId="0">
      <alignment vertical="center"/>
    </xf>
    <xf numFmtId="167" fontId="4" fillId="0" borderId="1" applyAlignment="1" pivotButton="0" quotePrefix="0" xfId="0">
      <alignment horizontal="center" vertical="center"/>
    </xf>
    <xf numFmtId="166" fontId="4" fillId="0" borderId="1" applyAlignment="1" pivotButton="0" quotePrefix="0" xfId="0">
      <alignment vertical="center"/>
    </xf>
    <xf numFmtId="171" fontId="4" fillId="0" borderId="1" applyAlignment="1" pivotButton="0" quotePrefix="0" xfId="0">
      <alignment vertical="center"/>
    </xf>
    <xf numFmtId="168" fontId="4" fillId="0" borderId="1" applyAlignment="1" pivotButton="0" quotePrefix="0" xfId="0">
      <alignment vertical="center"/>
    </xf>
    <xf numFmtId="176" fontId="0" fillId="0" borderId="0" pivotButton="0" quotePrefix="0" xfId="0"/>
    <xf numFmtId="169" fontId="35" fillId="0" borderId="0" applyAlignment="1" pivotButton="0" quotePrefix="0" xfId="11">
      <alignment horizontal="center"/>
    </xf>
  </cellXfs>
  <cellStyles count="14">
    <cellStyle name="常规" xfId="0" builtinId="0"/>
    <cellStyle name="Percent" xfId="1"/>
    <cellStyle name="Currency" xfId="2"/>
    <cellStyle name="Currency [0]" xfId="3"/>
    <cellStyle name="Comma" xfId="4"/>
    <cellStyle name="Comma [0]" xfId="5"/>
    <cellStyle name="Normal 3" xfId="6"/>
    <cellStyle name="常规 3" xfId="7"/>
    <cellStyle name="千位分隔 3" xfId="8"/>
    <cellStyle name="常规 3 3" xfId="9"/>
    <cellStyle name="百分比" xfId="10"/>
    <cellStyle name="Normal 2" xfId="11"/>
    <cellStyle name="常规 2" xfId="12"/>
    <cellStyle name="千位分隔 4" xfId="13"/>
  </cellStyles>
  <dxfs count="84">
    <dxf>
      <font>
        <color theme="0"/>
      </font>
    </dxf>
    <dxf>
      <font>
        <color theme="0"/>
      </font>
    </dxf>
    <dxf>
      <font>
        <color theme="0"/>
      </font>
    </dxf>
    <dxf>
      <font>
        <color theme="0"/>
      </font>
    </dxf>
    <dxf>
      <font>
        <color theme="0"/>
      </font>
    </dxf>
    <dxf>
      <font>
        <color theme="0"/>
      </font>
      <fill>
        <patternFill>
          <bgColor rgb="FF348127"/>
        </patternFill>
      </fill>
    </dxf>
    <dxf>
      <fill>
        <patternFill>
          <bgColor theme="6" tint="0.3999450666829432"/>
        </patternFill>
      </fill>
    </dxf>
    <dxf>
      <fill>
        <patternFill>
          <bgColor theme="6" tint="0.7998596148564104"/>
        </patternFill>
      </fill>
    </dxf>
    <dxf>
      <fill>
        <patternFill>
          <bgColor theme="4" tint="0.3999450666829432"/>
        </patternFill>
      </fill>
    </dxf>
    <dxf>
      <fill>
        <patternFill>
          <bgColor rgb="FFFFFF00"/>
        </patternFill>
      </fill>
    </dxf>
    <dxf>
      <fill>
        <patternFill>
          <bgColor rgb="FFFFC000"/>
        </patternFill>
      </fill>
    </dxf>
    <dxf>
      <font>
        <color theme="0"/>
      </font>
      <fill>
        <patternFill>
          <bgColor rgb="FFE5401F"/>
        </patternFill>
      </fill>
    </dxf>
    <dxf>
      <font>
        <color theme="0"/>
      </font>
      <fill>
        <patternFill>
          <bgColor rgb="FFAE0000"/>
        </patternFill>
      </fill>
    </dxf>
    <dxf>
      <font>
        <color theme="0"/>
      </font>
      <fill>
        <patternFill>
          <bgColor rgb="FFAE0000"/>
        </patternFill>
      </fill>
    </dxf>
    <dxf>
      <font>
        <color theme="0"/>
      </font>
      <fill>
        <patternFill>
          <bgColor rgb="FFE5401F"/>
        </patternFill>
      </fill>
    </dxf>
    <dxf>
      <fill>
        <patternFill>
          <bgColor rgb="FFFFC000"/>
        </patternFill>
      </fill>
    </dxf>
    <dxf>
      <fill>
        <patternFill>
          <bgColor rgb="FFFFFF00"/>
        </patternFill>
      </fill>
    </dxf>
    <dxf>
      <fill>
        <patternFill>
          <bgColor theme="4" tint="0.3999450666829432"/>
        </patternFill>
      </fill>
    </dxf>
    <dxf>
      <fill>
        <patternFill>
          <bgColor theme="6" tint="0.3999450666829432"/>
        </patternFill>
      </fill>
    </dxf>
    <dxf>
      <font>
        <color theme="0"/>
      </font>
      <fill>
        <patternFill>
          <bgColor rgb="FF348127"/>
        </patternFill>
      </fill>
    </dxf>
    <dxf>
      <fill>
        <patternFill>
          <bgColor theme="6" tint="0.7998596148564104"/>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6" tint="0.3999450666829432"/>
        </patternFill>
      </fill>
    </dxf>
    <dxf>
      <font>
        <color theme="0"/>
      </font>
      <fill>
        <patternFill>
          <bgColor theme="0"/>
        </patternFill>
      </fill>
    </dxf>
    <dxf>
      <fill>
        <patternFill>
          <bgColor rgb="FFFFC000"/>
        </patternFill>
      </fill>
    </dxf>
    <dxf>
      <font>
        <color theme="0"/>
      </font>
    </dxf>
    <dxf>
      <fill>
        <patternFill>
          <bgColor rgb="FFFFC000"/>
        </patternFill>
      </fill>
    </dxf>
    <dxf>
      <fill>
        <patternFill>
          <bgColor theme="6" tint="0.3999450666829432"/>
        </patternFill>
      </fill>
    </dxf>
    <dxf>
      <font>
        <color theme="0"/>
      </font>
      <fill>
        <patternFill>
          <bgColor theme="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FFFF00"/>
        </patternFill>
      </fill>
    </dxf>
    <dxf>
      <fill>
        <patternFill>
          <bgColor theme="4" tint="0.3999450666829432"/>
        </patternFill>
      </fill>
    </dxf>
    <dxf>
      <fill>
        <patternFill>
          <bgColor theme="6" tint="0.7998596148564104"/>
        </patternFill>
      </fill>
    </dxf>
    <dxf>
      <fill>
        <patternFill>
          <bgColor theme="6" tint="0.3999450666829432"/>
        </patternFill>
      </fill>
    </dxf>
    <dxf>
      <font>
        <color theme="0"/>
      </font>
      <fill>
        <patternFill>
          <bgColor rgb="FF348127"/>
        </patternFill>
      </fill>
    </dxf>
    <dxf>
      <font>
        <color theme="0"/>
      </font>
      <fill>
        <patternFill>
          <bgColor rgb="FF348127"/>
        </patternFill>
      </fill>
    </dxf>
    <dxf>
      <fill>
        <patternFill>
          <bgColor rgb="FFFFC000"/>
        </patternFill>
      </fill>
    </dxf>
    <dxf>
      <font>
        <color theme="0"/>
      </font>
      <fill>
        <patternFill>
          <bgColor rgb="FFE5401F"/>
        </patternFill>
      </fill>
    </dxf>
    <dxf>
      <fill>
        <patternFill>
          <bgColor theme="6" tint="0.7998596148564104"/>
        </patternFill>
      </fill>
    </dxf>
    <dxf>
      <font>
        <color theme="0"/>
      </font>
      <fill>
        <patternFill>
          <bgColor rgb="FFAE0000"/>
        </patternFill>
      </fill>
    </dxf>
    <dxf>
      <fill>
        <patternFill>
          <bgColor theme="4" tint="0.3999450666829432"/>
        </patternFill>
      </fill>
    </dxf>
    <dxf>
      <fill>
        <patternFill>
          <bgColor rgb="FFFFFF00"/>
        </patternFill>
      </fill>
    </dxf>
    <dxf>
      <fill>
        <patternFill>
          <bgColor rgb="FFFFC000"/>
        </patternFill>
      </fill>
    </dxf>
    <dxf>
      <font>
        <color theme="0"/>
      </font>
      <fill>
        <patternFill>
          <bgColor rgb="FFE5401F"/>
        </patternFill>
      </fill>
    </dxf>
    <dxf>
      <font>
        <color theme="0"/>
      </font>
      <fill>
        <patternFill>
          <bgColor rgb="FFAE0000"/>
        </patternFill>
      </fill>
    </dxf>
    <dxf>
      <fill>
        <patternFill>
          <bgColor theme="6" tint="0.3999450666829432"/>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6" tint="0.3999450666829432"/>
        </patternFill>
      </fill>
    </dxf>
    <dxf>
      <font>
        <color theme="0"/>
      </font>
      <fill>
        <patternFill>
          <bgColor theme="0"/>
        </patternFill>
      </fill>
    </dxf>
    <dxf>
      <fill>
        <patternFill>
          <bgColor rgb="FFFFC000"/>
        </patternFill>
      </fill>
    </dxf>
    <dxf>
      <font>
        <color theme="0"/>
      </font>
    </dxf>
    <dxf>
      <fill>
        <patternFill>
          <bgColor rgb="FFFFC000"/>
        </patternFill>
      </fill>
    </dxf>
    <dxf>
      <fill>
        <patternFill>
          <bgColor theme="6" tint="0.3999450666829432"/>
        </patternFill>
      </fill>
    </dxf>
    <dxf>
      <font>
        <color theme="0"/>
      </font>
      <fill>
        <patternFill>
          <bgColor theme="0"/>
        </patternFill>
      </fill>
    </dxf>
    <dxf>
      <font>
        <color theme="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F79646"/>
      <rgbColor rgb="00D8E4BC"/>
      <rgbColor rgb="00FFC000"/>
      <rgbColor rgb="0092D050"/>
      <rgbColor rgb="00EEECE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carlospeng(彭鹏)</author>
    <author>kimmyxiong(熊欣宇)</author>
    <author>yiranli(李忆然)</author>
    <author>timxiao(肖杰龙)</author>
    <author>timxiao</author>
    <author>熊欣宇</author>
  </authors>
  <commentList>
    <comment ref="Y11" authorId="0" shapeId="0">
      <text>
        <t>Base amount of annual bonus = Average monthly salary of the year × Time proration factor</t>
      </text>
    </comment>
    <comment ref="Z11" authorId="0" shapeId="0">
      <text>
        <t>Base amount of target bonus = Average target bonus of the year × Time proration factor</t>
      </text>
    </comment>
    <comment ref="AI11" authorId="1" shapeId="0">
      <text>
        <t>T+T0+Project bonus (if any)</t>
      </text>
    </comment>
    <comment ref="AP11" authorId="0" shapeId="0">
      <text>
        <t>Incremental incentives are awarded in the form of RSUs that vest over 2 years.</t>
      </text>
    </comment>
    <comment ref="AQ11" authorId="0" shapeId="0">
      <text>
        <t>T+T0+Project bonus (if any)+Incremental Incentive (if any)</t>
      </text>
    </comment>
    <comment ref="AR11" authorId="0" shapeId="0">
      <text>
        <t>Total Bonus Payout ÷ Base Amount of Annual Bonus</t>
      </text>
    </comment>
    <comment ref="AT11" authorId="0" shapeId="0">
      <text>
        <t>Total Bonus Payout ÷ Base Amount of Target Bonus</t>
      </text>
    </comment>
    <comment ref="BJ11" authorId="0" shapeId="0">
      <text>
        <t>Non-deductible leave days refer to leave days that do not affect an employee's time proration factor, including statuary paid leave (such as maternity leave) and other types of leave that are exempt from salary or bonus deduction.
Non-deductible leave days % = Number of leave days that have not affected the time proration factor / Number of working days during the year (this percentage will show only if the number of leave days exceeds 30)
This field is for reference only. Managers should allocate incentives based on the employee's actual contribution across the year.</t>
      </text>
    </comment>
    <comment ref="BM11" authorId="0" shapeId="0">
      <text>
        <t>Base amount of annual bonus = Average monthly salary of the year × Time proration factor</t>
      </text>
    </comment>
    <comment ref="BN11" authorId="0" shapeId="0">
      <text>
        <t>Base amount of target bonus = Average target bonus of the year × Time proration factor</t>
      </text>
    </comment>
    <comment ref="BU11" authorId="1" shapeId="0">
      <text>
        <t>T+T0+Project bonus (if any)</t>
      </text>
    </comment>
    <comment ref="BY11" authorId="0" shapeId="0">
      <text>
        <t>T+T0+Project bonus (if any)+Incremental incentive (if any)</t>
      </text>
    </comment>
    <comment ref="Y13" authorId="2" shapeId="0">
      <text>
        <t>年终奖基数=全年平均月薪 × 年终奖时间系数</t>
      </text>
    </comment>
    <comment ref="Z13" authorId="2" shapeId="0">
      <text>
        <t>Target Bonus基数=全年平均Target Bonus × 年终奖时间系数</t>
      </text>
    </comment>
    <comment ref="AI13" authorId="2" shapeId="0">
      <text>
        <t xml:space="preserve">绩效奖(T)+特别奖(T0)+项目奖(如有)
</t>
      </text>
    </comment>
    <comment ref="AP13" authorId="3" shapeId="0">
      <text>
        <t>发放方式为RSU，分2年归属</t>
      </text>
    </comment>
    <comment ref="AQ13" authorId="4" shapeId="0">
      <text>
        <t xml:space="preserve">绩效奖(T)+特别奖(T0)+项目奖(如有)+增量激励(如有)
</t>
      </text>
    </comment>
    <comment ref="AR13" authorId="0" shapeId="0">
      <text>
        <t>国内合计系数 = 合计金额 ÷ 年终奖基数</t>
      </text>
    </comment>
    <comment ref="AT13" authorId="0" shapeId="0">
      <text>
        <t>海外合计系数 = 合计金额 ÷ Target Bonus基数</t>
      </text>
    </comment>
    <comment ref="BJ13" authorId="2" shapeId="0">
      <text>
        <t xml:space="preserve">如产假，未影响时间系数，请管理者根据当年实际贡献考虑分配
</t>
      </text>
    </comment>
    <comment ref="BM13" authorId="2" shapeId="0">
      <text>
        <t xml:space="preserve">年终奖基数=全年平均月薪 × 年终奖时间系数
</t>
      </text>
    </comment>
    <comment ref="BN13" authorId="2" shapeId="0">
      <text>
        <t xml:space="preserve">Target Bonus基数=全年平均Target Bonus × 年终奖时间系数
</t>
      </text>
    </comment>
    <comment ref="BU13" authorId="2" shapeId="0">
      <text>
        <t xml:space="preserve">绩效奖(T)+特别奖(T0)+项目奖(如有)
</t>
      </text>
    </comment>
    <comment ref="BY13" authorId="2" shapeId="0">
      <text>
        <t xml:space="preserve">绩效奖(T)+特别奖(T0)+项目奖(如有)+增量激励(如有)
</t>
      </text>
    </comment>
    <comment ref="CJ13" authorId="5" shapeId="0">
      <text>
        <t>字段刷为国内则置于分配明细表的国内sheet分配，刷为海外则置于分配明细表的海外sheet分配</t>
      </text>
    </comment>
  </commentList>
</comments>
</file>

<file path=xl/comments/comment2.xml><?xml version="1.0" encoding="utf-8"?>
<comments xmlns="http://schemas.openxmlformats.org/spreadsheetml/2006/main">
  <authors>
    <author>carlospeng(彭鹏)</author>
    <author>yiranli(李忆然)</author>
    <author>timxiao(肖杰龙)</author>
    <author>timxiao</author>
    <author>熊欣宇</author>
  </authors>
  <commentList>
    <comment ref="Y11" authorId="0" shapeId="0">
      <text>
        <t>Base amount of annual bonus = Average monthly salary of the year × Time proration factor</t>
      </text>
    </comment>
    <comment ref="Z11" authorId="0" shapeId="0">
      <text>
        <t>Base amount of target bonus = Average target bonus of the year × Time proration factor</t>
      </text>
    </comment>
    <comment ref="AP11" authorId="0" shapeId="0">
      <text>
        <t xml:space="preserve">Incremental incentives are awarded in the form of RSUs that vest over 2 years.
</t>
      </text>
    </comment>
    <comment ref="AQ11" authorId="0" shapeId="0">
      <text>
        <t>T+T0+Project bonus (if any)+Incremental Incentive (if any)</t>
      </text>
    </comment>
    <comment ref="AR11" authorId="0" shapeId="0">
      <text>
        <t>Total Bonus Payout ÷ Base Amount of Annual Bonus</t>
      </text>
    </comment>
    <comment ref="AT11" authorId="0" shapeId="0">
      <text>
        <t>Total Bonus Payout ÷ Base Amount of Target Bonus</t>
      </text>
    </comment>
    <comment ref="BJ11" authorId="0" shapeId="0">
      <text>
        <t>Non-deductible leave days refer to leave days that do not affect an employee's time proration factor, including statuary paid leave (such as maternity leave) and other types of leave that are exempt from salary or bonus deduction.
Non-deductible leave days % = Number of leave days that have not affected the time proration factor / Number of working days during the year (this percentage will show only if the number of leave days exceeds 30)
This field is for reference only. Managers should allocate incentives based on the employee's actual contribution across the year.</t>
      </text>
    </comment>
    <comment ref="BM11" authorId="0" shapeId="0">
      <text>
        <t>Base amount of annual bonus = Average monthly salary of the year × Time proration factor</t>
      </text>
    </comment>
    <comment ref="BN11" authorId="0" shapeId="0">
      <text>
        <t>Base amount of target bonus = Average target bonus of the year × Time proration factor</t>
      </text>
    </comment>
    <comment ref="BY11" authorId="0" shapeId="0">
      <text>
        <t>T+T0+Project bonus (if any)+Incremental incentive (if any)</t>
      </text>
    </comment>
    <comment ref="Y13" authorId="1" shapeId="0">
      <text>
        <t>年终奖基数=全年平均月薪 × 年终奖时间系数</t>
      </text>
    </comment>
    <comment ref="Z13" authorId="1" shapeId="0">
      <text>
        <t>Target Bonus基数=全年平均Target Bonus × 年终奖时间系数</t>
      </text>
    </comment>
    <comment ref="AP13" authorId="2" shapeId="0">
      <text>
        <t>发放方式为RSU，分2年归属</t>
      </text>
    </comment>
    <comment ref="AQ13" authorId="3" shapeId="0">
      <text>
        <t xml:space="preserve">绩效奖(T)+特别奖(T0)+项目奖(如有)+增量激励(如有)
</t>
      </text>
    </comment>
    <comment ref="AR13" authorId="0" shapeId="0">
      <text>
        <t>国内合计系数 = 合计金额 ÷ 年终奖基数</t>
      </text>
    </comment>
    <comment ref="AT13" authorId="0" shapeId="0">
      <text>
        <t>海外合计系数 = 合计金额 ÷ Target Bonus基数</t>
      </text>
    </comment>
    <comment ref="BJ13" authorId="1" shapeId="0">
      <text>
        <t xml:space="preserve">如产假，未影响时间系数，请管理者根据当年实际贡献考虑分配
</t>
      </text>
    </comment>
    <comment ref="BM13" authorId="1" shapeId="0">
      <text>
        <t xml:space="preserve">年终奖基数=全年平均月薪 × 年终奖时间系数
</t>
      </text>
    </comment>
    <comment ref="BN13" authorId="1" shapeId="0">
      <text>
        <t xml:space="preserve">Target Bonus基数=全年平均Target Bonus × 年终奖时间系数
</t>
      </text>
    </comment>
    <comment ref="BY13" authorId="1" shapeId="0">
      <text>
        <t xml:space="preserve">绩效奖(T)+特别奖(T0)+项目奖(如有)+增量激励(如有)
</t>
      </text>
    </comment>
    <comment ref="CJ13" authorId="4" shapeId="0">
      <text>
        <t>字段刷为国内则置于分配明细表的国内sheet分配，刷为海外则置于分配明细表的海外sheet分配</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DC587"/>
  <sheetViews>
    <sheetView showGridLines="0" tabSelected="1" workbookViewId="0">
      <pane xSplit="23" ySplit="13" topLeftCell="X108" activePane="bottomRight" state="frozen"/>
      <selection pane="topRight" activeCell="X1" sqref="X1"/>
      <selection pane="bottomLeft" activeCell="A14" sqref="A14"/>
      <selection pane="bottomRight" activeCell="AC5" sqref="AC5"/>
    </sheetView>
  </sheetViews>
  <sheetFormatPr baseColWidth="10" defaultColWidth="9.19921875" defaultRowHeight="13" outlineLevelRow="1"/>
  <cols>
    <col width="8.59765625" customWidth="1" style="24" min="1" max="1"/>
    <col hidden="1" width="8.59765625" customWidth="1" style="178" min="2" max="2"/>
    <col hidden="1" outlineLevel="1" width="8.59765625" customWidth="1" style="24" min="3" max="4"/>
    <col collapsed="1" width="11" customWidth="1" style="26" min="5" max="5"/>
    <col width="11.19921875" customWidth="1" style="26" min="6" max="6"/>
    <col hidden="1" outlineLevel="1" width="8.59765625" customWidth="1" style="24" min="7" max="7"/>
    <col collapsed="1" width="8.59765625" customWidth="1" style="24" min="8" max="8"/>
    <col hidden="1" outlineLevel="1" width="8.59765625" customWidth="1" style="24" min="9" max="11"/>
    <col collapsed="1" width="8.59765625" customWidth="1" style="24" min="12" max="12"/>
    <col width="8.59765625" customWidth="1" style="24" min="13" max="14"/>
    <col hidden="1" outlineLevel="1" width="8.59765625" customWidth="1" style="24" min="15" max="15"/>
    <col collapsed="1" width="8.59765625" customWidth="1" style="24" min="16" max="16"/>
    <col width="8.59765625" customWidth="1" style="24" min="17" max="17"/>
    <col hidden="1" outlineLevel="1" width="8.59765625" customWidth="1" style="24" min="18" max="19"/>
    <col collapsed="1" width="8.59765625" customWidth="1" style="24" min="20" max="20"/>
    <col width="8.59765625" customWidth="1" style="24" min="21" max="21"/>
    <col hidden="1" outlineLevel="1" width="8.59765625" customWidth="1" style="24" min="22" max="22"/>
    <col collapsed="1" width="9.59765625" customWidth="1" style="24" min="23" max="23"/>
    <col width="8.59765625" customWidth="1" style="24" min="24" max="24"/>
    <col width="9.3984375" customWidth="1" style="24" min="25" max="25"/>
    <col hidden="1" outlineLevel="1" width="8.59765625" customWidth="1" style="24" min="26" max="26"/>
    <col collapsed="1" width="8.59765625" customWidth="1" style="24" min="27" max="27"/>
    <col width="8.59765625" customWidth="1" style="24" min="28" max="28"/>
    <col width="12.59765625" customWidth="1" style="24" min="29" max="29"/>
    <col hidden="1" width="8.59765625" customWidth="1" style="25" min="30" max="30"/>
    <col hidden="1" width="8.59765625" customWidth="1" style="24" min="31" max="32"/>
    <col hidden="1" outlineLevel="1" width="8.59765625" customWidth="1" style="24" min="33" max="34"/>
    <col collapsed="1" width="8.59765625" customWidth="1" style="24" min="35" max="35"/>
    <col width="8.59765625" customWidth="1" style="24" min="36" max="37"/>
    <col hidden="1" outlineLevel="1" width="8.59765625" customWidth="1" style="24" min="38" max="38"/>
    <col hidden="1" outlineLevel="1" width="8.59765625" customWidth="1" style="26" min="39" max="40"/>
    <col hidden="1" collapsed="1" width="8.796875" customWidth="1" style="24" min="41" max="41"/>
    <col hidden="1" width="8.59765625" customWidth="1" style="24" min="42" max="42"/>
    <col width="28.3984375" bestFit="1" customWidth="1" style="24" min="43" max="43"/>
    <col hidden="1" outlineLevel="1" width="8.59765625" customWidth="1" style="24" min="44" max="45"/>
    <col hidden="1" outlineLevel="1" width="8.59765625" customWidth="1" style="26" min="46" max="46"/>
    <col hidden="1" collapsed="1" width="8.59765625" customWidth="1" style="26" min="47" max="47"/>
    <col hidden="1" width="8.59765625" customWidth="1" style="26" min="48" max="52"/>
    <col width="10" customWidth="1" style="26" min="53" max="53"/>
    <col collapsed="1" width="9.59765625" customWidth="1" style="24" min="54" max="54"/>
    <col width="8.59765625" customWidth="1" style="24" min="55" max="56"/>
    <col width="13.19921875" customWidth="1" style="24" min="57" max="58"/>
    <col width="8.59765625" customWidth="1" style="24" min="59" max="59"/>
    <col width="10" customWidth="1" style="24" min="60" max="60"/>
    <col width="8.59765625" customWidth="1" style="24" min="61" max="61"/>
    <col width="13.19921875" customWidth="1" style="24" min="62" max="62"/>
    <col width="8.59765625" customWidth="1" style="24" min="63" max="64"/>
    <col width="9.59765625" customWidth="1" style="24" min="65" max="65"/>
    <col hidden="1" outlineLevel="1" width="10.796875" customWidth="1" style="26" min="66" max="66"/>
    <col hidden="1" outlineLevel="1" width="8.59765625" customWidth="1" style="24" min="67" max="67"/>
    <col collapsed="1" width="8.59765625" customWidth="1" style="24" min="68" max="68"/>
    <col width="8.59765625" customWidth="1" style="24" min="69" max="70"/>
    <col hidden="1" outlineLevel="1" width="8.59765625" customWidth="1" style="24" min="71" max="71"/>
    <col collapsed="1" width="8.59765625" customWidth="1" style="24" min="72" max="72"/>
    <col width="8.59765625" customWidth="1" style="24" min="73" max="74"/>
    <col hidden="1" outlineLevel="1" width="8.59765625" customWidth="1" style="24" min="75" max="75"/>
    <col collapsed="1" width="9.3984375" customWidth="1" style="24" min="76" max="76"/>
    <col width="8.59765625" customWidth="1" style="24" min="77" max="77"/>
    <col hidden="1" outlineLevel="1" width="8.59765625" customWidth="1" style="24" min="78" max="78"/>
    <col hidden="1" outlineLevel="1" width="8.59765625" customWidth="1" style="26" min="79" max="79"/>
    <col hidden="1" outlineLevel="1" width="8.59765625" customWidth="1" style="24" min="80" max="80"/>
    <col hidden="1" outlineLevel="1" width="10.796875" customWidth="1" style="24" min="81" max="81"/>
    <col hidden="1" outlineLevel="1" width="8.59765625" customWidth="1" style="24" min="82" max="82"/>
    <col collapsed="1" width="8.59765625" customWidth="1" style="24" min="83" max="83"/>
    <col width="8.59765625" customWidth="1" style="24" min="84" max="84"/>
    <col collapsed="1" width="8.59765625" customWidth="1" style="24" min="85" max="85"/>
    <col width="8.59765625" customWidth="1" style="24" min="86" max="86"/>
    <col width="10.3984375" customWidth="1" style="24" min="87" max="87"/>
    <col hidden="1" outlineLevel="1" width="8.59765625" customWidth="1" style="24" min="88" max="92"/>
    <col collapsed="1" width="10.3984375" customWidth="1" style="24" min="93" max="93"/>
    <col hidden="1" outlineLevel="1" width="9" customWidth="1" style="24" min="94" max="97"/>
    <col hidden="1" outlineLevel="1" width="9" customWidth="1" style="26" min="98" max="98"/>
    <col hidden="1" outlineLevel="1" width="10.3984375" customWidth="1" style="26" min="99" max="99"/>
    <col hidden="1" outlineLevel="1" width="9" customWidth="1" style="26" min="100" max="100"/>
    <col hidden="1" outlineLevel="1" width="9" customWidth="1" style="24" min="101" max="107"/>
    <col collapsed="1" width="9.19921875" customWidth="1" style="178" min="108" max="108"/>
  </cols>
  <sheetData>
    <row r="1" ht="17" customHeight="1" s="178">
      <c r="A1" s="91" t="inlineStr">
        <is>
          <t>分配模式：人民币  (Currency: CNY)</t>
        </is>
      </c>
      <c r="B1" s="91" t="n"/>
      <c r="L1" s="135" t="n"/>
      <c r="AB1" s="117">
        <f>AC3-AC4</f>
        <v/>
      </c>
      <c r="AC1" s="118" t="inlineStr">
        <is>
          <t>T+T0</t>
        </is>
      </c>
      <c r="AD1" s="119">
        <f>AE3-AE4</f>
        <v/>
      </c>
      <c r="AE1" s="118" t="n"/>
      <c r="AO1" s="82">
        <f>AP3-AP4</f>
        <v/>
      </c>
      <c r="AP1" s="118" t="n"/>
      <c r="AS1" s="26" t="n"/>
      <c r="AU1" s="82">
        <f>AV3-AV4</f>
        <v/>
      </c>
      <c r="AV1" s="118" t="n"/>
      <c r="AW1" s="82">
        <f>AX3-AX4</f>
        <v/>
      </c>
      <c r="AX1" s="118" t="n"/>
      <c r="AY1" s="82">
        <f>AZ3-AZ4</f>
        <v/>
      </c>
      <c r="AZ1" s="118" t="n"/>
      <c r="BA1" s="24" t="n"/>
    </row>
    <row r="2" ht="14" customHeight="1" s="178">
      <c r="A2" s="91" t="n"/>
      <c r="B2" s="91" t="n"/>
      <c r="L2" s="135" t="n"/>
      <c r="AB2" s="113" t="n"/>
      <c r="AC2" s="120" t="inlineStr">
        <is>
          <t>CNY</t>
        </is>
      </c>
      <c r="AD2" s="119" t="n"/>
      <c r="AE2" s="120" t="inlineStr">
        <is>
          <t>CNY</t>
        </is>
      </c>
      <c r="AO2" s="113" t="n"/>
      <c r="AP2" s="120" t="inlineStr">
        <is>
          <t>CNY</t>
        </is>
      </c>
      <c r="AS2" s="26" t="n"/>
      <c r="AU2" s="113" t="n"/>
      <c r="AV2" s="120" t="inlineStr">
        <is>
          <t>CNY</t>
        </is>
      </c>
      <c r="AW2" s="113" t="n"/>
      <c r="AX2" s="120" t="inlineStr">
        <is>
          <t>CNY</t>
        </is>
      </c>
      <c r="AY2" s="113" t="n"/>
      <c r="AZ2" s="120" t="inlineStr">
        <is>
          <t>CNY</t>
        </is>
      </c>
      <c r="BA2" s="24" t="n"/>
    </row>
    <row r="3" ht="15.75" customHeight="1" s="178">
      <c r="A3" s="67" t="inlineStr">
        <is>
          <t>请勿隐藏绿色可调整列</t>
        </is>
      </c>
      <c r="B3" s="67" t="n"/>
      <c r="E3" s="24" t="n"/>
      <c r="F3" s="24" t="n"/>
      <c r="U3" s="114" t="inlineStr">
        <is>
          <t>总额度 (Total)</t>
        </is>
      </c>
      <c r="X3" s="27" t="n"/>
      <c r="Y3" s="27" t="n"/>
      <c r="Z3" s="27" t="n"/>
      <c r="AA3" s="136" t="n"/>
      <c r="AB3" s="113" t="n"/>
      <c r="AC3" s="121" t="n">
        <v>100</v>
      </c>
      <c r="AD3" s="119" t="n"/>
      <c r="AE3" s="121" t="n"/>
      <c r="AO3" s="113" t="n"/>
      <c r="AP3" s="121" t="n"/>
      <c r="AS3" s="26" t="n"/>
      <c r="AU3" s="113" t="n"/>
      <c r="AV3" s="121" t="n"/>
      <c r="AW3" s="113" t="n"/>
      <c r="AX3" s="121" t="n"/>
      <c r="AY3" s="113" t="n"/>
      <c r="AZ3" s="121" t="n"/>
      <c r="BA3" s="24" t="n"/>
      <c r="BB3" s="28" t="n"/>
      <c r="BC3" s="28" t="n"/>
      <c r="BD3" s="28" t="n"/>
      <c r="CT3" s="24" t="n"/>
      <c r="CU3" s="24" t="n"/>
      <c r="CV3" s="24" t="n"/>
    </row>
    <row r="4" ht="15.75" customHeight="1" s="178">
      <c r="A4" s="67" t="inlineStr">
        <is>
          <t>Please DO NOT hide the Green column !</t>
        </is>
      </c>
      <c r="B4" s="67" t="n"/>
      <c r="E4" s="24" t="n"/>
      <c r="F4" s="24" t="n"/>
      <c r="U4" s="115" t="inlineStr">
        <is>
          <t>已用额度 (Assigned)</t>
        </is>
      </c>
      <c r="X4" s="27" t="n"/>
      <c r="Y4" s="27" t="n"/>
      <c r="Z4" s="27" t="n"/>
      <c r="AB4" s="113" t="n"/>
      <c r="AC4" s="121" t="n">
        <v>100</v>
      </c>
      <c r="AD4" s="119" t="n"/>
      <c r="AE4" s="121">
        <f>ROUND(AD9+AE7+IF(ISREF(INDIRECT("'年终奖分配明细表-海外'!A1")),'年终奖分配明细表-海外'!AD9,0),0)</f>
        <v/>
      </c>
      <c r="AO4" s="113" t="n"/>
      <c r="AP4" s="121">
        <f>ROUND(AO9+AP7+IF(ISREF(INDIRECT("'年终奖分配明细表-海外'!A1")),'年终奖分配明细表-海外'!AO9,0),0)</f>
        <v/>
      </c>
      <c r="AS4" s="26" t="n"/>
      <c r="AU4" s="113" t="n"/>
      <c r="AV4" s="121">
        <f>ROUND(AU9+AV7+IF(ISREF(INDIRECT("'年终奖分配明细表-海外'!A1")),'年终奖分配明细表-海外'!AU9,0),0)</f>
        <v/>
      </c>
      <c r="AW4" s="113" t="n"/>
      <c r="AX4" s="121">
        <f>ROUND(AW9+AX7+IF(ISREF(INDIRECT("'年终奖分配明细表-海外'!A1")),'年终奖分配明细表-海外'!AW9,0),0)</f>
        <v/>
      </c>
      <c r="AY4" s="113" t="n"/>
      <c r="AZ4" s="121">
        <f>ROUND(AY9+AZ7+IF(ISREF(INDIRECT("'年终奖分配明细表-海外'!A1")),'年终奖分配明细表-海外'!AY9,0),0)</f>
        <v/>
      </c>
      <c r="BA4" s="24" t="n"/>
      <c r="BB4" s="28" t="n"/>
      <c r="BC4" s="28" t="n"/>
      <c r="BD4" s="28" t="n"/>
      <c r="CT4" s="24" t="n"/>
      <c r="CU4" s="24" t="n"/>
      <c r="CV4" s="24" t="n"/>
    </row>
    <row r="5" ht="15.75" customHeight="1" s="178">
      <c r="E5" s="24" t="n"/>
      <c r="F5" s="24" t="n"/>
      <c r="U5" s="116" t="inlineStr">
        <is>
          <t>剩余额度 (Remaining)</t>
        </is>
      </c>
      <c r="X5" s="27" t="n"/>
      <c r="Y5" s="27" t="n"/>
      <c r="Z5" s="27" t="n"/>
      <c r="AB5" s="113" t="n"/>
      <c r="AC5" s="121">
        <f>AC3-AC4</f>
        <v/>
      </c>
      <c r="AD5" s="119" t="n"/>
      <c r="AE5" s="121">
        <f>AE3-AE4</f>
        <v/>
      </c>
      <c r="AO5" s="113" t="n"/>
      <c r="AP5" s="121">
        <f>AP3-AP4</f>
        <v/>
      </c>
      <c r="AS5" s="26" t="n"/>
      <c r="AU5" s="113" t="n"/>
      <c r="AV5" s="121">
        <f>AV3-AV4</f>
        <v/>
      </c>
      <c r="AW5" s="113" t="n"/>
      <c r="AX5" s="121">
        <f>AX3-AX4</f>
        <v/>
      </c>
      <c r="AY5" s="113" t="n"/>
      <c r="AZ5" s="121">
        <f>AZ3-AZ4</f>
        <v/>
      </c>
      <c r="BA5" s="24" t="n"/>
      <c r="BB5" s="28" t="n"/>
      <c r="BC5" s="28" t="n"/>
      <c r="BD5" s="28" t="n"/>
      <c r="CT5" s="24" t="n"/>
      <c r="CU5" s="24" t="n"/>
      <c r="CV5" s="24" t="n"/>
    </row>
    <row r="6" ht="13.5" customHeight="1" s="178">
      <c r="E6" s="82" t="n"/>
      <c r="F6" s="82" t="n"/>
      <c r="X6" s="27" t="n"/>
      <c r="Y6" s="27" t="n"/>
      <c r="Z6" s="27" t="n"/>
      <c r="AD6" s="24" t="n"/>
      <c r="AO6" s="82">
        <f>AP1</f>
        <v/>
      </c>
      <c r="AS6" s="26" t="n"/>
      <c r="AU6" s="82">
        <f>AV1</f>
        <v/>
      </c>
      <c r="AV6" s="24" t="n"/>
      <c r="AW6" s="82">
        <f>AX1</f>
        <v/>
      </c>
      <c r="AX6" s="24" t="n"/>
      <c r="AY6" s="82">
        <f>AZ1</f>
        <v/>
      </c>
      <c r="AZ6" s="24" t="n"/>
      <c r="BA6" s="24" t="n"/>
      <c r="BB6" s="28" t="n"/>
      <c r="BC6" s="28" t="n"/>
      <c r="BD6" s="28" t="n"/>
      <c r="BW6" s="26" t="n"/>
      <c r="CS6" s="26" t="n"/>
      <c r="CT6" s="24" t="n"/>
      <c r="CU6" s="24" t="n"/>
      <c r="CV6" s="24" t="n"/>
    </row>
    <row r="7" hidden="1" ht="13.5" customFormat="1" customHeight="1" s="28">
      <c r="A7" s="29" t="inlineStr">
        <is>
          <t>请勿删除第一行到第七行！！！</t>
        </is>
      </c>
      <c r="B7" s="29" t="n"/>
      <c r="C7" s="29" t="n"/>
      <c r="G7" s="30" t="n"/>
      <c r="H7" s="30" t="n"/>
      <c r="N7" s="30" t="n"/>
      <c r="O7" s="30" t="n"/>
      <c r="P7" s="30" t="n"/>
      <c r="Q7" s="30" t="n"/>
      <c r="R7" s="30" t="n"/>
      <c r="S7" s="30" t="n"/>
      <c r="T7" s="30" t="n"/>
      <c r="U7" s="30" t="n"/>
      <c r="V7" s="31" t="n"/>
      <c r="AB7" s="30" t="n">
        <v>21426647.2893</v>
      </c>
      <c r="AC7" s="28">
        <f>AC3-AB7</f>
        <v/>
      </c>
      <c r="AE7" s="32">
        <f>AE3-AD7</f>
        <v/>
      </c>
      <c r="AP7" s="28">
        <f>AP3-AO7</f>
        <v/>
      </c>
      <c r="AV7" s="28">
        <f>AV3-AU7</f>
        <v/>
      </c>
      <c r="AX7" s="28">
        <f>AX3-AW7</f>
        <v/>
      </c>
      <c r="AZ7" s="28">
        <f>AZ3-AY7</f>
        <v/>
      </c>
    </row>
    <row r="8" hidden="1" ht="20.25" customFormat="1" customHeight="1" s="28">
      <c r="A8" s="31" t="n"/>
      <c r="B8" s="31" t="n"/>
      <c r="C8" s="31" t="n"/>
      <c r="D8" s="30" t="n"/>
      <c r="E8" s="82">
        <f>"@@CURRENCY_CNY"</f>
        <v/>
      </c>
      <c r="F8" s="82" t="n"/>
      <c r="G8" s="30" t="n"/>
      <c r="H8" s="30" t="n"/>
      <c r="N8" s="30" t="n"/>
      <c r="O8" s="30" t="n"/>
      <c r="P8" s="30" t="n"/>
      <c r="Q8" s="30" t="n"/>
      <c r="R8" s="30" t="n"/>
      <c r="S8" s="30" t="n"/>
      <c r="T8" s="30" t="n"/>
      <c r="U8" s="30" t="n"/>
      <c r="V8" s="31" t="n"/>
      <c r="AB8" s="30" t="n"/>
      <c r="AC8" s="33" t="inlineStr">
        <is>
          <t>h+TkhcC+k1K03NEzw7PIuIzvrKpz8sw2bC8IRy/wu0I=</t>
        </is>
      </c>
      <c r="AE8" s="33" t="n"/>
      <c r="AP8" s="33" t="n"/>
      <c r="AV8" s="33" t="n"/>
      <c r="AX8" s="33" t="n"/>
      <c r="AZ8" s="33" t="n"/>
    </row>
    <row r="9" hidden="1" ht="20.25" customFormat="1" customHeight="1" s="37">
      <c r="A9" s="34" t="n">
        <v>2</v>
      </c>
      <c r="B9" s="34" t="n"/>
      <c r="C9" s="34" t="n"/>
      <c r="D9" s="35" t="n"/>
      <c r="E9" s="35" t="n"/>
      <c r="F9" s="35" t="n"/>
      <c r="G9" s="36" t="inlineStr">
        <is>
          <t>@@CD_g1qT4RWZn8PvzqzsvsSlZ1HoevUBl8dinYL8/H7Cw9JN1xdebvU/xUsX4kOF/8om</t>
        </is>
      </c>
      <c r="H9" s="36" t="n"/>
      <c r="N9" s="36" t="n"/>
      <c r="O9" s="36" t="n"/>
      <c r="P9" s="36" t="n"/>
      <c r="Q9" s="36" t="n"/>
      <c r="R9" s="36" t="n"/>
      <c r="S9" s="36" t="n"/>
      <c r="T9" s="36" t="n"/>
      <c r="U9" s="36" t="n"/>
      <c r="V9" s="38" t="n"/>
      <c r="AB9" s="28">
        <f>SUM(AA14:AA128)+SUM(AC14:AC128)</f>
        <v/>
      </c>
      <c r="AD9" s="32">
        <f>SUM(AE14:AE128)</f>
        <v/>
      </c>
      <c r="AO9" s="28">
        <f>SUM(AP14:AP128)</f>
        <v/>
      </c>
      <c r="AU9" s="28">
        <f>SUM(AV14:AV128)</f>
        <v/>
      </c>
      <c r="AW9" s="28">
        <f>SUM(AX14:AX128)</f>
        <v/>
      </c>
      <c r="AY9" s="28">
        <f>SUM(AZ14:AZ128)</f>
        <v/>
      </c>
      <c r="BB9" s="39" t="n"/>
      <c r="BC9" s="39" t="n"/>
      <c r="BD9" s="39" t="n"/>
    </row>
    <row r="10" ht="13.5" customFormat="1" customHeight="1" s="40">
      <c r="A10" s="4" t="n"/>
      <c r="B10" s="4" t="n"/>
      <c r="C10" s="4" t="n"/>
      <c r="D10" s="4" t="n"/>
      <c r="E10" s="4" t="n"/>
      <c r="F10" s="4" t="n"/>
      <c r="G10" s="4" t="n"/>
      <c r="H10" s="85" t="inlineStr">
        <is>
          <t>基本信息 (Basic Info)</t>
        </is>
      </c>
      <c r="I10" s="4" t="n"/>
      <c r="J10" s="4" t="n"/>
      <c r="K10" s="4" t="n"/>
      <c r="L10" s="4" t="n"/>
      <c r="M10" s="4" t="n"/>
      <c r="N10" s="4" t="n"/>
      <c r="O10" s="4" t="n"/>
      <c r="P10" s="4" t="n"/>
      <c r="Q10" s="4" t="n"/>
      <c r="R10" s="4" t="n"/>
      <c r="S10" s="4" t="n"/>
      <c r="T10" s="4" t="n"/>
      <c r="U10" s="4" t="n"/>
      <c r="V10" s="4" t="n"/>
      <c r="W10" s="4" t="n"/>
      <c r="X10" s="19" t="n"/>
      <c r="Y10" s="20" t="n"/>
      <c r="Z10" s="20" t="n"/>
      <c r="AA10" s="20" t="n"/>
      <c r="AB10" s="20" t="n"/>
      <c r="AC10" s="86" t="inlineStr">
        <is>
          <t>本次奖金 (Bonus of This Year)</t>
        </is>
      </c>
      <c r="AD10" s="20" t="n"/>
      <c r="AE10" s="20" t="n"/>
      <c r="AF10" s="20" t="n"/>
      <c r="AG10" s="20" t="n"/>
      <c r="AH10" s="20" t="n"/>
      <c r="AI10" s="20" t="n"/>
      <c r="AJ10" s="20" t="n"/>
      <c r="AK10" s="20" t="n"/>
      <c r="AL10" s="21" t="n"/>
      <c r="AM10" s="20" t="n"/>
      <c r="AN10" s="20" t="n"/>
      <c r="AO10" s="162">
        <f>"本次"&amp;AP1</f>
        <v/>
      </c>
      <c r="AP10" s="163" t="n"/>
      <c r="AQ10" s="101" t="inlineStr">
        <is>
          <t>本次合计 (Total of This Year)</t>
        </is>
      </c>
      <c r="AR10" s="102" t="n"/>
      <c r="AS10" s="102" t="n"/>
      <c r="AT10" s="103" t="n"/>
      <c r="AU10" s="163" t="n"/>
      <c r="AV10" s="163" t="n"/>
      <c r="AW10" s="163" t="n"/>
      <c r="AX10" s="163" t="n"/>
      <c r="AY10" s="163" t="n"/>
      <c r="AZ10" s="163" t="n"/>
      <c r="BA10" s="87" t="inlineStr">
        <is>
          <t>备注信息 (Remarks)</t>
        </is>
      </c>
      <c r="BB10" s="87" t="n"/>
      <c r="BC10" s="17" t="n"/>
      <c r="BD10" s="17" t="n"/>
      <c r="BE10" s="17" t="n"/>
      <c r="BF10" s="17" t="n"/>
      <c r="BG10" s="96" t="inlineStr">
        <is>
          <t>辅助信息 (Additional Info)</t>
        </is>
      </c>
      <c r="BH10" s="16" t="n"/>
      <c r="BI10" s="16" t="n"/>
      <c r="BJ10" s="16" t="n"/>
      <c r="BK10" s="16" t="n"/>
      <c r="BL10" s="13" t="n"/>
      <c r="BM10" s="9" t="n"/>
      <c r="BN10" s="9" t="n"/>
      <c r="BO10" s="14" t="n"/>
      <c r="BP10" s="97" t="inlineStr">
        <is>
          <t>上年度参考信息 (Reference Info of Last Year)</t>
        </is>
      </c>
      <c r="BQ10" s="9" t="n"/>
      <c r="BR10" s="9" t="n"/>
      <c r="BS10" s="9" t="n"/>
      <c r="BT10" s="9" t="n"/>
      <c r="BU10" s="9" t="n"/>
      <c r="BV10" s="9" t="n"/>
      <c r="BW10" s="9" t="n"/>
      <c r="BX10" s="9" t="n"/>
      <c r="BY10" s="9" t="n"/>
      <c r="BZ10" s="9" t="n"/>
      <c r="CA10" s="9" t="n"/>
      <c r="CB10" s="9" t="n"/>
      <c r="CC10" s="9" t="n"/>
      <c r="CD10" s="9" t="n"/>
      <c r="CE10" s="9" t="n"/>
      <c r="CF10" s="15" t="n"/>
      <c r="CG10" s="88" t="inlineStr">
        <is>
          <t>包信息 (Pool Info)</t>
        </is>
      </c>
      <c r="CH10" s="12" t="n"/>
      <c r="CI10" s="89" t="inlineStr">
        <is>
          <t>自定义标签 (Custom Labels)</t>
        </is>
      </c>
      <c r="CJ10" s="8" t="n"/>
      <c r="CK10" s="8" t="n"/>
      <c r="CL10" s="8" t="n"/>
      <c r="CM10" s="8" t="n"/>
      <c r="CN10" s="9" t="n"/>
      <c r="CO10" s="9" t="n"/>
      <c r="CP10" s="8" t="n"/>
      <c r="CQ10" s="8" t="n"/>
      <c r="CR10" s="8" t="n"/>
      <c r="CS10" s="8" t="n"/>
      <c r="CT10" s="8" t="n"/>
      <c r="CU10" s="8" t="n"/>
      <c r="CV10" s="8" t="n"/>
      <c r="CW10" s="8" t="n"/>
      <c r="CX10" s="8" t="n"/>
      <c r="CY10" s="8" t="n"/>
      <c r="CZ10" s="8" t="n"/>
      <c r="DA10" s="8" t="n"/>
      <c r="DB10" s="8" t="n"/>
      <c r="DC10" s="10" t="n"/>
    </row>
    <row r="11" hidden="1" outlineLevel="1" ht="71" customFormat="1" customHeight="1" s="40">
      <c r="A11" s="3" t="inlineStr">
        <is>
          <t>Name</t>
        </is>
      </c>
      <c r="B11" s="3" t="inlineStr">
        <is>
          <t>Legal Name</t>
        </is>
      </c>
      <c r="C11" s="65" t="inlineStr">
        <is>
          <t>Staff ID</t>
        </is>
      </c>
      <c r="D11" s="65" t="inlineStr">
        <is>
          <t>Department</t>
        </is>
      </c>
      <c r="E11" s="2" t="inlineStr">
        <is>
          <t>Sub Organization of the Department</t>
        </is>
      </c>
      <c r="F11" s="134" t="inlineStr">
        <is>
          <t>2nd-Level Org. Under Department</t>
        </is>
      </c>
      <c r="G11" s="65" t="inlineStr">
        <is>
          <t>Organization</t>
        </is>
      </c>
      <c r="H11" s="2" t="inlineStr">
        <is>
          <t>Onboarding Date</t>
        </is>
      </c>
      <c r="I11" s="65" t="inlineStr">
        <is>
          <t>Employment Type</t>
        </is>
      </c>
      <c r="J11" s="65" t="inlineStr">
        <is>
          <t>Job function</t>
        </is>
      </c>
      <c r="K11" s="65" t="inlineStr">
        <is>
          <t>Position</t>
        </is>
      </c>
      <c r="L11" s="2" t="inlineStr">
        <is>
          <t>Professional grade</t>
        </is>
      </c>
      <c r="M11" s="2" t="inlineStr">
        <is>
          <t>Managerial grade</t>
        </is>
      </c>
      <c r="N11" s="2" t="inlineStr">
        <is>
          <t>Talent Tier</t>
        </is>
      </c>
      <c r="O11" s="131" t="inlineStr">
        <is>
          <t>2024 Talent Tier</t>
        </is>
      </c>
      <c r="P11" s="5" t="inlineStr">
        <is>
          <t>Talent Tier Change in Last 2 Years</t>
        </is>
      </c>
      <c r="Q11" s="5" t="inlineStr">
        <is>
          <t>2025 H1/H2 Performance Ratings</t>
        </is>
      </c>
      <c r="R11" s="161" t="inlineStr">
        <is>
          <t>2025 H1/H2 Customized Performance Ratings</t>
        </is>
      </c>
      <c r="S11" s="133" t="inlineStr">
        <is>
          <t>2024 H1/H2 Performance Ratings</t>
        </is>
      </c>
      <c r="T11" s="132" t="inlineStr">
        <is>
          <t>Performance Change in Last 2 Years</t>
        </is>
      </c>
      <c r="U11" s="2" t="inlineStr">
        <is>
          <t>Current Monthly Salary
(CNY)</t>
        </is>
      </c>
      <c r="V11" s="129" t="inlineStr">
        <is>
          <t>Target Bonus %</t>
        </is>
      </c>
      <c r="W11" s="2" t="inlineStr">
        <is>
          <t>Payroll Currency</t>
        </is>
      </c>
      <c r="X11" s="19" t="inlineStr">
        <is>
          <t>Time Proration Factor</t>
        </is>
      </c>
      <c r="Y11" s="19" t="inlineStr">
        <is>
          <t>Base Amount of Annual Bonus
(CNY)</t>
        </is>
      </c>
      <c r="Z11" s="79" t="inlineStr">
        <is>
          <t>Base Amount of Target Bonus
(CNY)</t>
        </is>
      </c>
      <c r="AA11" s="22" t="inlineStr">
        <is>
          <t>Target Bonus (T)
(CNY)</t>
        </is>
      </c>
      <c r="AB11" s="22" t="inlineStr">
        <is>
          <t>Special Bonus (T0)
Suggestion
(CNY)</t>
        </is>
      </c>
      <c r="AC11" s="22" t="inlineStr">
        <is>
          <t>Actual Special Bonus (T0)
(CNY)</t>
        </is>
      </c>
      <c r="AD11" s="22">
        <f>IF(ISBLANK(AD12),"预留",AD12)&amp;CHAR(10)&amp;"Suggestion"&amp;CHAR(10)&amp;"(CNY)"</f>
        <v/>
      </c>
      <c r="AE11" s="22">
        <f>IF(ISBLANK(AD12),"预留",AD12)&amp;CHAR(10)&amp;"Submission"&amp;CHAR(10)&amp;"(CNY)"</f>
        <v/>
      </c>
      <c r="AF11" s="22" t="inlineStr">
        <is>
          <t>Total Project Bonus
(CNY)</t>
        </is>
      </c>
      <c r="AG11" s="23" t="inlineStr">
        <is>
          <t>T+T0 Bonus
(CNY)</t>
        </is>
      </c>
      <c r="AH11" s="23" t="inlineStr">
        <is>
          <t>T+T0 Bonus Index</t>
        </is>
      </c>
      <c r="AI11" s="22" t="inlineStr">
        <is>
          <t>T+T0+Project Bonus Amount
(CNY)</t>
        </is>
      </c>
      <c r="AJ11" s="22" t="inlineStr">
        <is>
          <t>T+T0+Project Bonus Index</t>
        </is>
      </c>
      <c r="AK11" s="22" t="inlineStr">
        <is>
          <t>Suggested T+T0+Project Bonus Index</t>
        </is>
      </c>
      <c r="AL11" s="100" t="inlineStr">
        <is>
          <t>Vs. 2024 T+T0+Project Bonus
(CNY)</t>
        </is>
      </c>
      <c r="AM11" s="66" t="inlineStr">
        <is>
          <t>Target+Project Bonus Index</t>
        </is>
      </c>
      <c r="AN11" s="66" t="inlineStr">
        <is>
          <t>Suggested Target+Project Bonus Index</t>
        </is>
      </c>
      <c r="AO11" s="18" t="inlineStr">
        <is>
          <t>Incremental Profit Sharing Incentive
Suggestion(CNY)
(CNY)</t>
        </is>
      </c>
      <c r="AP11" s="18">
        <f>AO12&amp;CHAR(10)&amp;"Submission"&amp;CHAR(10)&amp;"(CNY)"</f>
        <v/>
      </c>
      <c r="AQ11" s="104" t="inlineStr">
        <is>
          <t>Total Bonus Payout</t>
        </is>
      </c>
      <c r="AR11" s="137" t="inlineStr">
        <is>
          <t>Total Payout Index (China)</t>
        </is>
      </c>
      <c r="AS11" s="105" t="inlineStr">
        <is>
          <t>Vs. 2024 Total Bonus Payout</t>
        </is>
      </c>
      <c r="AT11" s="105" t="inlineStr">
        <is>
          <t>Total Payout Index (Overseas)</t>
        </is>
      </c>
      <c r="AU11" s="18">
        <f>IF(ISBLANK(AU12),"预留",AU12)&amp;CHAR(10)&amp;"Suggestion"&amp;CHAR(10)&amp;"(CNY)"</f>
        <v/>
      </c>
      <c r="AV11" s="18">
        <f>AU12&amp;CHAR(10)&amp;"Submission"&amp;CHAR(10)&amp;"(CNY)"</f>
        <v/>
      </c>
      <c r="AW11" s="18">
        <f>IF(ISBLANK(AW12),"预留",AW12)&amp;CHAR(10)&amp;"Suggestion"&amp;CHAR(10)&amp;"(CNY)"</f>
        <v/>
      </c>
      <c r="AX11" s="18">
        <f>AW12&amp;CHAR(10)&amp;"Submission"&amp;CHAR(10)&amp;"(CNY)"</f>
        <v/>
      </c>
      <c r="AY11" s="18">
        <f>IF(ISBLANK(AY12),"预留",AY12)&amp;CHAR(10)&amp;"Suggestion"&amp;CHAR(10)&amp;"(CNY)"</f>
        <v/>
      </c>
      <c r="AZ11" s="18">
        <f>AY12&amp;CHAR(10)&amp;"Submission"&amp;CHAR(10)&amp;"(CNY)"</f>
        <v/>
      </c>
      <c r="BA11" s="76" t="inlineStr">
        <is>
          <t>Allocation Remarks</t>
        </is>
      </c>
      <c r="BB11" s="123" t="inlineStr">
        <is>
          <t>Historical Remarks</t>
        </is>
      </c>
      <c r="BC11" s="122" t="inlineStr">
        <is>
          <t>C&amp;B G Remarks</t>
        </is>
      </c>
      <c r="BD11" s="76" t="inlineStr">
        <is>
          <t>Remarks from HRBP</t>
        </is>
      </c>
      <c r="BE11" s="130" t="inlineStr">
        <is>
          <t>Compensation-Performance Consistency</t>
        </is>
      </c>
      <c r="BF11" s="76" t="inlineStr">
        <is>
          <t>Allocation Alert</t>
        </is>
      </c>
      <c r="BG11" s="76" t="inlineStr">
        <is>
          <t>Promised Bonus
(CNY)</t>
        </is>
      </c>
      <c r="BH11" s="76" t="inlineStr">
        <is>
          <t>Bonus Paid During the Year
(CNY)</t>
        </is>
      </c>
      <c r="BI11" s="76" t="inlineStr">
        <is>
          <t>Remarks about Paid Bonus</t>
        </is>
      </c>
      <c r="BJ11" s="76" t="inlineStr">
        <is>
          <t>Non-deductible Leave Days %</t>
        </is>
      </c>
      <c r="BK11" s="76" t="inlineStr">
        <is>
          <t>Leave Days Remarks</t>
        </is>
      </c>
      <c r="BL11" s="7" t="inlineStr">
        <is>
          <t>Time Proration Factor of 2024 Annual Bonus</t>
        </is>
      </c>
      <c r="BM11" s="7" t="inlineStr">
        <is>
          <t>Base Amount of 2024 Annual Bonus
(CNY)</t>
        </is>
      </c>
      <c r="BN11" s="81" t="inlineStr">
        <is>
          <t>Base Amount of 2024 Target Bonus
(CNY)</t>
        </is>
      </c>
      <c r="BO11" s="80" t="inlineStr">
        <is>
          <t>Monthly Salary in 2024
(CNY)</t>
        </is>
      </c>
      <c r="BP11" s="7" t="inlineStr">
        <is>
          <t>2024 H1/H2 Performance Ratings</t>
        </is>
      </c>
      <c r="BQ11" s="7" t="inlineStr">
        <is>
          <t>2024 Talent Tier</t>
        </is>
      </c>
      <c r="BR11" s="7" t="inlineStr">
        <is>
          <t>2024 T+T0 Bonus
(CNY)</t>
        </is>
      </c>
      <c r="BS11" s="80" t="inlineStr">
        <is>
          <t>2024 T+T0 Bonus Index</t>
        </is>
      </c>
      <c r="BT11" s="7" t="inlineStr">
        <is>
          <t>2024 Total Project Bonus
(CNY)</t>
        </is>
      </c>
      <c r="BU11" s="7" t="inlineStr">
        <is>
          <t>2024 T+T0+Project Bonus
(CNY)</t>
        </is>
      </c>
      <c r="BV11" s="7" t="inlineStr">
        <is>
          <t>2024 T+T0+Project Bonus Index</t>
        </is>
      </c>
      <c r="BW11" s="81" t="inlineStr">
        <is>
          <t>2024 Target+Project Bonus Index</t>
        </is>
      </c>
      <c r="BX11" s="77" t="inlineStr">
        <is>
          <t>2024 Incremental Incentive
(CNY)</t>
        </is>
      </c>
      <c r="BY11" s="7" t="inlineStr">
        <is>
          <t>2024 Total Bonus Payout
(CNY)</t>
        </is>
      </c>
      <c r="BZ11" s="80" t="inlineStr">
        <is>
          <t xml:space="preserve"> 2024 Total Payout Index (China)</t>
        </is>
      </c>
      <c r="CA11" s="81" t="inlineStr">
        <is>
          <t xml:space="preserve"> 2024 Total Payout Index (Overseas)</t>
        </is>
      </c>
      <c r="CB11" s="80" t="inlineStr">
        <is>
          <t>2024 Service Bonus
(CNY)</t>
        </is>
      </c>
      <c r="CC11" s="80" t="inlineStr">
        <is>
          <t>2024 One- time Incremental Incentive
(CNY)</t>
        </is>
      </c>
      <c r="CD11" s="80" t="inlineStr">
        <is>
          <t>2024 Special Grant
(CNY)</t>
        </is>
      </c>
      <c r="CE11" s="7" t="inlineStr">
        <is>
          <t>2024 Non-deductible Leave Days %</t>
        </is>
      </c>
      <c r="CF11" s="11" t="inlineStr">
        <is>
          <t>2024 Salary Structure Change</t>
        </is>
      </c>
      <c r="CG11" s="11" t="inlineStr">
        <is>
          <t>Pool name</t>
        </is>
      </c>
      <c r="CH11" s="11" t="inlineStr">
        <is>
          <t>Pool Owner</t>
        </is>
      </c>
      <c r="CI11" s="11" t="inlineStr">
        <is>
          <t>Salary Structure Change</t>
        </is>
      </c>
      <c r="CJ11" s="83" t="inlineStr">
        <is>
          <t>Sheet Split Tag</t>
        </is>
      </c>
      <c r="CK11" s="164" t="inlineStr">
        <is>
          <t>Region</t>
        </is>
      </c>
      <c r="CL11" s="83" t="inlineStr">
        <is>
          <t>Country/Region</t>
        </is>
      </c>
      <c r="CM11" s="83" t="inlineStr">
        <is>
          <t>Continent Region</t>
        </is>
      </c>
      <c r="CN11" s="83" t="inlineStr">
        <is>
          <t>LCY Exchange Rate</t>
        </is>
      </c>
      <c r="CO11" s="84" t="inlineStr">
        <is>
          <t>Termination/Transfer Label</t>
        </is>
      </c>
      <c r="CP11" s="83" t="inlineStr">
        <is>
          <t>Organization Label</t>
        </is>
      </c>
      <c r="CQ11" s="83" t="inlineStr">
        <is>
          <t>Performance Label</t>
        </is>
      </c>
      <c r="CR11" s="83" t="inlineStr">
        <is>
          <t>Job Grade Label</t>
        </is>
      </c>
      <c r="CS11" s="83" t="inlineStr">
        <is>
          <t>Talent Tier Label</t>
        </is>
      </c>
      <c r="CT11" s="83" t="inlineStr">
        <is>
          <t>New Job System Label</t>
        </is>
      </c>
      <c r="CU11" s="83" t="inlineStr">
        <is>
          <t>Serious violations of the Sunshine Code of Conduct</t>
        </is>
      </c>
      <c r="CV11" s="83" t="inlineStr">
        <is>
          <t>Good Overall Performance Rating with Underperform Contribution or Conduct Rating</t>
        </is>
      </c>
      <c r="CW11" s="83" t="inlineStr">
        <is>
          <t>Backup Label 2</t>
        </is>
      </c>
      <c r="CX11" s="83" t="inlineStr">
        <is>
          <t>Backup Label 3</t>
        </is>
      </c>
      <c r="CY11" s="83" t="inlineStr">
        <is>
          <t>Backup Label 4</t>
        </is>
      </c>
      <c r="CZ11" s="83" t="inlineStr">
        <is>
          <t>Backup Label 5</t>
        </is>
      </c>
      <c r="DA11" s="83" t="inlineStr">
        <is>
          <t>Backup Label 6</t>
        </is>
      </c>
      <c r="DB11" s="83" t="inlineStr">
        <is>
          <t>Backup Label 7</t>
        </is>
      </c>
      <c r="DC11" s="83" t="inlineStr">
        <is>
          <t>Backup Label 8</t>
        </is>
      </c>
    </row>
    <row r="12" hidden="1" collapsed="1" customFormat="1" s="55">
      <c r="A12" s="56" t="inlineStr">
        <is>
          <t>@Name</t>
        </is>
      </c>
      <c r="B12" s="56" t="n"/>
      <c r="C12" s="44" t="n"/>
      <c r="D12" s="57">
        <f>"@@CR_12"</f>
        <v/>
      </c>
      <c r="E12" s="57" t="n"/>
      <c r="F12" s="57" t="n"/>
      <c r="G12" s="44" t="n"/>
      <c r="H12" s="44" t="n"/>
      <c r="I12" s="44" t="n"/>
      <c r="J12" s="44" t="n"/>
      <c r="K12" s="44" t="n"/>
      <c r="L12" s="44" t="n"/>
      <c r="M12" s="44" t="n"/>
      <c r="N12" s="44" t="n"/>
      <c r="O12" s="44" t="n"/>
      <c r="P12" s="44" t="n"/>
      <c r="Q12" s="58" t="n"/>
      <c r="R12" s="58" t="n"/>
      <c r="S12" s="58" t="n"/>
      <c r="T12" s="58" t="n"/>
      <c r="U12" s="44" t="n"/>
      <c r="V12" s="44" t="n"/>
      <c r="W12" s="44" t="n"/>
      <c r="X12" s="59" t="n"/>
      <c r="Y12" s="59" t="n"/>
      <c r="Z12" s="59" t="n"/>
      <c r="AA12" s="44" t="n"/>
      <c r="AB12" s="44" t="n"/>
      <c r="AC12" s="55">
        <f>"@B_"&amp;AC8</f>
        <v/>
      </c>
      <c r="AD12" s="44" t="n"/>
      <c r="AE12" s="55">
        <f>"@B_"&amp;AE8</f>
        <v/>
      </c>
      <c r="AF12" s="44" t="n"/>
      <c r="AG12" s="23" t="n"/>
      <c r="AH12" s="23" t="n"/>
      <c r="AI12" s="44" t="n"/>
      <c r="AJ12" s="44" t="n"/>
      <c r="AK12" s="44" t="n"/>
      <c r="AL12" s="44" t="n"/>
      <c r="AM12" s="44" t="n"/>
      <c r="AN12" s="44" t="n"/>
      <c r="AO12" s="60" t="n"/>
      <c r="AP12" s="60">
        <f>"@B_"&amp;AP8</f>
        <v/>
      </c>
      <c r="AQ12" s="106" t="n"/>
      <c r="AR12" s="107" t="n"/>
      <c r="AS12" s="107" t="n"/>
      <c r="AT12" s="107" t="n"/>
      <c r="AU12" s="60" t="n"/>
      <c r="AV12" s="60">
        <f>"@B_"&amp;AV8</f>
        <v/>
      </c>
      <c r="AW12" s="60" t="n"/>
      <c r="AX12" s="60">
        <f>"@B_"&amp;AX8</f>
        <v/>
      </c>
      <c r="AY12" s="60" t="n"/>
      <c r="AZ12" s="60">
        <f>"@B_"&amp;AZ8</f>
        <v/>
      </c>
      <c r="BA12" s="62">
        <f>"@Remark"</f>
        <v/>
      </c>
      <c r="BB12" s="62" t="n"/>
      <c r="BC12" s="124" t="n"/>
      <c r="BD12" s="73" t="n"/>
      <c r="BG12" s="62" t="n"/>
      <c r="BH12" s="62" t="n"/>
      <c r="BI12" s="62" t="n"/>
      <c r="BJ12" s="62" t="n"/>
      <c r="BK12" s="62" t="n"/>
      <c r="BL12" s="44" t="n"/>
      <c r="BM12" s="44" t="n"/>
      <c r="BN12" s="44" t="n"/>
      <c r="BO12" s="44" t="n"/>
      <c r="BP12" s="44" t="n"/>
      <c r="BQ12" s="44" t="n"/>
      <c r="BR12" s="44" t="n"/>
      <c r="BS12" s="44" t="n"/>
      <c r="BT12" s="44" t="n"/>
      <c r="BU12" s="44" t="n"/>
      <c r="BV12" s="44" t="n"/>
      <c r="BW12" s="44" t="n"/>
      <c r="BX12" s="44" t="n"/>
      <c r="BY12" s="44" t="n"/>
      <c r="BZ12" s="44" t="n"/>
      <c r="CA12" s="44" t="n"/>
      <c r="CB12" s="44" t="n"/>
      <c r="CC12" s="44" t="n"/>
      <c r="CD12" s="44" t="n"/>
      <c r="CE12" s="44" t="n"/>
      <c r="CF12" s="44" t="n"/>
      <c r="CG12" s="61" t="n"/>
      <c r="CH12" s="61" t="n"/>
      <c r="CI12" s="74" t="n"/>
      <c r="CJ12" s="75" t="n"/>
      <c r="CK12" s="75" t="n"/>
      <c r="CL12" s="75" t="n"/>
      <c r="CM12" s="75" t="n"/>
      <c r="CN12" s="75" t="n"/>
      <c r="CO12" s="75" t="n"/>
      <c r="CP12" s="75" t="n"/>
      <c r="CQ12" s="75" t="n"/>
      <c r="CR12" s="75" t="n"/>
      <c r="CS12" s="75" t="n"/>
      <c r="CT12" s="75" t="n"/>
      <c r="CU12" s="75" t="n"/>
      <c r="CV12" s="75" t="n"/>
      <c r="CW12" s="75" t="n"/>
      <c r="CX12" s="75" t="n"/>
    </row>
    <row r="13" ht="63" customFormat="1" customHeight="1" s="42">
      <c r="A13" s="2" t="inlineStr">
        <is>
          <t>中英文名</t>
        </is>
      </c>
      <c r="B13" s="143" t="inlineStr">
        <is>
          <t>真实姓名</t>
        </is>
      </c>
      <c r="C13" s="65" t="inlineStr">
        <is>
          <t>员工ID</t>
        </is>
      </c>
      <c r="D13" s="65" t="inlineStr">
        <is>
          <t>部门</t>
        </is>
      </c>
      <c r="E13" s="2" t="inlineStr">
        <is>
          <t>部门下一级组织</t>
        </is>
      </c>
      <c r="F13" s="2" t="inlineStr">
        <is>
          <t>部门下二级组织</t>
        </is>
      </c>
      <c r="G13" s="65" t="inlineStr">
        <is>
          <t>组织全称</t>
        </is>
      </c>
      <c r="H13" s="2" t="inlineStr">
        <is>
          <t>入职日期</t>
        </is>
      </c>
      <c r="I13" s="65" t="inlineStr">
        <is>
          <t>应聘类别</t>
        </is>
      </c>
      <c r="J13" s="65" t="inlineStr">
        <is>
          <t>发展通道</t>
        </is>
      </c>
      <c r="K13" s="65" t="inlineStr">
        <is>
          <t>专业职位</t>
        </is>
      </c>
      <c r="L13" s="2" t="inlineStr">
        <is>
          <t>专业职级</t>
        </is>
      </c>
      <c r="M13" s="2" t="inlineStr">
        <is>
          <t>管理职级</t>
        </is>
      </c>
      <c r="N13" s="2" t="inlineStr">
        <is>
          <t>2025
人才梯队</t>
        </is>
      </c>
      <c r="O13" s="138" t="inlineStr">
        <is>
          <t>2024
人才梯队</t>
        </is>
      </c>
      <c r="P13" s="64" t="inlineStr">
        <is>
          <t>两年梯队变化</t>
        </is>
      </c>
      <c r="Q13" s="2" t="inlineStr">
        <is>
          <t>2025绩效
H1/H2</t>
        </is>
      </c>
      <c r="R13" s="160" t="inlineStr">
        <is>
          <t>2025自定义绩效
H1/H2</t>
        </is>
      </c>
      <c r="S13" s="144" t="inlineStr">
        <is>
          <t>2024绩效
H1/H2</t>
        </is>
      </c>
      <c r="T13" s="64" t="inlineStr">
        <is>
          <t>两年绩效变化</t>
        </is>
      </c>
      <c r="U13" s="2" t="inlineStr">
        <is>
          <t>目前月薪
(CNY)</t>
        </is>
      </c>
      <c r="V13" s="129" t="inlineStr">
        <is>
          <t>浮动比例</t>
        </is>
      </c>
      <c r="W13" s="2" t="inlineStr">
        <is>
          <t>发薪币种</t>
        </is>
      </c>
      <c r="X13" s="22" t="inlineStr">
        <is>
          <t>年终奖
时间系数</t>
        </is>
      </c>
      <c r="Y13" s="22" t="inlineStr">
        <is>
          <t>年终奖
基数
(CNY)</t>
        </is>
      </c>
      <c r="Z13" s="66" t="inlineStr">
        <is>
          <t>Target Bonus基数
(CNY)</t>
        </is>
      </c>
      <c r="AA13" s="78" t="inlineStr">
        <is>
          <t>绩效奖金
(T)
(CNY)</t>
        </is>
      </c>
      <c r="AB13" s="22" t="inlineStr">
        <is>
          <t>下发
特别奖金
(T0)
(CNY)</t>
        </is>
      </c>
      <c r="AC13" s="41" t="inlineStr">
        <is>
          <t>提交
特别奖金
(T0)
(CNY)</t>
        </is>
      </c>
      <c r="AD13" s="22">
        <f>"下发"&amp;CHAR(10)&amp;IF(ISBLANK(AE1),"预留Q",AE1)&amp;"(CNY)"</f>
        <v/>
      </c>
      <c r="AE13" s="41">
        <f>"提交"&amp;CHAR(10)&amp;IF(ISBLANK(AE1),"预留R",AE1)&amp;"(CNY)"</f>
        <v/>
      </c>
      <c r="AF13" s="22" t="inlineStr">
        <is>
          <t>项目奖金
合计
(CNY)</t>
        </is>
      </c>
      <c r="AG13" s="94" t="inlineStr">
        <is>
          <t>(T+T0)
金额
(CNY)</t>
        </is>
      </c>
      <c r="AH13" s="94" t="inlineStr">
        <is>
          <t>(T+T0)
系数</t>
        </is>
      </c>
      <c r="AI13" s="22" t="inlineStr">
        <is>
          <t>(T+T0+项目奖)
金额
(CNY)</t>
        </is>
      </c>
      <c r="AJ13" s="22" t="inlineStr">
        <is>
          <t>(T+T0+项目奖)
系数</t>
        </is>
      </c>
      <c r="AK13" s="22" t="inlineStr">
        <is>
          <t>下发建议
(T+T0+项目奖)
系数</t>
        </is>
      </c>
      <c r="AL13" s="66" t="inlineStr">
        <is>
          <t>VS 2024
(T+T0+项目奖)
金额</t>
        </is>
      </c>
      <c r="AM13" s="66" t="inlineStr">
        <is>
          <t>(Target Bonus+项目奖)系数</t>
        </is>
      </c>
      <c r="AN13" s="66" t="inlineStr">
        <is>
          <t>下发建议
(Target Bonus+项目奖)系数</t>
        </is>
      </c>
      <c r="AO13" s="18">
        <f>"下发"&amp;CHAR(10)&amp;AP1&amp;"(CNY)"</f>
        <v/>
      </c>
      <c r="AP13" s="18">
        <f>"提交"&amp;CHAR(10)&amp;AP1&amp;"(CNY)"</f>
        <v/>
      </c>
      <c r="AQ13" s="159" t="inlineStr">
        <is>
          <t>合计金额
(CNY)</t>
        </is>
      </c>
      <c r="AR13" s="105" t="inlineStr">
        <is>
          <t>国内合计系数</t>
        </is>
      </c>
      <c r="AS13" s="105" t="inlineStr">
        <is>
          <t>VS 2024
合计金额</t>
        </is>
      </c>
      <c r="AT13" s="105" t="inlineStr">
        <is>
          <t>海外合计系数</t>
        </is>
      </c>
      <c r="AU13" s="18">
        <f>"下发"&amp;CHAR(10)&amp;AV1&amp;"(CNY)"</f>
        <v/>
      </c>
      <c r="AV13" s="18">
        <f>"提交"&amp;CHAR(10)&amp;AV1&amp;"(CNY)"</f>
        <v/>
      </c>
      <c r="AW13" s="18">
        <f>"下发"&amp;CHAR(10)&amp;AX1&amp;"(CNY)"</f>
        <v/>
      </c>
      <c r="AX13" s="18">
        <f>"提交"&amp;CHAR(10)&amp;AX1&amp;"(CNY)"</f>
        <v/>
      </c>
      <c r="AY13" s="18">
        <f>"下发"&amp;CHAR(10)&amp;AZ1&amp;"(CNY)"</f>
        <v/>
      </c>
      <c r="AZ13" s="18">
        <f>"提交"&amp;CHAR(10)&amp;AZ1&amp;"(CNY)"</f>
        <v/>
      </c>
      <c r="BA13" s="127" t="inlineStr">
        <is>
          <t>当前环节
分配备注</t>
        </is>
      </c>
      <c r="BB13" s="125" t="inlineStr">
        <is>
          <t>前序环节
分配备注</t>
        </is>
      </c>
      <c r="BC13" s="139" t="inlineStr">
        <is>
          <t>薪酬经理备注</t>
        </is>
      </c>
      <c r="BD13" s="6" t="inlineStr">
        <is>
          <t>BP备注</t>
        </is>
      </c>
      <c r="BE13" s="128" t="inlineStr">
        <is>
          <t>薪酬与评价
匹配度</t>
        </is>
      </c>
      <c r="BF13" s="6" t="inlineStr">
        <is>
          <t>分配规则
校验信息</t>
        </is>
      </c>
      <c r="BG13" s="68" t="inlineStr">
        <is>
          <t>承诺奖金
(CNY)</t>
        </is>
      </c>
      <c r="BH13" s="68" t="inlineStr">
        <is>
          <t>已发放奖金
(CNY)</t>
        </is>
      </c>
      <c r="BI13" s="68" t="inlineStr">
        <is>
          <t>已发放奖金备注</t>
        </is>
      </c>
      <c r="BJ13" s="68" t="inlineStr">
        <is>
          <t>长假期天数占比(未影响时间系数)</t>
        </is>
      </c>
      <c r="BK13" s="140" t="inlineStr">
        <is>
          <t>假期备注</t>
        </is>
      </c>
      <c r="BL13" s="69" t="inlineStr">
        <is>
          <t>2024
年终奖
时间系数</t>
        </is>
      </c>
      <c r="BM13" s="70" t="inlineStr">
        <is>
          <t>2024
年终奖
基数
(CNY)</t>
        </is>
      </c>
      <c r="BN13" s="90" t="inlineStr">
        <is>
          <t>2024
Target Bonus基数
(CNY)</t>
        </is>
      </c>
      <c r="BO13" s="71" t="inlineStr">
        <is>
          <t>2024月薪
(CNY)</t>
        </is>
      </c>
      <c r="BP13" s="69" t="inlineStr">
        <is>
          <t>2024绩效
H1/H2</t>
        </is>
      </c>
      <c r="BQ13" s="69" t="inlineStr">
        <is>
          <t>2024
人才梯队</t>
        </is>
      </c>
      <c r="BR13" s="69" t="inlineStr">
        <is>
          <t>2024
(T+T0)
金额
(CNY)</t>
        </is>
      </c>
      <c r="BS13" s="71" t="inlineStr">
        <is>
          <t>2024
(T+T0)
系数</t>
        </is>
      </c>
      <c r="BT13" s="69" t="inlineStr">
        <is>
          <t>2024
项目奖合计
(CNY)</t>
        </is>
      </c>
      <c r="BU13" s="70" t="inlineStr">
        <is>
          <t>2024
(T+T0+项目奖)
金额
(CNY)</t>
        </is>
      </c>
      <c r="BV13" s="69" t="inlineStr">
        <is>
          <t>2024
(T+T0+项目奖)
系数</t>
        </is>
      </c>
      <c r="BW13" s="72" t="inlineStr">
        <is>
          <t>2024
(Target Bonus+项目奖)系数</t>
        </is>
      </c>
      <c r="BX13" s="69" t="inlineStr">
        <is>
          <t>2024
增量激励
(如有)
(CNY)</t>
        </is>
      </c>
      <c r="BY13" s="146" t="inlineStr">
        <is>
          <t>2024
合计金额
(CNY)</t>
        </is>
      </c>
      <c r="BZ13" s="71" t="inlineStr">
        <is>
          <t>2024
国内合计系数</t>
        </is>
      </c>
      <c r="CA13" s="72" t="inlineStr">
        <is>
          <t>2024
海外合计系数</t>
        </is>
      </c>
      <c r="CB13" s="145" t="inlineStr">
        <is>
          <t>2024
服务奖(CNY)</t>
        </is>
      </c>
      <c r="CC13" s="147" t="inlineStr">
        <is>
          <t>2024增量项目激励
(如有)
(CNY)</t>
        </is>
      </c>
      <c r="CD13" s="95" t="inlineStr">
        <is>
          <t>2024年末特别授予(如有)
(CNY)</t>
        </is>
      </c>
      <c r="CE13" s="69" t="inlineStr">
        <is>
          <t>2024
长假期天数占比(未影响时间系数)</t>
        </is>
      </c>
      <c r="CF13" s="141" t="inlineStr">
        <is>
          <t>2024全年
薪酬结构
变化标识</t>
        </is>
      </c>
      <c r="CG13" s="11" t="inlineStr">
        <is>
          <t>包名称</t>
        </is>
      </c>
      <c r="CH13" s="11" t="inlineStr">
        <is>
          <t>包负责人</t>
        </is>
      </c>
      <c r="CI13" s="7" t="inlineStr">
        <is>
          <t>全年
薪酬结构
变化标识</t>
        </is>
      </c>
      <c r="CJ13" s="148" t="inlineStr">
        <is>
          <t>拆表标签</t>
        </is>
      </c>
      <c r="CK13" s="149" t="inlineStr">
        <is>
          <t>地区分类</t>
        </is>
      </c>
      <c r="CL13" s="149" t="inlineStr">
        <is>
          <t>国家/地区</t>
        </is>
      </c>
      <c r="CM13" s="149" t="inlineStr">
        <is>
          <t>区域</t>
        </is>
      </c>
      <c r="CN13" s="80" t="inlineStr">
        <is>
          <t>本币汇率</t>
        </is>
      </c>
      <c r="CO13" s="7" t="inlineStr">
        <is>
          <t>离职/调动
标签</t>
        </is>
      </c>
      <c r="CP13" s="80" t="inlineStr">
        <is>
          <t>组织标签</t>
        </is>
      </c>
      <c r="CQ13" s="80" t="inlineStr">
        <is>
          <t>绩效标签</t>
        </is>
      </c>
      <c r="CR13" s="80" t="inlineStr">
        <is>
          <t>职级标签</t>
        </is>
      </c>
      <c r="CS13" s="142" t="inlineStr">
        <is>
          <t>梯队标签</t>
        </is>
      </c>
      <c r="CT13" s="142" t="inlineStr">
        <is>
          <t>试点体系标签</t>
        </is>
      </c>
      <c r="CU13" s="151" t="inlineStr">
        <is>
          <t>是否阳光行为违规</t>
        </is>
      </c>
      <c r="CV13" s="152" t="inlineStr">
        <is>
          <t>绩效综合G且业绩/行为评级U</t>
        </is>
      </c>
      <c r="CW13" s="80" t="inlineStr">
        <is>
          <t>补充标签2</t>
        </is>
      </c>
      <c r="CX13" s="80" t="inlineStr">
        <is>
          <t>补充标签3</t>
        </is>
      </c>
      <c r="CY13" s="71" t="inlineStr">
        <is>
          <t>补充标签4</t>
        </is>
      </c>
      <c r="CZ13" s="71" t="inlineStr">
        <is>
          <t>补充标签5</t>
        </is>
      </c>
      <c r="DA13" s="71" t="inlineStr">
        <is>
          <t>补充标签6</t>
        </is>
      </c>
      <c r="DB13" s="71" t="inlineStr">
        <is>
          <t>补充标签7</t>
        </is>
      </c>
      <c r="DC13" s="71" t="inlineStr">
        <is>
          <t>补充标签8</t>
        </is>
      </c>
    </row>
    <row r="14" ht="15" customFormat="1" customHeight="1" s="42">
      <c r="A14" s="43" t="inlineStr">
        <is>
          <t>edwardXu(徐帆国)</t>
        </is>
      </c>
      <c r="B14" s="43" t="n"/>
      <c r="C14" s="43" t="n">
        <v>57792341</v>
      </c>
      <c r="D14" s="43" t="inlineStr">
        <is>
          <t>风险管理和内部控制</t>
        </is>
      </c>
      <c r="E14" s="43" t="inlineStr">
        <is>
          <t>WXG风控中心</t>
        </is>
      </c>
      <c r="F14" s="43" t="n"/>
      <c r="G14" s="44" t="inlineStr">
        <is>
          <t>S2职能系统－财经线/风险管理和内部控制/WXG风控中心</t>
        </is>
      </c>
      <c r="H14" s="179" t="n">
        <v>39707</v>
      </c>
      <c r="I14" s="43" t="inlineStr">
        <is>
          <t>社会招聘</t>
        </is>
      </c>
      <c r="J14" s="43" t="inlineStr">
        <is>
          <t>财经类－FN</t>
        </is>
      </c>
      <c r="K14" s="43" t="inlineStr">
        <is>
          <t>风险管理</t>
        </is>
      </c>
      <c r="L14" s="46" t="inlineStr">
        <is>
          <t>S9</t>
        </is>
      </c>
      <c r="M14" s="46" t="n"/>
      <c r="N14" s="43" t="inlineStr">
        <is>
          <t>T1#</t>
        </is>
      </c>
      <c r="O14" s="43" t="n"/>
      <c r="P14" s="180" t="n"/>
      <c r="Q14" s="44" t="inlineStr">
        <is>
          <t>U,G</t>
        </is>
      </c>
      <c r="R14" s="44" t="n"/>
      <c r="S14" s="43" t="n"/>
      <c r="T14" s="180" t="n"/>
      <c r="U14" s="1" t="n">
        <v>34220.45</v>
      </c>
      <c r="V14" s="108" t="n">
        <v>0.083333</v>
      </c>
      <c r="W14" s="46" t="inlineStr">
        <is>
          <t>CNY</t>
        </is>
      </c>
      <c r="X14" s="181" t="n">
        <v>1</v>
      </c>
      <c r="Y14" s="1" t="n">
        <v>32767.06</v>
      </c>
      <c r="Z14" s="1" t="n">
        <v>0</v>
      </c>
      <c r="AA14" s="1" t="n">
        <v>34220.45</v>
      </c>
      <c r="AB14" s="1" t="n">
        <v>112980</v>
      </c>
      <c r="AC14" s="48" t="n">
        <v>0</v>
      </c>
      <c r="AD14" s="1" t="n"/>
      <c r="AE14" s="48" t="n"/>
      <c r="AF14" s="1" t="n">
        <v>0</v>
      </c>
      <c r="AG14" s="1" t="n">
        <v>147200.45</v>
      </c>
      <c r="AH14" s="182" t="n">
        <v>4.492330102242923</v>
      </c>
      <c r="AI14" s="1" t="n">
        <v>147200.45</v>
      </c>
      <c r="AJ14" s="183" t="n">
        <v>4.492330102242923</v>
      </c>
      <c r="AK14" s="183" t="n">
        <v>4.492330102242923</v>
      </c>
      <c r="AL14" s="108" t="n"/>
      <c r="AM14" s="183" t="n"/>
      <c r="AN14" s="183" t="n"/>
      <c r="AO14" s="1" t="n"/>
      <c r="AP14" s="48" t="n"/>
      <c r="AQ14" s="1" t="n">
        <v>147200.45</v>
      </c>
      <c r="AR14" s="183" t="n">
        <v>4.492330102242923</v>
      </c>
      <c r="AS14" s="98" t="n">
        <v>0.6476042674879015</v>
      </c>
      <c r="AT14" s="183" t="n"/>
      <c r="AU14" s="1" t="n"/>
      <c r="AV14" s="48" t="n"/>
      <c r="AW14" s="1" t="n"/>
      <c r="AX14" s="48" t="n"/>
      <c r="AY14" s="1" t="n"/>
      <c r="AZ14" s="48" t="n"/>
      <c r="BA14" s="51" t="n"/>
      <c r="BB14" s="180" t="n"/>
      <c r="BC14" s="1" t="n"/>
      <c r="BD14" s="1" t="n"/>
      <c r="BE14" s="180" t="n"/>
      <c r="BF14" s="1" t="n"/>
      <c r="BG14" s="1" t="n"/>
      <c r="BH14" s="1" t="n"/>
      <c r="BI14" s="1" t="n"/>
      <c r="BJ14" s="52" t="n"/>
      <c r="BK14" s="52" t="n"/>
      <c r="BL14" s="184" t="n">
        <v>1</v>
      </c>
      <c r="BM14" s="1" t="n">
        <v>30610</v>
      </c>
      <c r="BN14" s="1" t="n">
        <v>0</v>
      </c>
      <c r="BO14" s="1" t="n">
        <v>33125</v>
      </c>
      <c r="BP14" s="43" t="inlineStr">
        <is>
          <t>G,G</t>
        </is>
      </c>
      <c r="BQ14" s="43" t="inlineStr">
        <is>
          <t>T1#</t>
        </is>
      </c>
      <c r="BR14" s="1" t="n">
        <v>181445</v>
      </c>
      <c r="BS14" s="185" t="n">
        <v>5.927638026788631</v>
      </c>
      <c r="BT14" s="1" t="n">
        <v>45855</v>
      </c>
      <c r="BU14" s="1" t="n">
        <v>227300</v>
      </c>
      <c r="BV14" s="54" t="n">
        <v>7.425677883044757</v>
      </c>
      <c r="BW14" s="54" t="n"/>
      <c r="BX14" s="1" t="n"/>
      <c r="BY14" s="1" t="n">
        <v>227300</v>
      </c>
      <c r="BZ14" s="54" t="n">
        <v>7.425677883044757</v>
      </c>
      <c r="CA14" s="54" t="n"/>
      <c r="CB14" s="186" t="n"/>
      <c r="CC14" s="186" t="n"/>
      <c r="CD14" s="186" t="n"/>
      <c r="CE14" s="52" t="n"/>
      <c r="CF14" s="52" t="n"/>
      <c r="CG14" s="43" t="n"/>
      <c r="CH14" s="43" t="n"/>
      <c r="CI14" s="43" t="n"/>
      <c r="CJ14" s="43" t="n"/>
      <c r="CK14" s="43" t="n"/>
      <c r="CL14" s="43" t="n"/>
      <c r="CM14" s="43" t="n"/>
      <c r="CN14" s="43" t="n"/>
      <c r="CO14" s="43" t="n"/>
      <c r="CP14" s="43" t="inlineStr">
        <is>
          <t>风险管理和内部控制</t>
        </is>
      </c>
      <c r="CQ14" s="43" t="inlineStr">
        <is>
          <t>3,1</t>
        </is>
      </c>
      <c r="CR14" s="43" t="n">
        <v>9</v>
      </c>
      <c r="CS14" s="43" t="inlineStr">
        <is>
          <t>T1#</t>
        </is>
      </c>
      <c r="CT14" s="187" t="inlineStr">
        <is>
          <t>N</t>
        </is>
      </c>
      <c r="CU14" s="187" t="n"/>
      <c r="CV14" s="187" t="n"/>
      <c r="CW14" s="1" t="n"/>
      <c r="CX14" s="1" t="n"/>
      <c r="CY14" s="1" t="n"/>
      <c r="CZ14" s="1" t="n"/>
      <c r="DA14" s="1" t="n"/>
      <c r="DB14" s="1" t="n"/>
      <c r="DC14" s="1" t="n"/>
    </row>
    <row r="15" ht="15" customFormat="1" customHeight="1" s="42">
      <c r="A15" s="43" t="inlineStr">
        <is>
          <t>savannahZhong(钟倩思)</t>
        </is>
      </c>
      <c r="B15" s="43" t="n"/>
      <c r="C15" s="43" t="n">
        <v>78647818</v>
      </c>
      <c r="D15" s="43" t="inlineStr">
        <is>
          <t>审计监察</t>
        </is>
      </c>
      <c r="E15" s="43" t="inlineStr">
        <is>
          <t>金融审计组</t>
        </is>
      </c>
      <c r="F15" s="43" t="n"/>
      <c r="G15" s="44" t="inlineStr">
        <is>
          <t>S2职能系统－财经线/审计监察/金融审计组</t>
        </is>
      </c>
      <c r="H15" s="179" t="n">
        <v>45139</v>
      </c>
      <c r="I15" s="43" t="inlineStr">
        <is>
          <t>高校招聘</t>
        </is>
      </c>
      <c r="J15" s="43" t="inlineStr">
        <is>
          <t>财经类－FN</t>
        </is>
      </c>
      <c r="K15" s="43" t="inlineStr">
        <is>
          <t>风险管理</t>
        </is>
      </c>
      <c r="L15" s="46" t="inlineStr">
        <is>
          <t>S5</t>
        </is>
      </c>
      <c r="M15" s="46" t="n"/>
      <c r="N15" s="43" t="inlineStr">
        <is>
          <t>T1#</t>
        </is>
      </c>
      <c r="O15" s="43" t="n"/>
      <c r="P15" s="180" t="n"/>
      <c r="Q15" s="44" t="inlineStr">
        <is>
          <t>G,U</t>
        </is>
      </c>
      <c r="R15" s="44" t="n"/>
      <c r="S15" s="43" t="n"/>
      <c r="T15" s="180" t="n"/>
      <c r="U15" s="1" t="n">
        <v>23014.25</v>
      </c>
      <c r="V15" s="108" t="n">
        <v>0.083333</v>
      </c>
      <c r="W15" s="46" t="inlineStr">
        <is>
          <t>CNY</t>
        </is>
      </c>
      <c r="X15" s="181" t="n">
        <v>1</v>
      </c>
      <c r="Y15" s="1" t="n">
        <v>21659.73</v>
      </c>
      <c r="Z15" s="1" t="n">
        <v>0</v>
      </c>
      <c r="AA15" s="1" t="n">
        <v>69042.75</v>
      </c>
      <c r="AB15" s="1" t="n">
        <v>75165</v>
      </c>
      <c r="AC15" s="48" t="n">
        <v>24895</v>
      </c>
      <c r="AD15" s="1" t="n"/>
      <c r="AE15" s="48" t="n"/>
      <c r="AF15" s="1" t="n">
        <v>0</v>
      </c>
      <c r="AG15" s="1" t="n">
        <v>169102.75</v>
      </c>
      <c r="AH15" s="182" t="n">
        <v>7.807241826190816</v>
      </c>
      <c r="AI15" s="1" t="n">
        <v>169102.75</v>
      </c>
      <c r="AJ15" s="183" t="n">
        <v>7.807241826190816</v>
      </c>
      <c r="AK15" s="183" t="n">
        <v>6.657873851613109</v>
      </c>
      <c r="AL15" s="108" t="n"/>
      <c r="AM15" s="183" t="n"/>
      <c r="AN15" s="183" t="n"/>
      <c r="AO15" s="1" t="n"/>
      <c r="AP15" s="48" t="n"/>
      <c r="AQ15" s="1" t="n">
        <v>169102.75</v>
      </c>
      <c r="AR15" s="183" t="n">
        <v>7.807241826190816</v>
      </c>
      <c r="AS15" s="98" t="n">
        <v>21.65208066581306</v>
      </c>
      <c r="AT15" s="183" t="n"/>
      <c r="AU15" s="1" t="n"/>
      <c r="AV15" s="48" t="n"/>
      <c r="AW15" s="1" t="n"/>
      <c r="AX15" s="48" t="n"/>
      <c r="AY15" s="1" t="n"/>
      <c r="AZ15" s="48" t="n"/>
      <c r="BA15" s="51" t="n"/>
      <c r="BB15" s="180" t="n"/>
      <c r="BC15" s="1" t="n"/>
      <c r="BD15" s="1" t="n"/>
      <c r="BE15" s="180" t="n"/>
      <c r="BF15" s="1" t="n"/>
      <c r="BG15" s="1" t="n"/>
      <c r="BH15" s="1" t="n"/>
      <c r="BI15" s="1" t="n"/>
      <c r="BJ15" s="52" t="n"/>
      <c r="BK15" s="52" t="n"/>
      <c r="BL15" s="184" t="n">
        <v>0.416438356164383</v>
      </c>
      <c r="BM15" s="1" t="n">
        <v>18765</v>
      </c>
      <c r="BN15" s="1" t="n">
        <v>0</v>
      </c>
      <c r="BO15" s="1" t="n">
        <v>18765</v>
      </c>
      <c r="BP15" s="43" t="inlineStr">
        <is>
          <t>N,G</t>
        </is>
      </c>
      <c r="BQ15" s="43" t="inlineStr">
        <is>
          <t>T1#</t>
        </is>
      </c>
      <c r="BR15" s="1" t="n">
        <v>7810</v>
      </c>
      <c r="BS15" s="185" t="n">
        <v>0.4162003730349054</v>
      </c>
      <c r="BT15" s="1" t="n">
        <v>0</v>
      </c>
      <c r="BU15" s="1" t="n">
        <v>7810</v>
      </c>
      <c r="BV15" s="54" t="n">
        <v>0.4162003730349054</v>
      </c>
      <c r="BW15" s="54" t="n"/>
      <c r="BX15" s="1" t="n"/>
      <c r="BY15" s="1" t="n">
        <v>7810</v>
      </c>
      <c r="BZ15" s="54" t="n">
        <v>0.4162003730349054</v>
      </c>
      <c r="CA15" s="54" t="n"/>
      <c r="CB15" s="186" t="n"/>
      <c r="CC15" s="186" t="n"/>
      <c r="CD15" s="186" t="n"/>
      <c r="CE15" s="52" t="n"/>
      <c r="CF15" s="52" t="n"/>
      <c r="CG15" s="43" t="n"/>
      <c r="CH15" s="43" t="n"/>
      <c r="CI15" s="43" t="n"/>
      <c r="CJ15" s="43" t="n"/>
      <c r="CK15" s="43" t="n"/>
      <c r="CL15" s="43" t="n"/>
      <c r="CM15" s="43" t="n"/>
      <c r="CN15" s="43" t="n"/>
      <c r="CO15" s="43" t="n"/>
      <c r="CP15" s="43" t="inlineStr">
        <is>
          <t>审计监察</t>
        </is>
      </c>
      <c r="CQ15" s="43" t="inlineStr">
        <is>
          <t>5,3</t>
        </is>
      </c>
      <c r="CR15" s="43" t="n">
        <v>5</v>
      </c>
      <c r="CS15" s="43" t="inlineStr">
        <is>
          <t>T1#</t>
        </is>
      </c>
      <c r="CT15" s="187" t="inlineStr">
        <is>
          <t>N</t>
        </is>
      </c>
      <c r="CU15" s="187" t="n"/>
      <c r="CV15" s="187" t="n"/>
      <c r="CW15" s="1" t="n"/>
      <c r="CX15" s="1" t="n"/>
      <c r="CY15" s="1" t="n"/>
      <c r="CZ15" s="1" t="n"/>
      <c r="DA15" s="1" t="n"/>
      <c r="DB15" s="1" t="n"/>
      <c r="DC15" s="1" t="n"/>
    </row>
    <row r="16" ht="15" customFormat="1" customHeight="1" s="42">
      <c r="A16" s="43" t="inlineStr">
        <is>
          <t>emmaZheng(郑苑)</t>
        </is>
      </c>
      <c r="B16" s="43" t="n"/>
      <c r="C16" s="43" t="n">
        <v>37559092</v>
      </c>
      <c r="D16" s="43" t="inlineStr">
        <is>
          <t>财会及报告管理部</t>
        </is>
      </c>
      <c r="E16" s="43" t="inlineStr">
        <is>
          <t>应收管理中心</t>
        </is>
      </c>
      <c r="F16" s="43" t="n"/>
      <c r="G16" s="44" t="inlineStr">
        <is>
          <t>S2职能系统－财经线/财会及报告管理部/应收管理中心</t>
        </is>
      </c>
      <c r="H16" s="179" t="n">
        <v>41779</v>
      </c>
      <c r="I16" s="43" t="inlineStr">
        <is>
          <t>社会招聘</t>
        </is>
      </c>
      <c r="J16" s="43" t="inlineStr">
        <is>
          <t>财经类－FN</t>
        </is>
      </c>
      <c r="K16" s="43" t="inlineStr">
        <is>
          <t>会计</t>
        </is>
      </c>
      <c r="L16" s="46" t="inlineStr">
        <is>
          <t>S11</t>
        </is>
      </c>
      <c r="M16" s="46" t="n"/>
      <c r="N16" s="43" t="inlineStr">
        <is>
          <t>T1#</t>
        </is>
      </c>
      <c r="O16" s="43" t="n"/>
      <c r="P16" s="180" t="n"/>
      <c r="Q16" s="44" t="inlineStr">
        <is>
          <t>G,G</t>
        </is>
      </c>
      <c r="R16" s="44" t="n"/>
      <c r="S16" s="43" t="n"/>
      <c r="T16" s="180" t="n"/>
      <c r="U16" s="1" t="n">
        <v>53212.6</v>
      </c>
      <c r="V16" s="108" t="n">
        <v>0.083333</v>
      </c>
      <c r="W16" s="46" t="inlineStr">
        <is>
          <t>CNY</t>
        </is>
      </c>
      <c r="X16" s="181" t="n">
        <v>1</v>
      </c>
      <c r="Y16" s="1" t="n">
        <v>50216.55</v>
      </c>
      <c r="Z16" s="1" t="n">
        <v>0</v>
      </c>
      <c r="AA16" s="1" t="n">
        <v>106425.2</v>
      </c>
      <c r="AB16" s="1" t="n">
        <v>166610</v>
      </c>
      <c r="AC16" s="48" t="n">
        <v>67765</v>
      </c>
      <c r="AD16" s="1" t="n"/>
      <c r="AE16" s="48" t="n"/>
      <c r="AF16" s="1" t="n">
        <v>0</v>
      </c>
      <c r="AG16" s="1" t="n">
        <v>340800.2</v>
      </c>
      <c r="AH16" s="182" t="n">
        <v>6.786611186949322</v>
      </c>
      <c r="AI16" s="1" t="n">
        <v>340800.2</v>
      </c>
      <c r="AJ16" s="183" t="n">
        <v>6.786611186949322</v>
      </c>
      <c r="AK16" s="183" t="n">
        <v>5.43715567875531</v>
      </c>
      <c r="AL16" s="108" t="n"/>
      <c r="AM16" s="183" t="n"/>
      <c r="AN16" s="183" t="n"/>
      <c r="AO16" s="1" t="n"/>
      <c r="AP16" s="48" t="n"/>
      <c r="AQ16" s="1" t="n">
        <v>340800.2</v>
      </c>
      <c r="AR16" s="183" t="n">
        <v>6.786611186949322</v>
      </c>
      <c r="AS16" s="98" t="n">
        <v>1.057367751543545</v>
      </c>
      <c r="AT16" s="183" t="n"/>
      <c r="AU16" s="1" t="n"/>
      <c r="AV16" s="48" t="n"/>
      <c r="AW16" s="1" t="n"/>
      <c r="AX16" s="48" t="n"/>
      <c r="AY16" s="1" t="n"/>
      <c r="AZ16" s="48" t="n"/>
      <c r="BA16" s="51" t="n"/>
      <c r="BB16" s="180" t="n"/>
      <c r="BC16" s="1" t="n"/>
      <c r="BD16" s="1" t="n"/>
      <c r="BE16" s="180" t="n"/>
      <c r="BF16" s="1" t="n"/>
      <c r="BG16" s="1" t="n"/>
      <c r="BH16" s="1" t="n"/>
      <c r="BI16" s="1" t="n"/>
      <c r="BJ16" s="52" t="n"/>
      <c r="BK16" s="52" t="n"/>
      <c r="BL16" s="184" t="n">
        <v>1</v>
      </c>
      <c r="BM16" s="1" t="n">
        <v>44240</v>
      </c>
      <c r="BN16" s="1" t="n">
        <v>0</v>
      </c>
      <c r="BO16" s="1" t="n">
        <v>46890</v>
      </c>
      <c r="BP16" s="43" t="inlineStr">
        <is>
          <t>G,G</t>
        </is>
      </c>
      <c r="BQ16" s="43" t="inlineStr">
        <is>
          <t>T1#</t>
        </is>
      </c>
      <c r="BR16" s="1" t="n">
        <v>235640</v>
      </c>
      <c r="BS16" s="185" t="n">
        <v>5.326401446654611</v>
      </c>
      <c r="BT16" s="1" t="n">
        <v>86670</v>
      </c>
      <c r="BU16" s="1" t="n">
        <v>322310</v>
      </c>
      <c r="BV16" s="54" t="n">
        <v>7.285488245931284</v>
      </c>
      <c r="BW16" s="54" t="n"/>
      <c r="BX16" s="1" t="n"/>
      <c r="BY16" s="1" t="n">
        <v>322310</v>
      </c>
      <c r="BZ16" s="54" t="n">
        <v>7.285488245931284</v>
      </c>
      <c r="CA16" s="54" t="n"/>
      <c r="CB16" s="186" t="n"/>
      <c r="CC16" s="186" t="n"/>
      <c r="CD16" s="186" t="n"/>
      <c r="CE16" s="52" t="n"/>
      <c r="CF16" s="52" t="n"/>
      <c r="CG16" s="43" t="n"/>
      <c r="CH16" s="43" t="n"/>
      <c r="CI16" s="43" t="n"/>
      <c r="CJ16" s="43" t="n"/>
      <c r="CK16" s="43" t="n"/>
      <c r="CL16" s="43" t="n"/>
      <c r="CM16" s="43" t="n"/>
      <c r="CN16" s="43" t="n"/>
      <c r="CO16" s="43" t="n"/>
      <c r="CP16" s="43" t="inlineStr">
        <is>
          <t>财会及报告管理部</t>
        </is>
      </c>
      <c r="CQ16" s="43" t="inlineStr">
        <is>
          <t>3,3</t>
        </is>
      </c>
      <c r="CR16" s="43" t="n">
        <v>11</v>
      </c>
      <c r="CS16" s="43" t="inlineStr">
        <is>
          <t>T1#</t>
        </is>
      </c>
      <c r="CT16" s="187" t="inlineStr">
        <is>
          <t>N</t>
        </is>
      </c>
      <c r="CU16" s="187" t="n"/>
      <c r="CV16" s="187" t="n"/>
      <c r="CW16" s="1" t="n"/>
      <c r="CX16" s="1" t="n"/>
      <c r="CY16" s="1" t="n"/>
      <c r="CZ16" s="1" t="n"/>
      <c r="DA16" s="1" t="n"/>
      <c r="DB16" s="1" t="n"/>
      <c r="DC16" s="1" t="n"/>
    </row>
    <row r="17" ht="15" customFormat="1" customHeight="1" s="42">
      <c r="A17" s="43" t="inlineStr">
        <is>
          <t>edwardJia(贾平华)</t>
        </is>
      </c>
      <c r="B17" s="43" t="n"/>
      <c r="C17" s="43" t="n">
        <v>14198066</v>
      </c>
      <c r="D17" s="43" t="inlineStr">
        <is>
          <t>FiT财务管理</t>
        </is>
      </c>
      <c r="E17" s="43" t="inlineStr">
        <is>
          <t>业务支持与分析中心</t>
        </is>
      </c>
      <c r="F17" s="43" t="n"/>
      <c r="G17" s="44" t="inlineStr">
        <is>
          <t>S2职能系统－财经线/FiT财务管理/业务支持与分析中心</t>
        </is>
      </c>
      <c r="H17" s="179" t="n">
        <v>37710</v>
      </c>
      <c r="I17" s="43" t="inlineStr">
        <is>
          <t>社会招聘</t>
        </is>
      </c>
      <c r="J17" s="43" t="inlineStr">
        <is>
          <t>财经类－FN</t>
        </is>
      </c>
      <c r="K17" s="43" t="inlineStr">
        <is>
          <t>财务管理</t>
        </is>
      </c>
      <c r="L17" s="46" t="inlineStr">
        <is>
          <t>S6</t>
        </is>
      </c>
      <c r="M17" s="46" t="n"/>
      <c r="N17" s="43" t="inlineStr">
        <is>
          <t>T1</t>
        </is>
      </c>
      <c r="O17" s="43" t="n"/>
      <c r="P17" s="180" t="n"/>
      <c r="Q17" s="44" t="inlineStr">
        <is>
          <t>O,G</t>
        </is>
      </c>
      <c r="R17" s="44" t="n"/>
      <c r="S17" s="43" t="n"/>
      <c r="T17" s="180" t="n"/>
      <c r="U17" s="1" t="n">
        <v>27937.2</v>
      </c>
      <c r="V17" s="108" t="n">
        <v>0.083333</v>
      </c>
      <c r="W17" s="46" t="inlineStr">
        <is>
          <t>CNY</t>
        </is>
      </c>
      <c r="X17" s="181" t="n">
        <v>1</v>
      </c>
      <c r="Y17" s="1" t="n">
        <v>26626.57</v>
      </c>
      <c r="Z17" s="1" t="n">
        <v>0</v>
      </c>
      <c r="AA17" s="1" t="n">
        <v>111748.8</v>
      </c>
      <c r="AB17" s="1" t="n">
        <v>68640</v>
      </c>
      <c r="AC17" s="48" t="n">
        <v>42535</v>
      </c>
      <c r="AD17" s="1" t="n"/>
      <c r="AE17" s="48" t="n"/>
      <c r="AF17" s="1" t="n">
        <v>0</v>
      </c>
      <c r="AG17" s="1" t="n">
        <v>222923.8</v>
      </c>
      <c r="AH17" s="182" t="n">
        <v>8.372231196132285</v>
      </c>
      <c r="AI17" s="1" t="n">
        <v>222923.8</v>
      </c>
      <c r="AJ17" s="183" t="n">
        <v>8.372231196132285</v>
      </c>
      <c r="AK17" s="183" t="n">
        <v>6.774766708592207</v>
      </c>
      <c r="AL17" s="108" t="n"/>
      <c r="AM17" s="183" t="n"/>
      <c r="AN17" s="183" t="n"/>
      <c r="AO17" s="1" t="n"/>
      <c r="AP17" s="48" t="n"/>
      <c r="AQ17" s="1" t="n">
        <v>222923.8</v>
      </c>
      <c r="AR17" s="183" t="n">
        <v>8.372231196132285</v>
      </c>
      <c r="AS17" s="98" t="n">
        <v>1.688496875591744</v>
      </c>
      <c r="AT17" s="183" t="n"/>
      <c r="AU17" s="1" t="n"/>
      <c r="AV17" s="48" t="n"/>
      <c r="AW17" s="1" t="n"/>
      <c r="AX17" s="48" t="n"/>
      <c r="AY17" s="1" t="n"/>
      <c r="AZ17" s="48" t="n"/>
      <c r="BA17" s="51" t="n"/>
      <c r="BB17" s="180" t="n"/>
      <c r="BC17" s="1" t="n"/>
      <c r="BD17" s="1" t="n"/>
      <c r="BE17" s="180" t="n"/>
      <c r="BF17" s="1" t="n"/>
      <c r="BG17" s="1" t="n"/>
      <c r="BH17" s="1" t="n"/>
      <c r="BI17" s="1" t="n"/>
      <c r="BJ17" s="52" t="n"/>
      <c r="BK17" s="52" t="n"/>
      <c r="BL17" s="184" t="n">
        <v>1</v>
      </c>
      <c r="BM17" s="1" t="n">
        <v>23850</v>
      </c>
      <c r="BN17" s="1" t="n">
        <v>0</v>
      </c>
      <c r="BO17" s="1" t="n">
        <v>25715</v>
      </c>
      <c r="BP17" s="43" t="inlineStr">
        <is>
          <t>G,G</t>
        </is>
      </c>
      <c r="BQ17" s="43" t="inlineStr">
        <is>
          <t>T1</t>
        </is>
      </c>
      <c r="BR17" s="1" t="n">
        <v>80825</v>
      </c>
      <c r="BS17" s="185" t="n">
        <v>3.388888888888889</v>
      </c>
      <c r="BT17" s="1" t="n">
        <v>51200</v>
      </c>
      <c r="BU17" s="1" t="n">
        <v>132025</v>
      </c>
      <c r="BV17" s="54" t="n">
        <v>5.535639412997903</v>
      </c>
      <c r="BW17" s="54" t="n"/>
      <c r="BX17" s="1" t="n"/>
      <c r="BY17" s="1" t="n">
        <v>132025</v>
      </c>
      <c r="BZ17" s="54" t="n">
        <v>5.535639412997903</v>
      </c>
      <c r="CA17" s="54" t="n"/>
      <c r="CB17" s="186" t="n"/>
      <c r="CC17" s="186" t="n"/>
      <c r="CD17" s="186" t="n"/>
      <c r="CE17" s="52" t="n"/>
      <c r="CF17" s="52" t="n"/>
      <c r="CG17" s="43" t="n"/>
      <c r="CH17" s="43" t="n"/>
      <c r="CI17" s="43" t="n"/>
      <c r="CJ17" s="43" t="n"/>
      <c r="CK17" s="43" t="n"/>
      <c r="CL17" s="43" t="n"/>
      <c r="CM17" s="43" t="n"/>
      <c r="CN17" s="43" t="n"/>
      <c r="CO17" s="43" t="n"/>
      <c r="CP17" s="43" t="inlineStr">
        <is>
          <t>FiT财务管理</t>
        </is>
      </c>
      <c r="CQ17" s="43" t="inlineStr">
        <is>
          <t>5,5</t>
        </is>
      </c>
      <c r="CR17" s="43" t="n">
        <v>6</v>
      </c>
      <c r="CS17" s="43" t="inlineStr">
        <is>
          <t>T1</t>
        </is>
      </c>
      <c r="CT17" s="187" t="inlineStr">
        <is>
          <t>N</t>
        </is>
      </c>
      <c r="CU17" s="187" t="n"/>
      <c r="CV17" s="187" t="n"/>
      <c r="CW17" s="1" t="n"/>
      <c r="CX17" s="1" t="n"/>
      <c r="CY17" s="1" t="n"/>
      <c r="CZ17" s="1" t="n"/>
      <c r="DA17" s="1" t="n"/>
      <c r="DB17" s="1" t="n"/>
      <c r="DC17" s="1" t="n"/>
    </row>
    <row r="18" ht="15" customFormat="1" customHeight="1" s="42">
      <c r="A18" s="43" t="inlineStr">
        <is>
          <t>patrickJiang(姜彪国)</t>
        </is>
      </c>
      <c r="B18" s="43" t="n"/>
      <c r="C18" s="43" t="n">
        <v>1336290</v>
      </c>
      <c r="D18" s="43" t="inlineStr">
        <is>
          <t>风险管理和内部控制</t>
        </is>
      </c>
      <c r="E18" s="43" t="inlineStr">
        <is>
          <t>CSIG风控中心</t>
        </is>
      </c>
      <c r="F18" s="43" t="n"/>
      <c r="G18" s="44" t="inlineStr">
        <is>
          <t>S2职能系统－财经线/风险管理和内部控制/CSIG风控中心</t>
        </is>
      </c>
      <c r="H18" s="179" t="n">
        <v>42286</v>
      </c>
      <c r="I18" s="43" t="inlineStr">
        <is>
          <t>社会招聘</t>
        </is>
      </c>
      <c r="J18" s="43" t="inlineStr">
        <is>
          <t>财经类－FN</t>
        </is>
      </c>
      <c r="K18" s="43" t="inlineStr">
        <is>
          <t>风险管理</t>
        </is>
      </c>
      <c r="L18" s="46" t="inlineStr">
        <is>
          <t>S9</t>
        </is>
      </c>
      <c r="M18" s="46" t="n"/>
      <c r="N18" s="43" t="inlineStr">
        <is>
          <t>T1</t>
        </is>
      </c>
      <c r="O18" s="43" t="n"/>
      <c r="P18" s="180" t="n"/>
      <c r="Q18" s="44" t="inlineStr">
        <is>
          <t>O,G</t>
        </is>
      </c>
      <c r="R18" s="44" t="n"/>
      <c r="S18" s="43" t="n"/>
      <c r="T18" s="180" t="n"/>
      <c r="U18" s="1" t="n">
        <v>54594.65</v>
      </c>
      <c r="V18" s="108" t="n">
        <v>0.083333</v>
      </c>
      <c r="W18" s="46" t="inlineStr">
        <is>
          <t>CNY</t>
        </is>
      </c>
      <c r="X18" s="181" t="n">
        <v>1</v>
      </c>
      <c r="Y18" s="1" t="n">
        <v>53257.31</v>
      </c>
      <c r="Z18" s="1" t="n">
        <v>0</v>
      </c>
      <c r="AA18" s="1" t="n">
        <v>109189.3</v>
      </c>
      <c r="AB18" s="1" t="n">
        <v>130245</v>
      </c>
      <c r="AC18" s="48" t="n">
        <v>76345</v>
      </c>
      <c r="AD18" s="1" t="n"/>
      <c r="AE18" s="48" t="n"/>
      <c r="AF18" s="1" t="n">
        <v>0</v>
      </c>
      <c r="AG18" s="1" t="n">
        <v>315779.3</v>
      </c>
      <c r="AH18" s="182" t="n">
        <v>5.929313741155909</v>
      </c>
      <c r="AI18" s="1" t="n">
        <v>315779.3</v>
      </c>
      <c r="AJ18" s="183" t="n">
        <v>5.929313741155909</v>
      </c>
      <c r="AK18" s="183" t="n">
        <v>4.495801609206323</v>
      </c>
      <c r="AL18" s="108" t="n"/>
      <c r="AM18" s="183" t="n"/>
      <c r="AN18" s="183" t="n"/>
      <c r="AO18" s="1" t="n"/>
      <c r="AP18" s="48" t="n"/>
      <c r="AQ18" s="1" t="n">
        <v>315779.3</v>
      </c>
      <c r="AR18" s="183" t="n">
        <v>5.929313741155909</v>
      </c>
      <c r="AS18" s="98" t="n">
        <v>1.389751342311416</v>
      </c>
      <c r="AT18" s="183" t="n"/>
      <c r="AU18" s="1" t="n"/>
      <c r="AV18" s="48" t="n"/>
      <c r="AW18" s="1" t="n"/>
      <c r="AX18" s="48" t="n"/>
      <c r="AY18" s="1" t="n"/>
      <c r="AZ18" s="48" t="n"/>
      <c r="BA18" s="51" t="n"/>
      <c r="BB18" s="180" t="n"/>
      <c r="BC18" s="1" t="n"/>
      <c r="BD18" s="1" t="n"/>
      <c r="BE18" s="180" t="n"/>
      <c r="BF18" s="1" t="n"/>
      <c r="BG18" s="1" t="n"/>
      <c r="BH18" s="1" t="n"/>
      <c r="BI18" s="1" t="n"/>
      <c r="BJ18" s="52" t="n"/>
      <c r="BK18" s="52" t="n"/>
      <c r="BL18" s="184" t="n">
        <v>1</v>
      </c>
      <c r="BM18" s="1" t="n">
        <v>45345</v>
      </c>
      <c r="BN18" s="1" t="n">
        <v>0</v>
      </c>
      <c r="BO18" s="1" t="n">
        <v>49295</v>
      </c>
      <c r="BP18" s="43" t="inlineStr">
        <is>
          <t>G,G</t>
        </is>
      </c>
      <c r="BQ18" s="43" t="inlineStr">
        <is>
          <t>T1</t>
        </is>
      </c>
      <c r="BR18" s="1" t="n">
        <v>155765</v>
      </c>
      <c r="BS18" s="185" t="n">
        <v>3.435108611754328</v>
      </c>
      <c r="BT18" s="1" t="n">
        <v>71455</v>
      </c>
      <c r="BU18" s="1" t="n">
        <v>227220</v>
      </c>
      <c r="BV18" s="54" t="n">
        <v>5.010916308303011</v>
      </c>
      <c r="BW18" s="54" t="n"/>
      <c r="BX18" s="1" t="n"/>
      <c r="BY18" s="1" t="n">
        <v>227220</v>
      </c>
      <c r="BZ18" s="54" t="n">
        <v>5.010916308303011</v>
      </c>
      <c r="CA18" s="54" t="n"/>
      <c r="CB18" s="186" t="n"/>
      <c r="CC18" s="186" t="n"/>
      <c r="CD18" s="186" t="n"/>
      <c r="CE18" s="52" t="n"/>
      <c r="CF18" s="52" t="n"/>
      <c r="CG18" s="43" t="n"/>
      <c r="CH18" s="43" t="n"/>
      <c r="CI18" s="43" t="n"/>
      <c r="CJ18" s="43" t="n"/>
      <c r="CK18" s="43" t="n"/>
      <c r="CL18" s="43" t="n"/>
      <c r="CM18" s="43" t="n"/>
      <c r="CN18" s="43" t="n"/>
      <c r="CO18" s="43" t="n"/>
      <c r="CP18" s="43" t="inlineStr">
        <is>
          <t>风险管理和内部控制</t>
        </is>
      </c>
      <c r="CQ18" s="43" t="inlineStr">
        <is>
          <t>3,3</t>
        </is>
      </c>
      <c r="CR18" s="43" t="n">
        <v>9</v>
      </c>
      <c r="CS18" s="43" t="inlineStr">
        <is>
          <t>T1</t>
        </is>
      </c>
      <c r="CT18" s="187" t="inlineStr">
        <is>
          <t>N</t>
        </is>
      </c>
      <c r="CU18" s="187" t="n"/>
      <c r="CV18" s="187" t="n"/>
      <c r="CW18" s="1" t="n"/>
      <c r="CX18" s="1" t="n"/>
      <c r="CY18" s="1" t="n"/>
      <c r="CZ18" s="1" t="n"/>
      <c r="DA18" s="1" t="n"/>
      <c r="DB18" s="1" t="n"/>
      <c r="DC18" s="1" t="n"/>
    </row>
    <row r="19" ht="15" customFormat="1" customHeight="1" s="42">
      <c r="A19" s="43" t="inlineStr">
        <is>
          <t>chloeLin(林琴悦)</t>
        </is>
      </c>
      <c r="B19" s="43" t="n"/>
      <c r="C19" s="43" t="n">
        <v>2185561</v>
      </c>
      <c r="D19" s="43" t="inlineStr">
        <is>
          <t>CSIG财务管理</t>
        </is>
      </c>
      <c r="E19" s="43" t="inlineStr">
        <is>
          <t>公线及费用财务管理中心</t>
        </is>
      </c>
      <c r="F19" s="43" t="n"/>
      <c r="G19" s="44" t="inlineStr">
        <is>
          <t>S2职能系统－财经线/CSIG财务管理/公线及费用财务管理中心</t>
        </is>
      </c>
      <c r="H19" s="179" t="n">
        <v>43514</v>
      </c>
      <c r="I19" s="43" t="inlineStr">
        <is>
          <t>社会招聘</t>
        </is>
      </c>
      <c r="J19" s="43" t="inlineStr">
        <is>
          <t>财经类－FN</t>
        </is>
      </c>
      <c r="K19" s="43" t="inlineStr">
        <is>
          <t>财务管理</t>
        </is>
      </c>
      <c r="L19" s="46" t="inlineStr">
        <is>
          <t>S8</t>
        </is>
      </c>
      <c r="M19" s="46" t="n"/>
      <c r="N19" s="43" t="inlineStr">
        <is>
          <t>T1</t>
        </is>
      </c>
      <c r="O19" s="43" t="n"/>
      <c r="P19" s="180" t="n"/>
      <c r="Q19" s="44" t="inlineStr">
        <is>
          <t>O,G</t>
        </is>
      </c>
      <c r="R19" s="44" t="n"/>
      <c r="S19" s="43" t="n"/>
      <c r="T19" s="180" t="n"/>
      <c r="U19" s="1" t="n">
        <v>46114.8</v>
      </c>
      <c r="V19" s="108" t="n">
        <v>0.083333</v>
      </c>
      <c r="W19" s="46" t="inlineStr">
        <is>
          <t>CNY</t>
        </is>
      </c>
      <c r="X19" s="181" t="n">
        <v>1</v>
      </c>
      <c r="Y19" s="1" t="n">
        <v>42227.05</v>
      </c>
      <c r="Z19" s="1" t="n">
        <v>0</v>
      </c>
      <c r="AA19" s="1" t="n">
        <v>138344.4</v>
      </c>
      <c r="AB19" s="1" t="n">
        <v>108735</v>
      </c>
      <c r="AC19" s="48" t="n">
        <v>68175</v>
      </c>
      <c r="AD19" s="1" t="n"/>
      <c r="AE19" s="48" t="n"/>
      <c r="AF19" s="1" t="n">
        <v>0</v>
      </c>
      <c r="AG19" s="1" t="n">
        <v>315254.4</v>
      </c>
      <c r="AH19" s="182" t="n">
        <v>7.465697935328184</v>
      </c>
      <c r="AI19" s="1" t="n">
        <v>315254.4</v>
      </c>
      <c r="AJ19" s="183" t="n">
        <v>7.465697935328184</v>
      </c>
      <c r="AK19" s="183" t="n">
        <v>5.851211486476085</v>
      </c>
      <c r="AL19" s="108" t="n"/>
      <c r="AM19" s="183" t="n"/>
      <c r="AN19" s="183" t="n"/>
      <c r="AO19" s="1" t="n"/>
      <c r="AP19" s="48" t="n"/>
      <c r="AQ19" s="1" t="n">
        <v>315254.4</v>
      </c>
      <c r="AR19" s="183" t="n">
        <v>7.465697935328184</v>
      </c>
      <c r="AS19" s="98" t="n">
        <v>1.200740430394211</v>
      </c>
      <c r="AT19" s="183" t="n"/>
      <c r="AU19" s="1" t="n"/>
      <c r="AV19" s="48" t="n"/>
      <c r="AW19" s="1" t="n"/>
      <c r="AX19" s="48" t="n"/>
      <c r="AY19" s="1" t="n"/>
      <c r="AZ19" s="48" t="n"/>
      <c r="BA19" s="51" t="n"/>
      <c r="BB19" s="180" t="n"/>
      <c r="BC19" s="1" t="n"/>
      <c r="BD19" s="1" t="n"/>
      <c r="BE19" s="180" t="n"/>
      <c r="BF19" s="1" t="n"/>
      <c r="BG19" s="1" t="n"/>
      <c r="BH19" s="1" t="n"/>
      <c r="BI19" s="1" t="n"/>
      <c r="BJ19" s="52" t="n"/>
      <c r="BK19" s="52" t="n"/>
      <c r="BL19" s="184" t="n">
        <v>1</v>
      </c>
      <c r="BM19" s="1" t="n">
        <v>38825</v>
      </c>
      <c r="BN19" s="1" t="n">
        <v>0</v>
      </c>
      <c r="BO19" s="1" t="n">
        <v>40225</v>
      </c>
      <c r="BP19" s="43" t="inlineStr">
        <is>
          <t>G,G</t>
        </is>
      </c>
      <c r="BQ19" s="43" t="inlineStr">
        <is>
          <t>T1#</t>
        </is>
      </c>
      <c r="BR19" s="1" t="n">
        <v>218440</v>
      </c>
      <c r="BS19" s="185" t="n">
        <v>5.626271732131358</v>
      </c>
      <c r="BT19" s="1" t="n">
        <v>44110</v>
      </c>
      <c r="BU19" s="1" t="n">
        <v>262550</v>
      </c>
      <c r="BV19" s="54" t="n">
        <v>6.762395363811977</v>
      </c>
      <c r="BW19" s="54" t="n"/>
      <c r="BX19" s="1" t="n"/>
      <c r="BY19" s="1" t="n">
        <v>262550</v>
      </c>
      <c r="BZ19" s="54" t="n">
        <v>6.762395363811977</v>
      </c>
      <c r="CA19" s="54" t="n"/>
      <c r="CB19" s="186" t="n"/>
      <c r="CC19" s="186" t="n"/>
      <c r="CD19" s="186" t="n"/>
      <c r="CE19" s="52" t="n"/>
      <c r="CF19" s="52" t="n"/>
      <c r="CG19" s="43" t="n"/>
      <c r="CH19" s="43" t="n"/>
      <c r="CI19" s="43" t="n"/>
      <c r="CJ19" s="43" t="n"/>
      <c r="CK19" s="43" t="n"/>
      <c r="CL19" s="43" t="n"/>
      <c r="CM19" s="43" t="n"/>
      <c r="CN19" s="43" t="n"/>
      <c r="CO19" s="43" t="n"/>
      <c r="CP19" s="43" t="inlineStr">
        <is>
          <t>CSIG财务管理</t>
        </is>
      </c>
      <c r="CQ19" s="43" t="inlineStr">
        <is>
          <t>5,3</t>
        </is>
      </c>
      <c r="CR19" s="43" t="n">
        <v>8</v>
      </c>
      <c r="CS19" s="43" t="inlineStr">
        <is>
          <t>T1</t>
        </is>
      </c>
      <c r="CT19" s="187" t="inlineStr">
        <is>
          <t>N</t>
        </is>
      </c>
      <c r="CU19" s="187" t="n"/>
      <c r="CV19" s="187" t="n"/>
      <c r="CW19" s="1" t="n"/>
      <c r="CX19" s="1" t="n"/>
      <c r="CY19" s="1" t="n"/>
      <c r="CZ19" s="1" t="n"/>
      <c r="DA19" s="1" t="n"/>
      <c r="DB19" s="1" t="n"/>
      <c r="DC19" s="1" t="n"/>
    </row>
    <row r="20" ht="15" customFormat="1" customHeight="1" s="42">
      <c r="A20" s="43" t="inlineStr">
        <is>
          <t>abigailDong(董璐月)</t>
        </is>
      </c>
      <c r="B20" s="43" t="n"/>
      <c r="C20" s="43" t="n">
        <v>15958390</v>
      </c>
      <c r="D20" s="43" t="inlineStr">
        <is>
          <t>风险管理和内部控制</t>
        </is>
      </c>
      <c r="E20" s="43" t="inlineStr">
        <is>
          <t>IEG风控中心</t>
        </is>
      </c>
      <c r="F20" s="43" t="n"/>
      <c r="G20" s="44" t="inlineStr">
        <is>
          <t>S2职能系统－财经线/风险管理和内部控制/IEG风控中心</t>
        </is>
      </c>
      <c r="H20" s="179" t="n">
        <v>37998</v>
      </c>
      <c r="I20" s="43" t="inlineStr">
        <is>
          <t>高校招聘</t>
        </is>
      </c>
      <c r="J20" s="43" t="inlineStr">
        <is>
          <t>财经类－FN</t>
        </is>
      </c>
      <c r="K20" s="43" t="inlineStr">
        <is>
          <t>风险管理</t>
        </is>
      </c>
      <c r="L20" s="46" t="inlineStr">
        <is>
          <t>S11</t>
        </is>
      </c>
      <c r="M20" s="46" t="n"/>
      <c r="N20" s="43" t="inlineStr">
        <is>
          <t>T1</t>
        </is>
      </c>
      <c r="O20" s="43" t="n"/>
      <c r="P20" s="180" t="n"/>
      <c r="Q20" s="44" t="inlineStr">
        <is>
          <t>G,O</t>
        </is>
      </c>
      <c r="R20" s="44" t="n"/>
      <c r="S20" s="43" t="n"/>
      <c r="T20" s="180" t="n"/>
      <c r="U20" s="1" t="n">
        <v>42014.3</v>
      </c>
      <c r="V20" s="108" t="n">
        <v>0.083333</v>
      </c>
      <c r="W20" s="46" t="inlineStr">
        <is>
          <t>CNY</t>
        </is>
      </c>
      <c r="X20" s="181" t="n">
        <v>1</v>
      </c>
      <c r="Y20" s="1" t="n">
        <v>40908.92</v>
      </c>
      <c r="Z20" s="1" t="n">
        <v>0</v>
      </c>
      <c r="AA20" s="1" t="n">
        <v>42014.3</v>
      </c>
      <c r="AB20" s="1" t="n">
        <v>104350</v>
      </c>
      <c r="AC20" s="48" t="n">
        <v>0</v>
      </c>
      <c r="AD20" s="1" t="n"/>
      <c r="AE20" s="48" t="n"/>
      <c r="AF20" s="1" t="n">
        <v>0</v>
      </c>
      <c r="AG20" s="1" t="n">
        <v>146364.3</v>
      </c>
      <c r="AH20" s="182" t="n">
        <v>3.577808947290713</v>
      </c>
      <c r="AI20" s="1" t="n">
        <v>146364.3</v>
      </c>
      <c r="AJ20" s="183" t="n">
        <v>3.577808947290713</v>
      </c>
      <c r="AK20" s="183" t="n">
        <v>3.577808947290713</v>
      </c>
      <c r="AL20" s="108" t="n"/>
      <c r="AM20" s="183" t="n"/>
      <c r="AN20" s="183" t="n"/>
      <c r="AO20" s="1" t="n"/>
      <c r="AP20" s="48" t="n"/>
      <c r="AQ20" s="1" t="n">
        <v>146364.3</v>
      </c>
      <c r="AR20" s="183" t="n">
        <v>3.577808947290713</v>
      </c>
      <c r="AS20" s="98" t="n">
        <v>0.5545992952142775</v>
      </c>
      <c r="AT20" s="183" t="n"/>
      <c r="AU20" s="1" t="n"/>
      <c r="AV20" s="48" t="n"/>
      <c r="AW20" s="1" t="n"/>
      <c r="AX20" s="48" t="n"/>
      <c r="AY20" s="1" t="n"/>
      <c r="AZ20" s="48" t="n"/>
      <c r="BA20" s="51" t="n"/>
      <c r="BB20" s="180" t="n"/>
      <c r="BC20" s="1" t="n"/>
      <c r="BD20" s="1" t="n"/>
      <c r="BE20" s="180" t="n"/>
      <c r="BF20" s="1" t="n"/>
      <c r="BG20" s="1" t="n"/>
      <c r="BH20" s="1" t="n"/>
      <c r="BI20" s="1" t="n"/>
      <c r="BJ20" s="52" t="n"/>
      <c r="BK20" s="52" t="n"/>
      <c r="BL20" s="184" t="n">
        <v>1</v>
      </c>
      <c r="BM20" s="1" t="n">
        <v>35120</v>
      </c>
      <c r="BN20" s="1" t="n">
        <v>0</v>
      </c>
      <c r="BO20" s="1" t="n">
        <v>37910</v>
      </c>
      <c r="BP20" s="43" t="inlineStr">
        <is>
          <t>G,G</t>
        </is>
      </c>
      <c r="BQ20" s="43" t="inlineStr">
        <is>
          <t>T1#</t>
        </is>
      </c>
      <c r="BR20" s="1" t="n">
        <v>207955</v>
      </c>
      <c r="BS20" s="185" t="n">
        <v>5.92126993166287</v>
      </c>
      <c r="BT20" s="1" t="n">
        <v>55955</v>
      </c>
      <c r="BU20" s="1" t="n">
        <v>263910</v>
      </c>
      <c r="BV20" s="54" t="n">
        <v>7.514521640091116</v>
      </c>
      <c r="BW20" s="54" t="n"/>
      <c r="BX20" s="1" t="n"/>
      <c r="BY20" s="1" t="n">
        <v>263910</v>
      </c>
      <c r="BZ20" s="54" t="n">
        <v>7.514521640091116</v>
      </c>
      <c r="CA20" s="54" t="n"/>
      <c r="CB20" s="186" t="n"/>
      <c r="CC20" s="186" t="n"/>
      <c r="CD20" s="186" t="n"/>
      <c r="CE20" s="52" t="n"/>
      <c r="CF20" s="52" t="n"/>
      <c r="CG20" s="43" t="n"/>
      <c r="CH20" s="43" t="n"/>
      <c r="CI20" s="43" t="n"/>
      <c r="CJ20" s="43" t="n"/>
      <c r="CK20" s="43" t="n"/>
      <c r="CL20" s="43" t="n"/>
      <c r="CM20" s="43" t="n"/>
      <c r="CN20" s="43" t="n"/>
      <c r="CO20" s="43" t="n"/>
      <c r="CP20" s="43" t="inlineStr">
        <is>
          <t>风险管理和内部控制</t>
        </is>
      </c>
      <c r="CQ20" s="43" t="inlineStr">
        <is>
          <t>3,1</t>
        </is>
      </c>
      <c r="CR20" s="43" t="n">
        <v>11</v>
      </c>
      <c r="CS20" s="43" t="inlineStr">
        <is>
          <t>T1</t>
        </is>
      </c>
      <c r="CT20" s="187" t="inlineStr">
        <is>
          <t>N</t>
        </is>
      </c>
      <c r="CU20" s="187" t="n"/>
      <c r="CV20" s="187" t="n"/>
      <c r="CW20" s="1" t="n"/>
      <c r="CX20" s="1" t="n"/>
      <c r="CY20" s="1" t="n"/>
      <c r="CZ20" s="1" t="n"/>
      <c r="DA20" s="1" t="n"/>
      <c r="DB20" s="1" t="n"/>
      <c r="DC20" s="1" t="n"/>
    </row>
    <row r="21" ht="15" customFormat="1" customHeight="1" s="42">
      <c r="A21" s="43" t="inlineStr">
        <is>
          <t>nicholasQiu(邱强)</t>
        </is>
      </c>
      <c r="B21" s="43" t="n"/>
      <c r="C21" s="43" t="n">
        <v>19081982</v>
      </c>
      <c r="D21" s="43" t="inlineStr">
        <is>
          <t>风险管理和内部控制</t>
        </is>
      </c>
      <c r="E21" s="43" t="inlineStr">
        <is>
          <t>IEG风控中心</t>
        </is>
      </c>
      <c r="F21" s="43" t="n"/>
      <c r="G21" s="44" t="inlineStr">
        <is>
          <t>S2职能系统－财经线/风险管理和内部控制/IEG风控中心</t>
        </is>
      </c>
      <c r="H21" s="179" t="n">
        <v>42461</v>
      </c>
      <c r="I21" s="43" t="inlineStr">
        <is>
          <t>高校招聘</t>
        </is>
      </c>
      <c r="J21" s="43" t="inlineStr">
        <is>
          <t>财经类－FN</t>
        </is>
      </c>
      <c r="K21" s="43" t="inlineStr">
        <is>
          <t>风险管理</t>
        </is>
      </c>
      <c r="L21" s="46" t="inlineStr">
        <is>
          <t>S8</t>
        </is>
      </c>
      <c r="M21" s="46" t="n"/>
      <c r="N21" s="43" t="inlineStr">
        <is>
          <t>T2</t>
        </is>
      </c>
      <c r="O21" s="43" t="n"/>
      <c r="P21" s="180" t="n"/>
      <c r="Q21" s="44" t="inlineStr">
        <is>
          <t>G,G</t>
        </is>
      </c>
      <c r="R21" s="44" t="n"/>
      <c r="S21" s="43" t="n"/>
      <c r="T21" s="180" t="n"/>
      <c r="U21" s="1" t="n">
        <v>44043.7</v>
      </c>
      <c r="V21" s="108" t="n">
        <v>0.083333</v>
      </c>
      <c r="W21" s="46" t="inlineStr">
        <is>
          <t>CNY</t>
        </is>
      </c>
      <c r="X21" s="181" t="n">
        <v>1</v>
      </c>
      <c r="Y21" s="1" t="n">
        <v>41123.76</v>
      </c>
      <c r="Z21" s="1" t="n">
        <v>0</v>
      </c>
      <c r="AA21" s="1" t="n">
        <v>132131.1</v>
      </c>
      <c r="AB21" s="1" t="n">
        <v>51655</v>
      </c>
      <c r="AC21" s="48" t="n">
        <v>0</v>
      </c>
      <c r="AD21" s="1" t="n"/>
      <c r="AE21" s="48" t="n"/>
      <c r="AF21" s="1" t="n">
        <v>0</v>
      </c>
      <c r="AG21" s="1" t="n">
        <v>183786.1</v>
      </c>
      <c r="AH21" s="182" t="n">
        <v>4.469097670057407</v>
      </c>
      <c r="AI21" s="1" t="n">
        <v>183786.1</v>
      </c>
      <c r="AJ21" s="183" t="n">
        <v>4.469097670057407</v>
      </c>
      <c r="AK21" s="183" t="n">
        <v>4.469097670057407</v>
      </c>
      <c r="AL21" s="108" t="n"/>
      <c r="AM21" s="183" t="n"/>
      <c r="AN21" s="183" t="n"/>
      <c r="AO21" s="1" t="n"/>
      <c r="AP21" s="48" t="n"/>
      <c r="AQ21" s="1" t="n">
        <v>183786.1</v>
      </c>
      <c r="AR21" s="183" t="n">
        <v>4.469097670057407</v>
      </c>
      <c r="AS21" s="98" t="n">
        <v>1.129531682133858</v>
      </c>
      <c r="AT21" s="183" t="n"/>
      <c r="AU21" s="1" t="n"/>
      <c r="AV21" s="48" t="n"/>
      <c r="AW21" s="1" t="n"/>
      <c r="AX21" s="48" t="n"/>
      <c r="AY21" s="1" t="n"/>
      <c r="AZ21" s="48" t="n"/>
      <c r="BA21" s="51" t="n"/>
      <c r="BB21" s="180" t="n"/>
      <c r="BC21" s="1" t="n"/>
      <c r="BD21" s="1" t="n"/>
      <c r="BE21" s="180" t="n"/>
      <c r="BF21" s="1" t="n"/>
      <c r="BG21" s="1" t="n"/>
      <c r="BH21" s="1" t="n"/>
      <c r="BI21" s="1" t="n"/>
      <c r="BJ21" s="52" t="n"/>
      <c r="BK21" s="52" t="n"/>
      <c r="BL21" s="184" t="n">
        <v>1</v>
      </c>
      <c r="BM21" s="1" t="n">
        <v>35815</v>
      </c>
      <c r="BN21" s="1" t="n">
        <v>0</v>
      </c>
      <c r="BO21" s="1" t="n">
        <v>38760</v>
      </c>
      <c r="BP21" s="43" t="inlineStr">
        <is>
          <t>G,O</t>
        </is>
      </c>
      <c r="BQ21" s="43" t="inlineStr">
        <is>
          <t>T2</t>
        </is>
      </c>
      <c r="BR21" s="1" t="n">
        <v>162710</v>
      </c>
      <c r="BS21" s="185" t="n">
        <v>4.543068546698311</v>
      </c>
      <c r="BT21" s="1" t="n">
        <v>0</v>
      </c>
      <c r="BU21" s="1" t="n">
        <v>162710</v>
      </c>
      <c r="BV21" s="54" t="n">
        <v>4.543068546698311</v>
      </c>
      <c r="BW21" s="54" t="n"/>
      <c r="BX21" s="1" t="n"/>
      <c r="BY21" s="1" t="n">
        <v>162710</v>
      </c>
      <c r="BZ21" s="54" t="n">
        <v>4.543068546698311</v>
      </c>
      <c r="CA21" s="54" t="n"/>
      <c r="CB21" s="186" t="n"/>
      <c r="CC21" s="186" t="n"/>
      <c r="CD21" s="186" t="n"/>
      <c r="CE21" s="52" t="n"/>
      <c r="CF21" s="52" t="n"/>
      <c r="CG21" s="43" t="n"/>
      <c r="CH21" s="43" t="n"/>
      <c r="CI21" s="43" t="n"/>
      <c r="CJ21" s="43" t="n"/>
      <c r="CK21" s="43" t="n"/>
      <c r="CL21" s="43" t="n"/>
      <c r="CM21" s="43" t="n"/>
      <c r="CN21" s="43" t="n"/>
      <c r="CO21" s="43" t="n"/>
      <c r="CP21" s="43" t="inlineStr">
        <is>
          <t>风险管理和内部控制</t>
        </is>
      </c>
      <c r="CQ21" s="43" t="inlineStr">
        <is>
          <t>5,3</t>
        </is>
      </c>
      <c r="CR21" s="43" t="n">
        <v>8</v>
      </c>
      <c r="CS21" s="43" t="inlineStr">
        <is>
          <t>T2</t>
        </is>
      </c>
      <c r="CT21" s="187" t="inlineStr">
        <is>
          <t>N</t>
        </is>
      </c>
      <c r="CU21" s="187" t="n"/>
      <c r="CV21" s="187" t="n"/>
      <c r="CW21" s="1" t="n"/>
      <c r="CX21" s="1" t="n"/>
      <c r="CY21" s="1" t="n"/>
      <c r="CZ21" s="1" t="n"/>
      <c r="DA21" s="1" t="n"/>
      <c r="DB21" s="1" t="n"/>
      <c r="DC21" s="1" t="n"/>
    </row>
    <row r="22" ht="15" customFormat="1" customHeight="1" s="42">
      <c r="A22" s="43" t="inlineStr">
        <is>
          <t>matthewHou(侯勋宏)</t>
        </is>
      </c>
      <c r="B22" s="43" t="n"/>
      <c r="C22" s="43" t="n">
        <v>81154958</v>
      </c>
      <c r="D22" s="43" t="inlineStr">
        <is>
          <t>海外财经中心</t>
        </is>
      </c>
      <c r="E22" s="43" t="inlineStr">
        <is>
          <t>海外本地财务</t>
        </is>
      </c>
      <c r="F22" s="43" t="n"/>
      <c r="G22" s="44" t="inlineStr">
        <is>
          <t>S2职能系统－财经线/海外财经中心/海外本地财务</t>
        </is>
      </c>
      <c r="H22" s="179" t="n">
        <v>41263</v>
      </c>
      <c r="I22" s="43" t="inlineStr">
        <is>
          <t>社会招聘</t>
        </is>
      </c>
      <c r="J22" s="43" t="inlineStr">
        <is>
          <t>财经类－FN</t>
        </is>
      </c>
      <c r="K22" s="43" t="inlineStr">
        <is>
          <t>财务管理</t>
        </is>
      </c>
      <c r="L22" s="46" t="inlineStr">
        <is>
          <t>S11</t>
        </is>
      </c>
      <c r="M22" s="46" t="n"/>
      <c r="N22" s="43" t="inlineStr">
        <is>
          <t>T1</t>
        </is>
      </c>
      <c r="O22" s="43" t="n"/>
      <c r="P22" s="180" t="n"/>
      <c r="Q22" s="44" t="inlineStr">
        <is>
          <t>G,G</t>
        </is>
      </c>
      <c r="R22" s="44" t="n"/>
      <c r="S22" s="43" t="n"/>
      <c r="T22" s="180" t="n"/>
      <c r="U22" s="1" t="n">
        <v>51306.95</v>
      </c>
      <c r="V22" s="108" t="n">
        <v>0.083333</v>
      </c>
      <c r="W22" s="46" t="inlineStr">
        <is>
          <t>CNY</t>
        </is>
      </c>
      <c r="X22" s="181" t="n">
        <v>1</v>
      </c>
      <c r="Y22" s="1" t="n">
        <v>46207.44</v>
      </c>
      <c r="Z22" s="1" t="n">
        <v>0</v>
      </c>
      <c r="AA22" s="1" t="n">
        <v>102613.9</v>
      </c>
      <c r="AB22" s="1" t="n">
        <v>108165</v>
      </c>
      <c r="AC22" s="48" t="n">
        <v>98095</v>
      </c>
      <c r="AD22" s="1" t="n"/>
      <c r="AE22" s="48" t="n"/>
      <c r="AF22" s="1" t="n">
        <v>0</v>
      </c>
      <c r="AG22" s="1" t="n">
        <v>308873.9</v>
      </c>
      <c r="AH22" s="182" t="n">
        <v>6.684505785215541</v>
      </c>
      <c r="AI22" s="1" t="n">
        <v>308873.9</v>
      </c>
      <c r="AJ22" s="183" t="n">
        <v>6.684505785215541</v>
      </c>
      <c r="AK22" s="183" t="n">
        <v>4.561579260828991</v>
      </c>
      <c r="AL22" s="108" t="n"/>
      <c r="AM22" s="183" t="n"/>
      <c r="AN22" s="183" t="n"/>
      <c r="AO22" s="1" t="n"/>
      <c r="AP22" s="48" t="n"/>
      <c r="AQ22" s="1" t="n">
        <v>308873.9</v>
      </c>
      <c r="AR22" s="183" t="n">
        <v>6.684505785215541</v>
      </c>
      <c r="AS22" s="98" t="n">
        <v>2.271048123230764</v>
      </c>
      <c r="AT22" s="183" t="n"/>
      <c r="AU22" s="1" t="n"/>
      <c r="AV22" s="48" t="n"/>
      <c r="AW22" s="1" t="n"/>
      <c r="AX22" s="48" t="n"/>
      <c r="AY22" s="1" t="n"/>
      <c r="AZ22" s="48" t="n"/>
      <c r="BA22" s="51" t="n"/>
      <c r="BB22" s="180" t="n"/>
      <c r="BC22" s="1" t="n"/>
      <c r="BD22" s="1" t="n"/>
      <c r="BE22" s="180" t="n"/>
      <c r="BF22" s="1" t="n"/>
      <c r="BG22" s="1" t="n"/>
      <c r="BH22" s="1" t="n"/>
      <c r="BI22" s="1" t="n"/>
      <c r="BJ22" s="52" t="n"/>
      <c r="BK22" s="52" t="n"/>
      <c r="BL22" s="184" t="n">
        <v>1</v>
      </c>
      <c r="BM22" s="1" t="n">
        <v>42530</v>
      </c>
      <c r="BN22" s="1" t="n">
        <v>0</v>
      </c>
      <c r="BO22" s="1" t="n">
        <v>44415</v>
      </c>
      <c r="BP22" s="43" t="inlineStr">
        <is>
          <t>U,O</t>
        </is>
      </c>
      <c r="BQ22" s="43" t="inlineStr">
        <is>
          <t>T1</t>
        </is>
      </c>
      <c r="BR22" s="1" t="n">
        <v>136005</v>
      </c>
      <c r="BS22" s="185" t="n">
        <v>3.197860333881966</v>
      </c>
      <c r="BT22" s="1" t="n">
        <v>0</v>
      </c>
      <c r="BU22" s="1" t="n">
        <v>136005</v>
      </c>
      <c r="BV22" s="54" t="n">
        <v>3.197860333881966</v>
      </c>
      <c r="BW22" s="54" t="n"/>
      <c r="BX22" s="1" t="n"/>
      <c r="BY22" s="1" t="n">
        <v>136005</v>
      </c>
      <c r="BZ22" s="54" t="n">
        <v>3.197860333881966</v>
      </c>
      <c r="CA22" s="54" t="n"/>
      <c r="CB22" s="186" t="n"/>
      <c r="CC22" s="186" t="n"/>
      <c r="CD22" s="186" t="n"/>
      <c r="CE22" s="52" t="n"/>
      <c r="CF22" s="52" t="n"/>
      <c r="CG22" s="43" t="n"/>
      <c r="CH22" s="43" t="n"/>
      <c r="CI22" s="43" t="n"/>
      <c r="CJ22" s="43" t="n"/>
      <c r="CK22" s="43" t="n"/>
      <c r="CL22" s="43" t="n"/>
      <c r="CM22" s="43" t="n"/>
      <c r="CN22" s="43" t="n"/>
      <c r="CO22" s="43" t="n"/>
      <c r="CP22" s="43" t="inlineStr">
        <is>
          <t>海外财经中心</t>
        </is>
      </c>
      <c r="CQ22" s="43" t="inlineStr">
        <is>
          <t>3,3</t>
        </is>
      </c>
      <c r="CR22" s="43" t="n">
        <v>11</v>
      </c>
      <c r="CS22" s="43" t="inlineStr">
        <is>
          <t>T1</t>
        </is>
      </c>
      <c r="CT22" s="187" t="inlineStr">
        <is>
          <t>N</t>
        </is>
      </c>
      <c r="CU22" s="187" t="n"/>
      <c r="CV22" s="187" t="n"/>
      <c r="CW22" s="1" t="n"/>
      <c r="CX22" s="1" t="n"/>
      <c r="CY22" s="1" t="n"/>
      <c r="CZ22" s="1" t="n"/>
      <c r="DA22" s="1" t="n"/>
      <c r="DB22" s="1" t="n"/>
      <c r="DC22" s="1" t="n"/>
    </row>
    <row r="23" ht="15" customFormat="1" customHeight="1" s="42">
      <c r="A23" s="43" t="inlineStr">
        <is>
          <t>lillianTian(田青)</t>
        </is>
      </c>
      <c r="B23" s="43" t="n"/>
      <c r="C23" s="43" t="n">
        <v>21911153</v>
      </c>
      <c r="D23" s="43" t="inlineStr">
        <is>
          <t>财经IT管理部</t>
        </is>
      </c>
      <c r="E23" s="43" t="inlineStr">
        <is>
          <t>平台建设中心</t>
        </is>
      </c>
      <c r="F23" s="43" t="n"/>
      <c r="G23" s="44" t="inlineStr">
        <is>
          <t>S2职能系统－财经线/财经IT管理部/平台建设中心</t>
        </is>
      </c>
      <c r="H23" s="179" t="n">
        <v>43026</v>
      </c>
      <c r="I23" s="43" t="inlineStr">
        <is>
          <t>高校招聘</t>
        </is>
      </c>
      <c r="J23" s="43" t="inlineStr">
        <is>
          <t>技术研发类－TRD</t>
        </is>
      </c>
      <c r="K23" s="43" t="inlineStr">
        <is>
          <t>应用开发</t>
        </is>
      </c>
      <c r="L23" s="46" t="inlineStr">
        <is>
          <t>T9</t>
        </is>
      </c>
      <c r="M23" s="46" t="n"/>
      <c r="N23" s="43" t="inlineStr">
        <is>
          <t>T1</t>
        </is>
      </c>
      <c r="O23" s="43" t="n"/>
      <c r="P23" s="180" t="n"/>
      <c r="Q23" s="44" t="inlineStr">
        <is>
          <t>G,U</t>
        </is>
      </c>
      <c r="R23" s="44" t="n"/>
      <c r="S23" s="43" t="n"/>
      <c r="T23" s="180" t="n"/>
      <c r="U23" s="1" t="n">
        <v>51577.2</v>
      </c>
      <c r="V23" s="108" t="n">
        <v>0.083333</v>
      </c>
      <c r="W23" s="46" t="inlineStr">
        <is>
          <t>CNY</t>
        </is>
      </c>
      <c r="X23" s="181" t="n">
        <v>1</v>
      </c>
      <c r="Y23" s="1" t="n">
        <v>47257.05</v>
      </c>
      <c r="Z23" s="1" t="n">
        <v>0</v>
      </c>
      <c r="AA23" s="1" t="n">
        <v>103154.4</v>
      </c>
      <c r="AB23" s="1" t="n">
        <v>128330</v>
      </c>
      <c r="AC23" s="48" t="n">
        <v>60530</v>
      </c>
      <c r="AD23" s="1" t="n"/>
      <c r="AE23" s="48" t="n"/>
      <c r="AF23" s="1" t="n">
        <v>0</v>
      </c>
      <c r="AG23" s="1" t="n">
        <v>292014.4</v>
      </c>
      <c r="AH23" s="182" t="n">
        <v>6.179276954443835</v>
      </c>
      <c r="AI23" s="1" t="n">
        <v>292014.4</v>
      </c>
      <c r="AJ23" s="183" t="n">
        <v>6.179276954443835</v>
      </c>
      <c r="AK23" s="183" t="n">
        <v>4.898409866887586</v>
      </c>
      <c r="AL23" s="108" t="n"/>
      <c r="AM23" s="183" t="n"/>
      <c r="AN23" s="183" t="n"/>
      <c r="AO23" s="1" t="n"/>
      <c r="AP23" s="48" t="n"/>
      <c r="AQ23" s="1" t="n">
        <v>292014.4</v>
      </c>
      <c r="AR23" s="183" t="n">
        <v>6.179276954443835</v>
      </c>
      <c r="AS23" s="98" t="n">
        <v>1.439026241222126</v>
      </c>
      <c r="AT23" s="183" t="n"/>
      <c r="AU23" s="1" t="n"/>
      <c r="AV23" s="48" t="n"/>
      <c r="AW23" s="1" t="n"/>
      <c r="AX23" s="48" t="n"/>
      <c r="AY23" s="1" t="n"/>
      <c r="AZ23" s="48" t="n"/>
      <c r="BA23" s="51" t="n"/>
      <c r="BB23" s="180" t="n"/>
      <c r="BC23" s="1" t="n"/>
      <c r="BD23" s="1" t="n"/>
      <c r="BE23" s="180" t="n"/>
      <c r="BF23" s="1" t="n"/>
      <c r="BG23" s="1" t="n"/>
      <c r="BH23" s="1" t="n"/>
      <c r="BI23" s="1" t="n"/>
      <c r="BJ23" s="52" t="n"/>
      <c r="BK23" s="52" t="n"/>
      <c r="BL23" s="184" t="n">
        <v>1</v>
      </c>
      <c r="BM23" s="1" t="n">
        <v>43545</v>
      </c>
      <c r="BN23" s="1" t="n">
        <v>0</v>
      </c>
      <c r="BO23" s="1" t="n">
        <v>46510</v>
      </c>
      <c r="BP23" s="43" t="inlineStr">
        <is>
          <t>G,G</t>
        </is>
      </c>
      <c r="BQ23" s="43" t="inlineStr">
        <is>
          <t>T1</t>
        </is>
      </c>
      <c r="BR23" s="1" t="n">
        <v>142185</v>
      </c>
      <c r="BS23" s="185" t="n">
        <v>3.26524285222184</v>
      </c>
      <c r="BT23" s="1" t="n">
        <v>60740</v>
      </c>
      <c r="BU23" s="1" t="n">
        <v>202925</v>
      </c>
      <c r="BV23" s="54" t="n">
        <v>4.660121713170284</v>
      </c>
      <c r="BW23" s="54" t="n"/>
      <c r="BX23" s="1" t="n"/>
      <c r="BY23" s="1" t="n">
        <v>202925</v>
      </c>
      <c r="BZ23" s="54" t="n">
        <v>4.660121713170284</v>
      </c>
      <c r="CA23" s="54" t="n"/>
      <c r="CB23" s="186" t="n"/>
      <c r="CC23" s="186" t="n"/>
      <c r="CD23" s="186" t="n"/>
      <c r="CE23" s="52" t="n"/>
      <c r="CF23" s="52" t="n"/>
      <c r="CG23" s="43" t="n"/>
      <c r="CH23" s="43" t="n"/>
      <c r="CI23" s="43" t="n"/>
      <c r="CJ23" s="43" t="n"/>
      <c r="CK23" s="43" t="n"/>
      <c r="CL23" s="43" t="n"/>
      <c r="CM23" s="43" t="n"/>
      <c r="CN23" s="43" t="n"/>
      <c r="CO23" s="43" t="n"/>
      <c r="CP23" s="43" t="inlineStr">
        <is>
          <t>财经IT管理部</t>
        </is>
      </c>
      <c r="CQ23" s="43" t="inlineStr">
        <is>
          <t>3,3</t>
        </is>
      </c>
      <c r="CR23" s="43" t="n">
        <v>9</v>
      </c>
      <c r="CS23" s="43" t="inlineStr">
        <is>
          <t>T1</t>
        </is>
      </c>
      <c r="CT23" s="187" t="inlineStr">
        <is>
          <t>N</t>
        </is>
      </c>
      <c r="CU23" s="187" t="n"/>
      <c r="CV23" s="187" t="n"/>
      <c r="CW23" s="1" t="n"/>
      <c r="CX23" s="1" t="n"/>
      <c r="CY23" s="1" t="n"/>
      <c r="CZ23" s="1" t="n"/>
      <c r="DA23" s="1" t="n"/>
      <c r="DB23" s="1" t="n"/>
      <c r="DC23" s="1" t="n"/>
    </row>
    <row r="24" ht="15" customFormat="1" customHeight="1" s="42">
      <c r="A24" s="43" t="inlineStr">
        <is>
          <t>louisYu(于梓)</t>
        </is>
      </c>
      <c r="B24" s="43" t="n"/>
      <c r="C24" s="43" t="n">
        <v>60316002</v>
      </c>
      <c r="D24" s="43" t="inlineStr">
        <is>
          <t>预算及职能系统财务管理部</t>
        </is>
      </c>
      <c r="E24" s="43" t="inlineStr">
        <is>
          <t>预算及职能系统财务管理部</t>
        </is>
      </c>
      <c r="F24" s="43" t="n"/>
      <c r="G24" s="44" t="inlineStr">
        <is>
          <t>S2职能系统－财经线/预算及职能系统财务管理部</t>
        </is>
      </c>
      <c r="H24" s="179" t="n">
        <v>39619</v>
      </c>
      <c r="I24" s="43" t="inlineStr">
        <is>
          <t>社会招聘</t>
        </is>
      </c>
      <c r="J24" s="43" t="inlineStr">
        <is>
          <t>财经类－FN</t>
        </is>
      </c>
      <c r="K24" s="43" t="inlineStr">
        <is>
          <t>预算管理</t>
        </is>
      </c>
      <c r="L24" s="46" t="inlineStr">
        <is>
          <t>S6</t>
        </is>
      </c>
      <c r="M24" s="46" t="n"/>
      <c r="N24" s="43" t="inlineStr">
        <is>
          <t>T1#</t>
        </is>
      </c>
      <c r="O24" s="43" t="n"/>
      <c r="P24" s="180" t="n"/>
      <c r="Q24" s="44" t="inlineStr">
        <is>
          <t>O,G</t>
        </is>
      </c>
      <c r="R24" s="44" t="n"/>
      <c r="S24" s="43" t="n"/>
      <c r="T24" s="180" t="n"/>
      <c r="U24" s="1" t="n">
        <v>24152.75</v>
      </c>
      <c r="V24" s="108" t="n">
        <v>0.083333</v>
      </c>
      <c r="W24" s="46" t="inlineStr">
        <is>
          <t>CNY</t>
        </is>
      </c>
      <c r="X24" s="181" t="n">
        <v>1</v>
      </c>
      <c r="Y24" s="1" t="n">
        <v>22085.21</v>
      </c>
      <c r="Z24" s="1" t="n">
        <v>0</v>
      </c>
      <c r="AA24" s="1" t="n">
        <v>48305.5</v>
      </c>
      <c r="AB24" s="1" t="n">
        <v>81310</v>
      </c>
      <c r="AC24" s="48" t="n">
        <v>41850</v>
      </c>
      <c r="AD24" s="1" t="n"/>
      <c r="AE24" s="48" t="n"/>
      <c r="AF24" s="1" t="n">
        <v>0</v>
      </c>
      <c r="AG24" s="1" t="n">
        <v>171465.5</v>
      </c>
      <c r="AH24" s="182" t="n">
        <v>7.763815693851225</v>
      </c>
      <c r="AI24" s="1" t="n">
        <v>171465.5</v>
      </c>
      <c r="AJ24" s="183" t="n">
        <v>7.763815693851225</v>
      </c>
      <c r="AK24" s="183" t="n">
        <v>5.868882387806138</v>
      </c>
      <c r="AL24" s="108" t="n"/>
      <c r="AM24" s="183" t="n"/>
      <c r="AN24" s="183" t="n"/>
      <c r="AO24" s="1" t="n"/>
      <c r="AP24" s="48" t="n"/>
      <c r="AQ24" s="1" t="n">
        <v>171465.5</v>
      </c>
      <c r="AR24" s="183" t="n">
        <v>7.763815693851225</v>
      </c>
      <c r="AS24" s="98" t="n">
        <v>1.080437933207309</v>
      </c>
      <c r="AT24" s="183" t="n"/>
      <c r="AU24" s="1" t="n"/>
      <c r="AV24" s="48" t="n"/>
      <c r="AW24" s="1" t="n"/>
      <c r="AX24" s="48" t="n"/>
      <c r="AY24" s="1" t="n"/>
      <c r="AZ24" s="48" t="n"/>
      <c r="BA24" s="51" t="n"/>
      <c r="BB24" s="180" t="n"/>
      <c r="BC24" s="1" t="n"/>
      <c r="BD24" s="1" t="n"/>
      <c r="BE24" s="180" t="n"/>
      <c r="BF24" s="1" t="n"/>
      <c r="BG24" s="1" t="n"/>
      <c r="BH24" s="1" t="n"/>
      <c r="BI24" s="1" t="n"/>
      <c r="BJ24" s="52" t="n"/>
      <c r="BK24" s="52" t="n"/>
      <c r="BL24" s="184" t="n">
        <v>1</v>
      </c>
      <c r="BM24" s="1" t="n">
        <v>21715</v>
      </c>
      <c r="BN24" s="1" t="n">
        <v>0</v>
      </c>
      <c r="BO24" s="1" t="n">
        <v>23560</v>
      </c>
      <c r="BP24" s="43" t="inlineStr">
        <is>
          <t>G,G</t>
        </is>
      </c>
      <c r="BQ24" s="43" t="inlineStr">
        <is>
          <t>T1#</t>
        </is>
      </c>
      <c r="BR24" s="1" t="n">
        <v>120875</v>
      </c>
      <c r="BS24" s="185" t="n">
        <v>5.566428735896846</v>
      </c>
      <c r="BT24" s="1" t="n">
        <v>37825</v>
      </c>
      <c r="BU24" s="1" t="n">
        <v>158700</v>
      </c>
      <c r="BV24" s="54" t="n">
        <v>7.308312226571494</v>
      </c>
      <c r="BW24" s="54" t="n"/>
      <c r="BX24" s="1" t="n"/>
      <c r="BY24" s="1" t="n">
        <v>158700</v>
      </c>
      <c r="BZ24" s="54" t="n">
        <v>7.308312226571494</v>
      </c>
      <c r="CA24" s="54" t="n"/>
      <c r="CB24" s="186" t="n"/>
      <c r="CC24" s="186" t="n"/>
      <c r="CD24" s="186" t="n"/>
      <c r="CE24" s="52" t="n"/>
      <c r="CF24" s="52" t="n"/>
      <c r="CG24" s="43" t="n"/>
      <c r="CH24" s="43" t="n"/>
      <c r="CI24" s="43" t="n"/>
      <c r="CJ24" s="43" t="n"/>
      <c r="CK24" s="43" t="n"/>
      <c r="CL24" s="43" t="n"/>
      <c r="CM24" s="43" t="n"/>
      <c r="CN24" s="43" t="n"/>
      <c r="CO24" s="43" t="n"/>
      <c r="CP24" s="43" t="inlineStr">
        <is>
          <t>预算及职能系统财务管理部</t>
        </is>
      </c>
      <c r="CQ24" s="43" t="inlineStr">
        <is>
          <t>3,3</t>
        </is>
      </c>
      <c r="CR24" s="43" t="n">
        <v>6</v>
      </c>
      <c r="CS24" s="43" t="inlineStr">
        <is>
          <t>T1#</t>
        </is>
      </c>
      <c r="CT24" s="187" t="inlineStr">
        <is>
          <t>N</t>
        </is>
      </c>
      <c r="CU24" s="187" t="n"/>
      <c r="CV24" s="187" t="n"/>
      <c r="CW24" s="1" t="n"/>
      <c r="CX24" s="1" t="n"/>
      <c r="CY24" s="1" t="n"/>
      <c r="CZ24" s="1" t="n"/>
      <c r="DA24" s="1" t="n"/>
      <c r="DB24" s="1" t="n"/>
      <c r="DC24" s="1" t="n"/>
    </row>
    <row r="25" ht="15" customFormat="1" customHeight="1" s="42">
      <c r="A25" s="43" t="inlineStr">
        <is>
          <t>ameliaNiu(牛佳娜)</t>
        </is>
      </c>
      <c r="B25" s="43" t="n"/>
      <c r="C25" s="43" t="n">
        <v>82693967</v>
      </c>
      <c r="D25" s="43" t="inlineStr">
        <is>
          <t>预算及职能系统财务管理部</t>
        </is>
      </c>
      <c r="E25" s="43" t="inlineStr">
        <is>
          <t>预算管理中心</t>
        </is>
      </c>
      <c r="F25" s="43" t="n"/>
      <c r="G25" s="44" t="inlineStr">
        <is>
          <t>S2职能系统－财经线/预算及职能系统财务管理部/预算管理中心</t>
        </is>
      </c>
      <c r="H25" s="179" t="n">
        <v>43762</v>
      </c>
      <c r="I25" s="43" t="inlineStr">
        <is>
          <t>社会招聘</t>
        </is>
      </c>
      <c r="J25" s="43" t="inlineStr">
        <is>
          <t>财经类－FN</t>
        </is>
      </c>
      <c r="K25" s="43" t="inlineStr">
        <is>
          <t>预算管理</t>
        </is>
      </c>
      <c r="L25" s="46" t="inlineStr">
        <is>
          <t>S6</t>
        </is>
      </c>
      <c r="M25" s="46" t="n"/>
      <c r="N25" s="43" t="inlineStr">
        <is>
          <t>T1#</t>
        </is>
      </c>
      <c r="O25" s="43" t="n"/>
      <c r="P25" s="180" t="n"/>
      <c r="Q25" s="44" t="inlineStr">
        <is>
          <t>U,G</t>
        </is>
      </c>
      <c r="R25" s="44" t="n"/>
      <c r="S25" s="43" t="n"/>
      <c r="T25" s="180" t="n"/>
      <c r="U25" s="1" t="n">
        <v>30766.2</v>
      </c>
      <c r="V25" s="108" t="n">
        <v>0.083333</v>
      </c>
      <c r="W25" s="46" t="inlineStr">
        <is>
          <t>CNY</t>
        </is>
      </c>
      <c r="X25" s="181" t="n">
        <v>1</v>
      </c>
      <c r="Y25" s="1" t="n">
        <v>30214.76</v>
      </c>
      <c r="Z25" s="1" t="n">
        <v>0</v>
      </c>
      <c r="AA25" s="1" t="n">
        <v>92298.60000000001</v>
      </c>
      <c r="AB25" s="1" t="n">
        <v>98570</v>
      </c>
      <c r="AC25" s="48" t="n">
        <v>41985</v>
      </c>
      <c r="AD25" s="1" t="n"/>
      <c r="AE25" s="48" t="n"/>
      <c r="AF25" s="1" t="n">
        <v>0</v>
      </c>
      <c r="AG25" s="1" t="n">
        <v>232853.6</v>
      </c>
      <c r="AH25" s="182" t="n">
        <v>7.706617560424111</v>
      </c>
      <c r="AI25" s="1" t="n">
        <v>232853.6</v>
      </c>
      <c r="AJ25" s="183" t="n">
        <v>7.706617560424111</v>
      </c>
      <c r="AK25" s="183" t="n">
        <v>6.317064904702206</v>
      </c>
      <c r="AL25" s="108" t="n"/>
      <c r="AM25" s="183" t="n"/>
      <c r="AN25" s="183" t="n"/>
      <c r="AO25" s="1" t="n"/>
      <c r="AP25" s="48" t="n"/>
      <c r="AQ25" s="1" t="n">
        <v>232853.6</v>
      </c>
      <c r="AR25" s="183" t="n">
        <v>7.706617560424111</v>
      </c>
      <c r="AS25" s="98" t="n">
        <v>0.9245725630335517</v>
      </c>
      <c r="AT25" s="183" t="n"/>
      <c r="AU25" s="1" t="n"/>
      <c r="AV25" s="48" t="n"/>
      <c r="AW25" s="1" t="n"/>
      <c r="AX25" s="48" t="n"/>
      <c r="AY25" s="1" t="n"/>
      <c r="AZ25" s="48" t="n"/>
      <c r="BA25" s="51" t="n"/>
      <c r="BB25" s="180" t="n"/>
      <c r="BC25" s="1" t="n"/>
      <c r="BD25" s="1" t="n"/>
      <c r="BE25" s="180" t="n"/>
      <c r="BF25" s="1" t="n"/>
      <c r="BG25" s="1" t="n"/>
      <c r="BH25" s="1" t="n"/>
      <c r="BI25" s="1" t="n"/>
      <c r="BJ25" s="52" t="n"/>
      <c r="BK25" s="52" t="n"/>
      <c r="BL25" s="184" t="n">
        <v>1</v>
      </c>
      <c r="BM25" s="1" t="n">
        <v>27535</v>
      </c>
      <c r="BN25" s="1" t="n">
        <v>0</v>
      </c>
      <c r="BO25" s="1" t="n">
        <v>29840</v>
      </c>
      <c r="BP25" s="43" t="inlineStr">
        <is>
          <t>O,G</t>
        </is>
      </c>
      <c r="BQ25" s="43" t="inlineStr">
        <is>
          <t>T1#</t>
        </is>
      </c>
      <c r="BR25" s="1" t="n">
        <v>192300</v>
      </c>
      <c r="BS25" s="185" t="n">
        <v>6.983838750680952</v>
      </c>
      <c r="BT25" s="1" t="n">
        <v>59550</v>
      </c>
      <c r="BU25" s="1" t="n">
        <v>251850</v>
      </c>
      <c r="BV25" s="54" t="n">
        <v>9.14654076629744</v>
      </c>
      <c r="BW25" s="54" t="n"/>
      <c r="BX25" s="1" t="n"/>
      <c r="BY25" s="1" t="n">
        <v>251850</v>
      </c>
      <c r="BZ25" s="54" t="n">
        <v>9.14654076629744</v>
      </c>
      <c r="CA25" s="54" t="n"/>
      <c r="CB25" s="186" t="n"/>
      <c r="CC25" s="186" t="n"/>
      <c r="CD25" s="186" t="n"/>
      <c r="CE25" s="52" t="n"/>
      <c r="CF25" s="52" t="n"/>
      <c r="CG25" s="43" t="n"/>
      <c r="CH25" s="43" t="n"/>
      <c r="CI25" s="43" t="n"/>
      <c r="CJ25" s="43" t="n"/>
      <c r="CK25" s="43" t="n"/>
      <c r="CL25" s="43" t="n"/>
      <c r="CM25" s="43" t="n"/>
      <c r="CN25" s="43" t="n"/>
      <c r="CO25" s="43" t="n"/>
      <c r="CP25" s="43" t="inlineStr">
        <is>
          <t>预算及职能系统财务管理部</t>
        </is>
      </c>
      <c r="CQ25" s="43" t="inlineStr">
        <is>
          <t>5,3</t>
        </is>
      </c>
      <c r="CR25" s="43" t="n">
        <v>6</v>
      </c>
      <c r="CS25" s="43" t="inlineStr">
        <is>
          <t>T1#</t>
        </is>
      </c>
      <c r="CT25" s="187" t="inlineStr">
        <is>
          <t>N</t>
        </is>
      </c>
      <c r="CU25" s="187" t="n"/>
      <c r="CV25" s="187" t="n"/>
      <c r="CW25" s="1" t="n"/>
      <c r="CX25" s="1" t="n"/>
      <c r="CY25" s="1" t="n"/>
      <c r="CZ25" s="1" t="n"/>
      <c r="DA25" s="1" t="n"/>
      <c r="DB25" s="1" t="n"/>
      <c r="DC25" s="1" t="n"/>
    </row>
    <row r="26" ht="15" customFormat="1" customHeight="1" s="42">
      <c r="A26" s="43" t="inlineStr">
        <is>
          <t>loganQian(钱军坚)</t>
        </is>
      </c>
      <c r="B26" s="43" t="n"/>
      <c r="C26" s="43" t="n">
        <v>65233261</v>
      </c>
      <c r="D26" s="43" t="inlineStr">
        <is>
          <t>IEG财务管理</t>
        </is>
      </c>
      <c r="E26" s="43" t="inlineStr">
        <is>
          <t>自研财务管理组</t>
        </is>
      </c>
      <c r="F26" s="43" t="n"/>
      <c r="G26" s="44" t="inlineStr">
        <is>
          <t>S2职能系统－财经线/IEG财务管理/自研财务管理组</t>
        </is>
      </c>
      <c r="H26" s="179" t="n">
        <v>38894</v>
      </c>
      <c r="I26" s="43" t="inlineStr">
        <is>
          <t>高校招聘</t>
        </is>
      </c>
      <c r="J26" s="43" t="inlineStr">
        <is>
          <t>财经类－FN</t>
        </is>
      </c>
      <c r="K26" s="43" t="inlineStr">
        <is>
          <t>财务管理</t>
        </is>
      </c>
      <c r="L26" s="46" t="inlineStr">
        <is>
          <t>S10</t>
        </is>
      </c>
      <c r="M26" s="46" t="n"/>
      <c r="N26" s="43" t="inlineStr">
        <is>
          <t>Others</t>
        </is>
      </c>
      <c r="O26" s="43" t="n"/>
      <c r="P26" s="180" t="n"/>
      <c r="Q26" s="44" t="inlineStr">
        <is>
          <t>O,U</t>
        </is>
      </c>
      <c r="R26" s="44" t="n"/>
      <c r="S26" s="43" t="n"/>
      <c r="T26" s="180" t="n"/>
      <c r="U26" s="1" t="n">
        <v>37313.75</v>
      </c>
      <c r="V26" s="108" t="n">
        <v>0.083333</v>
      </c>
      <c r="W26" s="46" t="inlineStr">
        <is>
          <t>CNY</t>
        </is>
      </c>
      <c r="X26" s="181" t="n">
        <v>1</v>
      </c>
      <c r="Y26" s="1" t="n">
        <v>35376</v>
      </c>
      <c r="Z26" s="1" t="n">
        <v>0</v>
      </c>
      <c r="AA26" s="1" t="n">
        <v>74627.5</v>
      </c>
      <c r="AB26" s="1" t="n">
        <v>20650</v>
      </c>
      <c r="AC26" s="48" t="n">
        <v>0</v>
      </c>
      <c r="AD26" s="1" t="n"/>
      <c r="AE26" s="48" t="n"/>
      <c r="AF26" s="1" t="n">
        <v>0</v>
      </c>
      <c r="AG26" s="1" t="n">
        <v>95277.5</v>
      </c>
      <c r="AH26" s="182" t="n">
        <v>2.693280755314337</v>
      </c>
      <c r="AI26" s="1" t="n">
        <v>95277.5</v>
      </c>
      <c r="AJ26" s="183" t="n">
        <v>2.693280755314337</v>
      </c>
      <c r="AK26" s="183" t="n">
        <v>2.693280755314337</v>
      </c>
      <c r="AL26" s="108" t="n"/>
      <c r="AM26" s="183" t="n"/>
      <c r="AN26" s="183" t="n"/>
      <c r="AO26" s="1" t="n"/>
      <c r="AP26" s="48" t="n"/>
      <c r="AQ26" s="1" t="n">
        <v>95277.5</v>
      </c>
      <c r="AR26" s="183" t="n">
        <v>2.693280755314337</v>
      </c>
      <c r="AS26" s="98" t="n">
        <v>0.8208977727997243</v>
      </c>
      <c r="AT26" s="183" t="n"/>
      <c r="AU26" s="1" t="n"/>
      <c r="AV26" s="48" t="n"/>
      <c r="AW26" s="1" t="n"/>
      <c r="AX26" s="48" t="n"/>
      <c r="AY26" s="1" t="n"/>
      <c r="AZ26" s="48" t="n"/>
      <c r="BA26" s="51" t="n"/>
      <c r="BB26" s="180" t="n"/>
      <c r="BC26" s="1" t="n"/>
      <c r="BD26" s="1" t="n"/>
      <c r="BE26" s="180" t="n"/>
      <c r="BF26" s="1" t="n"/>
      <c r="BG26" s="1" t="n"/>
      <c r="BH26" s="1" t="n"/>
      <c r="BI26" s="1" t="n"/>
      <c r="BJ26" s="52" t="n"/>
      <c r="BK26" s="52" t="n"/>
      <c r="BL26" s="184" t="n">
        <v>1</v>
      </c>
      <c r="BM26" s="1" t="n">
        <v>32895</v>
      </c>
      <c r="BN26" s="1" t="n">
        <v>0</v>
      </c>
      <c r="BO26" s="1" t="n">
        <v>33930</v>
      </c>
      <c r="BP26" s="43" t="inlineStr">
        <is>
          <t>G,G</t>
        </is>
      </c>
      <c r="BQ26" s="43" t="inlineStr">
        <is>
          <t>Others</t>
        </is>
      </c>
      <c r="BR26" s="1" t="n">
        <v>116065</v>
      </c>
      <c r="BS26" s="185" t="n">
        <v>3.528347773217814</v>
      </c>
      <c r="BT26" s="1" t="n">
        <v>0</v>
      </c>
      <c r="BU26" s="1" t="n">
        <v>116065</v>
      </c>
      <c r="BV26" s="54" t="n">
        <v>3.528347773217814</v>
      </c>
      <c r="BW26" s="54" t="n"/>
      <c r="BX26" s="1" t="n"/>
      <c r="BY26" s="1" t="n">
        <v>116065</v>
      </c>
      <c r="BZ26" s="54" t="n">
        <v>3.528347773217814</v>
      </c>
      <c r="CA26" s="54" t="n"/>
      <c r="CB26" s="186" t="n"/>
      <c r="CC26" s="186" t="n"/>
      <c r="CD26" s="186" t="n"/>
      <c r="CE26" s="52" t="n"/>
      <c r="CF26" s="52" t="n"/>
      <c r="CG26" s="43" t="n"/>
      <c r="CH26" s="43" t="n"/>
      <c r="CI26" s="43" t="n"/>
      <c r="CJ26" s="43" t="n"/>
      <c r="CK26" s="43" t="n"/>
      <c r="CL26" s="43" t="n"/>
      <c r="CM26" s="43" t="n"/>
      <c r="CN26" s="43" t="n"/>
      <c r="CO26" s="43" t="n"/>
      <c r="CP26" s="43" t="inlineStr">
        <is>
          <t>IEG财务管理</t>
        </is>
      </c>
      <c r="CQ26" s="43" t="inlineStr">
        <is>
          <t>5,1</t>
        </is>
      </c>
      <c r="CR26" s="43" t="n">
        <v>10</v>
      </c>
      <c r="CS26" s="43" t="inlineStr">
        <is>
          <t>Others</t>
        </is>
      </c>
      <c r="CT26" s="187" t="inlineStr">
        <is>
          <t>N</t>
        </is>
      </c>
      <c r="CU26" s="187" t="n"/>
      <c r="CV26" s="187" t="n"/>
      <c r="CW26" s="1" t="n"/>
      <c r="CX26" s="1" t="n"/>
      <c r="CY26" s="1" t="n"/>
      <c r="CZ26" s="1" t="n"/>
      <c r="DA26" s="1" t="n"/>
      <c r="DB26" s="1" t="n"/>
      <c r="DC26" s="1" t="n"/>
    </row>
    <row r="27" ht="15" customFormat="1" customHeight="1" s="42">
      <c r="A27" s="43" t="inlineStr">
        <is>
          <t>rubyLu(卢慧怀)</t>
        </is>
      </c>
      <c r="B27" s="43" t="n"/>
      <c r="C27" s="43" t="n">
        <v>93113381</v>
      </c>
      <c r="D27" s="43" t="inlineStr">
        <is>
          <t>风险管理和内部控制</t>
        </is>
      </c>
      <c r="E27" s="43" t="inlineStr">
        <is>
          <t>CSIG风控中心</t>
        </is>
      </c>
      <c r="F27" s="43" t="n"/>
      <c r="G27" s="44" t="inlineStr">
        <is>
          <t>S2职能系统－财经线/风险管理和内部控制/CSIG风控中心</t>
        </is>
      </c>
      <c r="H27" s="179" t="n">
        <v>44057</v>
      </c>
      <c r="I27" s="43" t="inlineStr">
        <is>
          <t>社会招聘</t>
        </is>
      </c>
      <c r="J27" s="43" t="inlineStr">
        <is>
          <t>财经类－FN</t>
        </is>
      </c>
      <c r="K27" s="43" t="inlineStr">
        <is>
          <t>风险管理</t>
        </is>
      </c>
      <c r="L27" s="46" t="inlineStr">
        <is>
          <t>S10</t>
        </is>
      </c>
      <c r="M27" s="46" t="n"/>
      <c r="N27" s="43" t="inlineStr">
        <is>
          <t>T2</t>
        </is>
      </c>
      <c r="O27" s="43" t="n"/>
      <c r="P27" s="180" t="n"/>
      <c r="Q27" s="44" t="inlineStr">
        <is>
          <t>O,U</t>
        </is>
      </c>
      <c r="R27" s="44" t="n"/>
      <c r="S27" s="43" t="n"/>
      <c r="T27" s="180" t="n"/>
      <c r="U27" s="1" t="n">
        <v>54564.95</v>
      </c>
      <c r="V27" s="108" t="n">
        <v>0.083333</v>
      </c>
      <c r="W27" s="46" t="inlineStr">
        <is>
          <t>CNY</t>
        </is>
      </c>
      <c r="X27" s="181" t="n">
        <v>1</v>
      </c>
      <c r="Y27" s="1" t="n">
        <v>50018.19</v>
      </c>
      <c r="Z27" s="1" t="n">
        <v>0</v>
      </c>
      <c r="AA27" s="1" t="n">
        <v>109129.9</v>
      </c>
      <c r="AB27" s="1" t="n">
        <v>60705</v>
      </c>
      <c r="AC27" s="48" t="n">
        <v>0</v>
      </c>
      <c r="AD27" s="1" t="n"/>
      <c r="AE27" s="48" t="n"/>
      <c r="AF27" s="1" t="n">
        <v>0</v>
      </c>
      <c r="AG27" s="1" t="n">
        <v>169834.9</v>
      </c>
      <c r="AH27" s="182" t="n">
        <v>3.395462730658586</v>
      </c>
      <c r="AI27" s="1" t="n">
        <v>169834.9</v>
      </c>
      <c r="AJ27" s="183" t="n">
        <v>3.395462730658586</v>
      </c>
      <c r="AK27" s="183" t="n">
        <v>3.395462730658586</v>
      </c>
      <c r="AL27" s="108" t="n"/>
      <c r="AM27" s="183" t="n"/>
      <c r="AN27" s="183" t="n"/>
      <c r="AO27" s="1" t="n"/>
      <c r="AP27" s="48" t="n"/>
      <c r="AQ27" s="1" t="n">
        <v>169834.9</v>
      </c>
      <c r="AR27" s="183" t="n">
        <v>3.395462730658586</v>
      </c>
      <c r="AS27" s="98" t="n">
        <v>1.114950927293616</v>
      </c>
      <c r="AT27" s="183" t="n"/>
      <c r="AU27" s="1" t="n"/>
      <c r="AV27" s="48" t="n"/>
      <c r="AW27" s="1" t="n"/>
      <c r="AX27" s="48" t="n"/>
      <c r="AY27" s="1" t="n"/>
      <c r="AZ27" s="48" t="n"/>
      <c r="BA27" s="51" t="n"/>
      <c r="BB27" s="180" t="n"/>
      <c r="BC27" s="1" t="n"/>
      <c r="BD27" s="1" t="n"/>
      <c r="BE27" s="180" t="n"/>
      <c r="BF27" s="1" t="n"/>
      <c r="BG27" s="1" t="n"/>
      <c r="BH27" s="1" t="n"/>
      <c r="BI27" s="1" t="n"/>
      <c r="BJ27" s="52" t="n"/>
      <c r="BK27" s="52" t="n"/>
      <c r="BL27" s="184" t="n">
        <v>1</v>
      </c>
      <c r="BM27" s="1" t="n">
        <v>47110</v>
      </c>
      <c r="BN27" s="1" t="n">
        <v>0</v>
      </c>
      <c r="BO27" s="1" t="n">
        <v>48895</v>
      </c>
      <c r="BP27" s="43" t="inlineStr">
        <is>
          <t>G,G</t>
        </is>
      </c>
      <c r="BQ27" s="43" t="inlineStr">
        <is>
          <t>T2</t>
        </is>
      </c>
      <c r="BR27" s="1" t="n">
        <v>152325</v>
      </c>
      <c r="BS27" s="185" t="n">
        <v>3.233389938441944</v>
      </c>
      <c r="BT27" s="1" t="n">
        <v>0</v>
      </c>
      <c r="BU27" s="1" t="n">
        <v>152325</v>
      </c>
      <c r="BV27" s="54" t="n">
        <v>3.233389938441944</v>
      </c>
      <c r="BW27" s="54" t="n"/>
      <c r="BX27" s="1" t="n"/>
      <c r="BY27" s="1" t="n">
        <v>152325</v>
      </c>
      <c r="BZ27" s="54" t="n">
        <v>3.233389938441944</v>
      </c>
      <c r="CA27" s="54" t="n"/>
      <c r="CB27" s="186" t="n"/>
      <c r="CC27" s="186" t="n"/>
      <c r="CD27" s="186" t="n"/>
      <c r="CE27" s="52" t="n"/>
      <c r="CF27" s="52" t="n"/>
      <c r="CG27" s="43" t="n"/>
      <c r="CH27" s="43" t="n"/>
      <c r="CI27" s="43" t="n"/>
      <c r="CJ27" s="43" t="n"/>
      <c r="CK27" s="43" t="n"/>
      <c r="CL27" s="43" t="n"/>
      <c r="CM27" s="43" t="n"/>
      <c r="CN27" s="43" t="n"/>
      <c r="CO27" s="43" t="n"/>
      <c r="CP27" s="43" t="inlineStr">
        <is>
          <t>风险管理和内部控制</t>
        </is>
      </c>
      <c r="CQ27" s="43" t="inlineStr">
        <is>
          <t>5,1</t>
        </is>
      </c>
      <c r="CR27" s="43" t="n">
        <v>10</v>
      </c>
      <c r="CS27" s="43" t="inlineStr">
        <is>
          <t>T2</t>
        </is>
      </c>
      <c r="CT27" s="187" t="inlineStr">
        <is>
          <t>N</t>
        </is>
      </c>
      <c r="CU27" s="187" t="n"/>
      <c r="CV27" s="187" t="n"/>
      <c r="CW27" s="1" t="n"/>
      <c r="CX27" s="1" t="n"/>
      <c r="CY27" s="1" t="n"/>
      <c r="CZ27" s="1" t="n"/>
      <c r="DA27" s="1" t="n"/>
      <c r="DB27" s="1" t="n"/>
      <c r="DC27" s="1" t="n"/>
    </row>
    <row r="28" ht="15" customFormat="1" customHeight="1" s="42">
      <c r="A28" s="43" t="inlineStr">
        <is>
          <t>danielLu(卢超)</t>
        </is>
      </c>
      <c r="B28" s="43" t="n"/>
      <c r="C28" s="43" t="n">
        <v>61458899</v>
      </c>
      <c r="D28" s="43" t="inlineStr">
        <is>
          <t>CSIG财务管理</t>
        </is>
      </c>
      <c r="E28" s="43" t="inlineStr">
        <is>
          <t>应收账款管理中心</t>
        </is>
      </c>
      <c r="F28" s="43" t="n"/>
      <c r="G28" s="44" t="inlineStr">
        <is>
          <t>S2职能系统－财经线/CSIG财务管理/应收账款管理中心</t>
        </is>
      </c>
      <c r="H28" s="179" t="n">
        <v>43874</v>
      </c>
      <c r="I28" s="43" t="inlineStr">
        <is>
          <t>社会招聘</t>
        </is>
      </c>
      <c r="J28" s="43" t="inlineStr">
        <is>
          <t>财经类－FN</t>
        </is>
      </c>
      <c r="K28" s="43" t="inlineStr">
        <is>
          <t>财务管理</t>
        </is>
      </c>
      <c r="L28" s="46" t="inlineStr">
        <is>
          <t>S7</t>
        </is>
      </c>
      <c r="M28" s="46" t="n"/>
      <c r="N28" s="43" t="inlineStr">
        <is>
          <t>T2</t>
        </is>
      </c>
      <c r="O28" s="43" t="n"/>
      <c r="P28" s="180" t="n"/>
      <c r="Q28" s="44" t="inlineStr">
        <is>
          <t>G,G</t>
        </is>
      </c>
      <c r="R28" s="44" t="n"/>
      <c r="S28" s="43" t="n"/>
      <c r="T28" s="180" t="n"/>
      <c r="U28" s="1" t="n">
        <v>31154</v>
      </c>
      <c r="V28" s="108" t="n">
        <v>0.083333</v>
      </c>
      <c r="W28" s="46" t="inlineStr">
        <is>
          <t>CNY</t>
        </is>
      </c>
      <c r="X28" s="181" t="n">
        <v>1</v>
      </c>
      <c r="Y28" s="1" t="n">
        <v>28417.74</v>
      </c>
      <c r="Z28" s="1" t="n">
        <v>0</v>
      </c>
      <c r="AA28" s="1" t="n">
        <v>62308</v>
      </c>
      <c r="AB28" s="1" t="n">
        <v>37925</v>
      </c>
      <c r="AC28" s="48" t="n">
        <v>0</v>
      </c>
      <c r="AD28" s="1" t="n"/>
      <c r="AE28" s="48" t="n"/>
      <c r="AF28" s="1" t="n">
        <v>0</v>
      </c>
      <c r="AG28" s="1" t="n">
        <v>100233</v>
      </c>
      <c r="AH28" s="182" t="n">
        <v>3.527127773003764</v>
      </c>
      <c r="AI28" s="1" t="n">
        <v>100233</v>
      </c>
      <c r="AJ28" s="183" t="n">
        <v>3.527127773003764</v>
      </c>
      <c r="AK28" s="183" t="n">
        <v>3.527127773003764</v>
      </c>
      <c r="AL28" s="108" t="n"/>
      <c r="AM28" s="183" t="n"/>
      <c r="AN28" s="183" t="n"/>
      <c r="AO28" s="1" t="n"/>
      <c r="AP28" s="48" t="n"/>
      <c r="AQ28" s="1" t="n">
        <v>100233</v>
      </c>
      <c r="AR28" s="183" t="n">
        <v>3.527127773003764</v>
      </c>
      <c r="AS28" s="98" t="n">
        <v>1.136428571428571</v>
      </c>
      <c r="AT28" s="183" t="n"/>
      <c r="AU28" s="1" t="n"/>
      <c r="AV28" s="48" t="n"/>
      <c r="AW28" s="1" t="n"/>
      <c r="AX28" s="48" t="n"/>
      <c r="AY28" s="1" t="n"/>
      <c r="AZ28" s="48" t="n"/>
      <c r="BA28" s="51" t="n"/>
      <c r="BB28" s="180" t="n"/>
      <c r="BC28" s="1" t="n"/>
      <c r="BD28" s="1" t="n"/>
      <c r="BE28" s="180" t="n"/>
      <c r="BF28" s="1" t="n"/>
      <c r="BG28" s="1" t="n"/>
      <c r="BH28" s="1" t="n"/>
      <c r="BI28" s="1" t="n"/>
      <c r="BJ28" s="52" t="n"/>
      <c r="BK28" s="52" t="n"/>
      <c r="BL28" s="184" t="n">
        <v>1</v>
      </c>
      <c r="BM28" s="1" t="n">
        <v>26550</v>
      </c>
      <c r="BN28" s="1" t="n">
        <v>0</v>
      </c>
      <c r="BO28" s="1" t="n">
        <v>26915</v>
      </c>
      <c r="BP28" s="43" t="inlineStr">
        <is>
          <t>G,G</t>
        </is>
      </c>
      <c r="BQ28" s="43" t="inlineStr">
        <is>
          <t>T2</t>
        </is>
      </c>
      <c r="BR28" s="1" t="n">
        <v>88200</v>
      </c>
      <c r="BS28" s="185" t="n">
        <v>3.322033898305085</v>
      </c>
      <c r="BT28" s="1" t="n">
        <v>0</v>
      </c>
      <c r="BU28" s="1" t="n">
        <v>88200</v>
      </c>
      <c r="BV28" s="54" t="n">
        <v>3.322033898305085</v>
      </c>
      <c r="BW28" s="54" t="n"/>
      <c r="BX28" s="1" t="n"/>
      <c r="BY28" s="1" t="n">
        <v>88200</v>
      </c>
      <c r="BZ28" s="54" t="n">
        <v>3.322033898305085</v>
      </c>
      <c r="CA28" s="54" t="n"/>
      <c r="CB28" s="186" t="n"/>
      <c r="CC28" s="186" t="n"/>
      <c r="CD28" s="186" t="n"/>
      <c r="CE28" s="52" t="n"/>
      <c r="CF28" s="52" t="n"/>
      <c r="CG28" s="43" t="n"/>
      <c r="CH28" s="43" t="n"/>
      <c r="CI28" s="43" t="n"/>
      <c r="CJ28" s="43" t="n"/>
      <c r="CK28" s="43" t="n"/>
      <c r="CL28" s="43" t="n"/>
      <c r="CM28" s="43" t="n"/>
      <c r="CN28" s="43" t="n"/>
      <c r="CO28" s="43" t="n"/>
      <c r="CP28" s="43" t="inlineStr">
        <is>
          <t>CSIG财务管理</t>
        </is>
      </c>
      <c r="CQ28" s="43" t="inlineStr">
        <is>
          <t>3,3</t>
        </is>
      </c>
      <c r="CR28" s="43" t="n">
        <v>7</v>
      </c>
      <c r="CS28" s="43" t="inlineStr">
        <is>
          <t>T2</t>
        </is>
      </c>
      <c r="CT28" s="187" t="inlineStr">
        <is>
          <t>N</t>
        </is>
      </c>
      <c r="CU28" s="187" t="n"/>
      <c r="CV28" s="187" t="n"/>
      <c r="CW28" s="1" t="n"/>
      <c r="CX28" s="1" t="n"/>
      <c r="CY28" s="1" t="n"/>
      <c r="CZ28" s="1" t="n"/>
      <c r="DA28" s="1" t="n"/>
      <c r="DB28" s="1" t="n"/>
      <c r="DC28" s="1" t="n"/>
    </row>
    <row r="29" ht="15" customFormat="1" customHeight="1" s="42">
      <c r="A29" s="43" t="inlineStr">
        <is>
          <t>samanthaHu(胡霞)</t>
        </is>
      </c>
      <c r="B29" s="43" t="n"/>
      <c r="C29" s="43" t="n">
        <v>96053569</v>
      </c>
      <c r="D29" s="43" t="inlineStr">
        <is>
          <t>预算及职能系统财务管理部</t>
        </is>
      </c>
      <c r="E29" s="43" t="inlineStr">
        <is>
          <t>预算及职能系统财务管理部</t>
        </is>
      </c>
      <c r="F29" s="43" t="n"/>
      <c r="G29" s="44" t="inlineStr">
        <is>
          <t>S2职能系统－财经线/预算及职能系统财务管理部</t>
        </is>
      </c>
      <c r="H29" s="179" t="n">
        <v>42709</v>
      </c>
      <c r="I29" s="43" t="inlineStr">
        <is>
          <t>社会招聘</t>
        </is>
      </c>
      <c r="J29" s="43" t="inlineStr">
        <is>
          <t>财经类－FN</t>
        </is>
      </c>
      <c r="K29" s="43" t="inlineStr">
        <is>
          <t>预算管理</t>
        </is>
      </c>
      <c r="L29" s="46" t="inlineStr">
        <is>
          <t>S6</t>
        </is>
      </c>
      <c r="M29" s="46" t="n"/>
      <c r="N29" s="43" t="inlineStr">
        <is>
          <t>T2</t>
        </is>
      </c>
      <c r="O29" s="43" t="n"/>
      <c r="P29" s="180" t="n"/>
      <c r="Q29" s="44" t="inlineStr">
        <is>
          <t>G,U</t>
        </is>
      </c>
      <c r="R29" s="44" t="n"/>
      <c r="S29" s="43" t="n"/>
      <c r="T29" s="180" t="n"/>
      <c r="U29" s="1" t="n">
        <v>29168.4</v>
      </c>
      <c r="V29" s="108" t="n">
        <v>0.083333</v>
      </c>
      <c r="W29" s="46" t="inlineStr">
        <is>
          <t>CNY</t>
        </is>
      </c>
      <c r="X29" s="181" t="n">
        <v>1</v>
      </c>
      <c r="Y29" s="1" t="n">
        <v>28001.15</v>
      </c>
      <c r="Z29" s="1" t="n">
        <v>0</v>
      </c>
      <c r="AA29" s="1" t="n">
        <v>29168.4</v>
      </c>
      <c r="AB29" s="1" t="n">
        <v>33815</v>
      </c>
      <c r="AC29" s="48" t="n">
        <v>0</v>
      </c>
      <c r="AD29" s="1" t="n"/>
      <c r="AE29" s="48" t="n"/>
      <c r="AF29" s="1" t="n">
        <v>0</v>
      </c>
      <c r="AG29" s="1" t="n">
        <v>62983.4</v>
      </c>
      <c r="AH29" s="182" t="n">
        <v>2.249314760286631</v>
      </c>
      <c r="AI29" s="1" t="n">
        <v>62983.4</v>
      </c>
      <c r="AJ29" s="183" t="n">
        <v>2.249314760286631</v>
      </c>
      <c r="AK29" s="183" t="n">
        <v>2.249314760286631</v>
      </c>
      <c r="AL29" s="108" t="n"/>
      <c r="AM29" s="183" t="n"/>
      <c r="AN29" s="183" t="n"/>
      <c r="AO29" s="1" t="n"/>
      <c r="AP29" s="48" t="n"/>
      <c r="AQ29" s="1" t="n">
        <v>62983.4</v>
      </c>
      <c r="AR29" s="183" t="n">
        <v>2.249314760286631</v>
      </c>
      <c r="AS29" s="98" t="n">
        <v>1.123900785153462</v>
      </c>
      <c r="AT29" s="183" t="n"/>
      <c r="AU29" s="1" t="n"/>
      <c r="AV29" s="48" t="n"/>
      <c r="AW29" s="1" t="n"/>
      <c r="AX29" s="48" t="n"/>
      <c r="AY29" s="1" t="n"/>
      <c r="AZ29" s="48" t="n"/>
      <c r="BA29" s="51" t="n"/>
      <c r="BB29" s="180" t="n"/>
      <c r="BC29" s="1" t="n"/>
      <c r="BD29" s="1" t="n"/>
      <c r="BE29" s="180" t="n"/>
      <c r="BF29" s="1" t="n"/>
      <c r="BG29" s="1" t="n"/>
      <c r="BH29" s="1" t="n"/>
      <c r="BI29" s="1" t="n"/>
      <c r="BJ29" s="52" t="n"/>
      <c r="BK29" s="52" t="n"/>
      <c r="BL29" s="184" t="n">
        <v>1</v>
      </c>
      <c r="BM29" s="1" t="n">
        <v>23830</v>
      </c>
      <c r="BN29" s="1" t="n">
        <v>0</v>
      </c>
      <c r="BO29" s="1" t="n">
        <v>24750</v>
      </c>
      <c r="BP29" s="43" t="inlineStr">
        <is>
          <t>G,U</t>
        </is>
      </c>
      <c r="BQ29" s="43" t="inlineStr">
        <is>
          <t>T2</t>
        </is>
      </c>
      <c r="BR29" s="1" t="n">
        <v>56040</v>
      </c>
      <c r="BS29" s="185" t="n">
        <v>2.351657574485942</v>
      </c>
      <c r="BT29" s="1" t="n">
        <v>0</v>
      </c>
      <c r="BU29" s="1" t="n">
        <v>56040</v>
      </c>
      <c r="BV29" s="54" t="n">
        <v>2.351657574485942</v>
      </c>
      <c r="BW29" s="54" t="n"/>
      <c r="BX29" s="1" t="n"/>
      <c r="BY29" s="1" t="n">
        <v>56040</v>
      </c>
      <c r="BZ29" s="54" t="n">
        <v>2.351657574485942</v>
      </c>
      <c r="CA29" s="54" t="n"/>
      <c r="CB29" s="186" t="n"/>
      <c r="CC29" s="186" t="n"/>
      <c r="CD29" s="186" t="n"/>
      <c r="CE29" s="52" t="n"/>
      <c r="CF29" s="52" t="n"/>
      <c r="CG29" s="43" t="n"/>
      <c r="CH29" s="43" t="n"/>
      <c r="CI29" s="43" t="n"/>
      <c r="CJ29" s="43" t="n"/>
      <c r="CK29" s="43" t="n"/>
      <c r="CL29" s="43" t="n"/>
      <c r="CM29" s="43" t="n"/>
      <c r="CN29" s="43" t="n"/>
      <c r="CO29" s="43" t="n"/>
      <c r="CP29" s="43" t="inlineStr">
        <is>
          <t>预算及职能系统财务管理部</t>
        </is>
      </c>
      <c r="CQ29" s="43" t="inlineStr">
        <is>
          <t>3,1</t>
        </is>
      </c>
      <c r="CR29" s="43" t="n">
        <v>6</v>
      </c>
      <c r="CS29" s="43" t="inlineStr">
        <is>
          <t>T2</t>
        </is>
      </c>
      <c r="CT29" s="187" t="inlineStr">
        <is>
          <t>N</t>
        </is>
      </c>
      <c r="CU29" s="187" t="n"/>
      <c r="CV29" s="187" t="n"/>
      <c r="CW29" s="1" t="n"/>
      <c r="CX29" s="1" t="n"/>
      <c r="CY29" s="1" t="n"/>
      <c r="CZ29" s="1" t="n"/>
      <c r="DA29" s="1" t="n"/>
      <c r="DB29" s="1" t="n"/>
      <c r="DC29" s="1" t="n"/>
    </row>
    <row r="30" ht="15" customFormat="1" customHeight="1" s="42">
      <c r="A30" s="43" t="inlineStr">
        <is>
          <t>tylerHan(韩晨)</t>
        </is>
      </c>
      <c r="B30" s="43" t="n"/>
      <c r="C30" s="43" t="n">
        <v>77875636</v>
      </c>
      <c r="D30" s="43" t="inlineStr">
        <is>
          <t>财会及报告管理部</t>
        </is>
      </c>
      <c r="E30" s="43" t="inlineStr">
        <is>
          <t>财报中心</t>
        </is>
      </c>
      <c r="F30" s="43" t="n"/>
      <c r="G30" s="44" t="inlineStr">
        <is>
          <t>S2职能系统－财经线/财会及报告管理部/财报中心</t>
        </is>
      </c>
      <c r="H30" s="179" t="n">
        <v>40349</v>
      </c>
      <c r="I30" s="43" t="inlineStr">
        <is>
          <t>社会招聘</t>
        </is>
      </c>
      <c r="J30" s="43" t="inlineStr">
        <is>
          <t>财经类－FN</t>
        </is>
      </c>
      <c r="K30" s="43" t="inlineStr">
        <is>
          <t>会计</t>
        </is>
      </c>
      <c r="L30" s="46" t="inlineStr">
        <is>
          <t>S8</t>
        </is>
      </c>
      <c r="M30" s="46" t="n"/>
      <c r="N30" s="43" t="inlineStr">
        <is>
          <t>T2</t>
        </is>
      </c>
      <c r="O30" s="43" t="n"/>
      <c r="P30" s="180" t="n"/>
      <c r="Q30" s="44" t="inlineStr">
        <is>
          <t>G,G</t>
        </is>
      </c>
      <c r="R30" s="44" t="n"/>
      <c r="S30" s="43" t="n"/>
      <c r="T30" s="180" t="n"/>
      <c r="U30" s="1" t="n">
        <v>46449.4</v>
      </c>
      <c r="V30" s="108" t="n">
        <v>0.083333</v>
      </c>
      <c r="W30" s="46" t="inlineStr">
        <is>
          <t>CNY</t>
        </is>
      </c>
      <c r="X30" s="181" t="n">
        <v>1</v>
      </c>
      <c r="Y30" s="1" t="n">
        <v>43060.89</v>
      </c>
      <c r="Z30" s="1" t="n">
        <v>0</v>
      </c>
      <c r="AA30" s="1" t="n">
        <v>92898.8</v>
      </c>
      <c r="AB30" s="1" t="n">
        <v>59985</v>
      </c>
      <c r="AC30" s="48" t="n">
        <v>0</v>
      </c>
      <c r="AD30" s="1" t="n"/>
      <c r="AE30" s="48" t="n"/>
      <c r="AF30" s="1" t="n">
        <v>0</v>
      </c>
      <c r="AG30" s="1" t="n">
        <v>152883.8</v>
      </c>
      <c r="AH30" s="182" t="n">
        <v>3.550409664082651</v>
      </c>
      <c r="AI30" s="1" t="n">
        <v>152883.8</v>
      </c>
      <c r="AJ30" s="183" t="n">
        <v>3.550409664082651</v>
      </c>
      <c r="AK30" s="183" t="n">
        <v>3.550409664082651</v>
      </c>
      <c r="AL30" s="108" t="n"/>
      <c r="AM30" s="183" t="n"/>
      <c r="AN30" s="183" t="n"/>
      <c r="AO30" s="1" t="n"/>
      <c r="AP30" s="48" t="n"/>
      <c r="AQ30" s="1" t="n">
        <v>152883.8</v>
      </c>
      <c r="AR30" s="183" t="n">
        <v>3.550409664082651</v>
      </c>
      <c r="AS30" s="98" t="n">
        <v>1.622109283819628</v>
      </c>
      <c r="AT30" s="183" t="n"/>
      <c r="AU30" s="1" t="n"/>
      <c r="AV30" s="48" t="n"/>
      <c r="AW30" s="1" t="n"/>
      <c r="AX30" s="48" t="n"/>
      <c r="AY30" s="1" t="n"/>
      <c r="AZ30" s="48" t="n"/>
      <c r="BA30" s="51" t="n"/>
      <c r="BB30" s="180" t="n"/>
      <c r="BC30" s="1" t="n"/>
      <c r="BD30" s="1" t="n"/>
      <c r="BE30" s="180" t="n"/>
      <c r="BF30" s="1" t="n"/>
      <c r="BG30" s="1" t="n"/>
      <c r="BH30" s="1" t="n"/>
      <c r="BI30" s="1" t="n"/>
      <c r="BJ30" s="52" t="n"/>
      <c r="BK30" s="52" t="n"/>
      <c r="BL30" s="184" t="n">
        <v>1</v>
      </c>
      <c r="BM30" s="1" t="n">
        <v>39580</v>
      </c>
      <c r="BN30" s="1" t="n">
        <v>0</v>
      </c>
      <c r="BO30" s="1" t="n">
        <v>41045</v>
      </c>
      <c r="BP30" s="43" t="inlineStr">
        <is>
          <t>U,G</t>
        </is>
      </c>
      <c r="BQ30" s="43" t="inlineStr">
        <is>
          <t>T2</t>
        </is>
      </c>
      <c r="BR30" s="1" t="n">
        <v>94250</v>
      </c>
      <c r="BS30" s="185" t="n">
        <v>2.381253158160687</v>
      </c>
      <c r="BT30" s="1" t="n">
        <v>0</v>
      </c>
      <c r="BU30" s="1" t="n">
        <v>94250</v>
      </c>
      <c r="BV30" s="54" t="n">
        <v>2.381253158160687</v>
      </c>
      <c r="BW30" s="54" t="n"/>
      <c r="BX30" s="1" t="n"/>
      <c r="BY30" s="1" t="n">
        <v>94250</v>
      </c>
      <c r="BZ30" s="54" t="n">
        <v>2.381253158160687</v>
      </c>
      <c r="CA30" s="54" t="n"/>
      <c r="CB30" s="186" t="n"/>
      <c r="CC30" s="186" t="n"/>
      <c r="CD30" s="186" t="n"/>
      <c r="CE30" s="52" t="n"/>
      <c r="CF30" s="52" t="n"/>
      <c r="CG30" s="43" t="n"/>
      <c r="CH30" s="43" t="n"/>
      <c r="CI30" s="43" t="n"/>
      <c r="CJ30" s="43" t="n"/>
      <c r="CK30" s="43" t="n"/>
      <c r="CL30" s="43" t="n"/>
      <c r="CM30" s="43" t="n"/>
      <c r="CN30" s="43" t="n"/>
      <c r="CO30" s="43" t="n"/>
      <c r="CP30" s="43" t="inlineStr">
        <is>
          <t>财会及报告管理部</t>
        </is>
      </c>
      <c r="CQ30" s="43" t="inlineStr">
        <is>
          <t>3,3</t>
        </is>
      </c>
      <c r="CR30" s="43" t="n">
        <v>8</v>
      </c>
      <c r="CS30" s="43" t="inlineStr">
        <is>
          <t>T2</t>
        </is>
      </c>
      <c r="CT30" s="187" t="inlineStr">
        <is>
          <t>N</t>
        </is>
      </c>
      <c r="CU30" s="187" t="n"/>
      <c r="CV30" s="187" t="n"/>
      <c r="CW30" s="1" t="n"/>
      <c r="CX30" s="1" t="n"/>
      <c r="CY30" s="1" t="n"/>
      <c r="CZ30" s="1" t="n"/>
      <c r="DA30" s="1" t="n"/>
      <c r="DB30" s="1" t="n"/>
      <c r="DC30" s="1" t="n"/>
    </row>
    <row r="31" ht="15" customFormat="1" customHeight="1" s="42">
      <c r="A31" s="43" t="inlineStr">
        <is>
          <t>eugeneCheng(程彤)</t>
        </is>
      </c>
      <c r="B31" s="43" t="n"/>
      <c r="C31" s="43" t="n">
        <v>43039997</v>
      </c>
      <c r="D31" s="43" t="inlineStr">
        <is>
          <t>S2公共编制</t>
        </is>
      </c>
      <c r="E31" s="43" t="inlineStr">
        <is>
          <t>S2公共编制</t>
        </is>
      </c>
      <c r="F31" s="43" t="n"/>
      <c r="G31" s="44" t="inlineStr">
        <is>
          <t>S2职能系统－财经线/S2公共编制</t>
        </is>
      </c>
      <c r="H31" s="179" t="n">
        <v>44744</v>
      </c>
      <c r="I31" s="43" t="inlineStr">
        <is>
          <t>社会招聘</t>
        </is>
      </c>
      <c r="J31" s="43" t="inlineStr">
        <is>
          <t>财经类－FN</t>
        </is>
      </c>
      <c r="K31" s="43" t="inlineStr">
        <is>
          <t>财务管理</t>
        </is>
      </c>
      <c r="L31" s="46" t="inlineStr">
        <is>
          <t>S5</t>
        </is>
      </c>
      <c r="M31" s="46" t="n"/>
      <c r="N31" s="43" t="inlineStr">
        <is>
          <t>T2</t>
        </is>
      </c>
      <c r="O31" s="43" t="n"/>
      <c r="P31" s="180" t="n"/>
      <c r="Q31" s="44" t="inlineStr">
        <is>
          <t>O,G</t>
        </is>
      </c>
      <c r="R31" s="44" t="n"/>
      <c r="S31" s="43" t="n"/>
      <c r="T31" s="180" t="n"/>
      <c r="U31" s="1" t="n">
        <v>24176.85</v>
      </c>
      <c r="V31" s="108" t="n">
        <v>0.083333</v>
      </c>
      <c r="W31" s="46" t="inlineStr">
        <is>
          <t>CNY</t>
        </is>
      </c>
      <c r="X31" s="181" t="n">
        <v>1</v>
      </c>
      <c r="Y31" s="1" t="n">
        <v>23358.16</v>
      </c>
      <c r="Z31" s="1" t="n">
        <v>0</v>
      </c>
      <c r="AA31" s="1" t="n">
        <v>72530.55</v>
      </c>
      <c r="AB31" s="1" t="n">
        <v>26840</v>
      </c>
      <c r="AC31" s="48" t="n">
        <v>0</v>
      </c>
      <c r="AD31" s="1" t="n"/>
      <c r="AE31" s="48" t="n"/>
      <c r="AF31" s="1" t="n">
        <v>0</v>
      </c>
      <c r="AG31" s="1" t="n">
        <v>99370.55</v>
      </c>
      <c r="AH31" s="182" t="n">
        <v>4.25421137623854</v>
      </c>
      <c r="AI31" s="1" t="n">
        <v>99370.55</v>
      </c>
      <c r="AJ31" s="183" t="n">
        <v>4.25421137623854</v>
      </c>
      <c r="AK31" s="183" t="n">
        <v>4.25421137623854</v>
      </c>
      <c r="AL31" s="108" t="n"/>
      <c r="AM31" s="183" t="n"/>
      <c r="AN31" s="183" t="n"/>
      <c r="AO31" s="1" t="n"/>
      <c r="AP31" s="48" t="n"/>
      <c r="AQ31" s="1" t="n">
        <v>99370.55</v>
      </c>
      <c r="AR31" s="183" t="n">
        <v>4.25421137623854</v>
      </c>
      <c r="AS31" s="98" t="n">
        <v>1.368174996557896</v>
      </c>
      <c r="AT31" s="183" t="n"/>
      <c r="AU31" s="1" t="n"/>
      <c r="AV31" s="48" t="n"/>
      <c r="AW31" s="1" t="n"/>
      <c r="AX31" s="48" t="n"/>
      <c r="AY31" s="1" t="n"/>
      <c r="AZ31" s="48" t="n"/>
      <c r="BA31" s="51" t="n"/>
      <c r="BB31" s="180" t="n"/>
      <c r="BC31" s="1" t="n"/>
      <c r="BD31" s="1" t="n"/>
      <c r="BE31" s="180" t="n"/>
      <c r="BF31" s="1" t="n"/>
      <c r="BG31" s="1" t="n"/>
      <c r="BH31" s="1" t="n"/>
      <c r="BI31" s="1" t="n"/>
      <c r="BJ31" s="52" t="n"/>
      <c r="BK31" s="52" t="n"/>
      <c r="BL31" s="184" t="n">
        <v>1</v>
      </c>
      <c r="BM31" s="1" t="n">
        <v>20740</v>
      </c>
      <c r="BN31" s="1" t="n">
        <v>0</v>
      </c>
      <c r="BO31" s="1" t="n">
        <v>21095</v>
      </c>
      <c r="BP31" s="43" t="inlineStr">
        <is>
          <t>G,G</t>
        </is>
      </c>
      <c r="BQ31" s="43" t="inlineStr">
        <is>
          <t>T2</t>
        </is>
      </c>
      <c r="BR31" s="1" t="n">
        <v>72630</v>
      </c>
      <c r="BS31" s="185" t="n">
        <v>3.501928640308583</v>
      </c>
      <c r="BT31" s="1" t="n">
        <v>0</v>
      </c>
      <c r="BU31" s="1" t="n">
        <v>72630</v>
      </c>
      <c r="BV31" s="54" t="n">
        <v>3.501928640308583</v>
      </c>
      <c r="BW31" s="54" t="n"/>
      <c r="BX31" s="1" t="n"/>
      <c r="BY31" s="1" t="n">
        <v>72630</v>
      </c>
      <c r="BZ31" s="54" t="n">
        <v>3.501928640308583</v>
      </c>
      <c r="CA31" s="54" t="n"/>
      <c r="CB31" s="186" t="n"/>
      <c r="CC31" s="186" t="n"/>
      <c r="CD31" s="186" t="n"/>
      <c r="CE31" s="52" t="n"/>
      <c r="CF31" s="52" t="n"/>
      <c r="CG31" s="43" t="n"/>
      <c r="CH31" s="43" t="n"/>
      <c r="CI31" s="43" t="n"/>
      <c r="CJ31" s="43" t="n"/>
      <c r="CK31" s="43" t="n"/>
      <c r="CL31" s="43" t="n"/>
      <c r="CM31" s="43" t="n"/>
      <c r="CN31" s="43" t="n"/>
      <c r="CO31" s="43" t="n"/>
      <c r="CP31" s="43" t="inlineStr">
        <is>
          <t>S2公共编制</t>
        </is>
      </c>
      <c r="CQ31" s="43" t="inlineStr">
        <is>
          <t>5,3</t>
        </is>
      </c>
      <c r="CR31" s="43" t="n">
        <v>5</v>
      </c>
      <c r="CS31" s="43" t="inlineStr">
        <is>
          <t>T2</t>
        </is>
      </c>
      <c r="CT31" s="187" t="inlineStr">
        <is>
          <t>N</t>
        </is>
      </c>
      <c r="CU31" s="187" t="n"/>
      <c r="CV31" s="187" t="n"/>
      <c r="CW31" s="1" t="n"/>
      <c r="CX31" s="1" t="n"/>
      <c r="CY31" s="1" t="n"/>
      <c r="CZ31" s="1" t="n"/>
      <c r="DA31" s="1" t="n"/>
      <c r="DB31" s="1" t="n"/>
      <c r="DC31" s="1" t="n"/>
    </row>
    <row r="32" ht="15" customFormat="1" customHeight="1" s="42">
      <c r="A32" s="43" t="inlineStr">
        <is>
          <t>bradleyWang(王锋)</t>
        </is>
      </c>
      <c r="B32" s="43" t="n"/>
      <c r="C32" s="43" t="n">
        <v>6140046</v>
      </c>
      <c r="D32" s="43" t="inlineStr">
        <is>
          <t>财经投资并购及管理部</t>
        </is>
      </c>
      <c r="E32" s="43" t="inlineStr">
        <is>
          <t>行业及项目管理中心</t>
        </is>
      </c>
      <c r="F32" s="43" t="n"/>
      <c r="G32" s="44" t="inlineStr">
        <is>
          <t>S2职能系统－财经线/财经投资并购及管理部/行业及项目管理中心</t>
        </is>
      </c>
      <c r="H32" s="179" t="n">
        <v>38508</v>
      </c>
      <c r="I32" s="43" t="inlineStr">
        <is>
          <t>社会招聘</t>
        </is>
      </c>
      <c r="J32" s="43" t="inlineStr">
        <is>
          <t>财经类－FN</t>
        </is>
      </c>
      <c r="K32" s="43" t="inlineStr">
        <is>
          <t>投资并购</t>
        </is>
      </c>
      <c r="L32" s="46" t="inlineStr">
        <is>
          <t>S9</t>
        </is>
      </c>
      <c r="M32" s="46" t="n"/>
      <c r="N32" s="43" t="inlineStr">
        <is>
          <t>T2</t>
        </is>
      </c>
      <c r="O32" s="43" t="n"/>
      <c r="P32" s="180" t="n"/>
      <c r="Q32" s="44" t="inlineStr">
        <is>
          <t>O,G</t>
        </is>
      </c>
      <c r="R32" s="44" t="n"/>
      <c r="S32" s="43" t="n"/>
      <c r="T32" s="180" t="n"/>
      <c r="U32" s="1" t="n">
        <v>51669.4</v>
      </c>
      <c r="V32" s="108" t="n">
        <v>0.083333</v>
      </c>
      <c r="W32" s="46" t="inlineStr">
        <is>
          <t>CNY</t>
        </is>
      </c>
      <c r="X32" s="181" t="n">
        <v>1</v>
      </c>
      <c r="Y32" s="1" t="n">
        <v>47228.38</v>
      </c>
      <c r="Z32" s="1" t="n">
        <v>0</v>
      </c>
      <c r="AA32" s="1" t="n">
        <v>155008.2</v>
      </c>
      <c r="AB32" s="1" t="n">
        <v>70825</v>
      </c>
      <c r="AC32" s="48" t="n">
        <v>0</v>
      </c>
      <c r="AD32" s="1" t="n"/>
      <c r="AE32" s="48" t="n"/>
      <c r="AF32" s="1" t="n">
        <v>0</v>
      </c>
      <c r="AG32" s="1" t="n">
        <v>225833.2</v>
      </c>
      <c r="AH32" s="182" t="n">
        <v>4.781726580500962</v>
      </c>
      <c r="AI32" s="1" t="n">
        <v>225833.2</v>
      </c>
      <c r="AJ32" s="183" t="n">
        <v>4.781726580500962</v>
      </c>
      <c r="AK32" s="183" t="n">
        <v>4.781726580500962</v>
      </c>
      <c r="AL32" s="108" t="n"/>
      <c r="AM32" s="183" t="n"/>
      <c r="AN32" s="183" t="n"/>
      <c r="AO32" s="1" t="n"/>
      <c r="AP32" s="48" t="n"/>
      <c r="AQ32" s="1" t="n">
        <v>225833.2</v>
      </c>
      <c r="AR32" s="183" t="n">
        <v>4.781726580500962</v>
      </c>
      <c r="AS32" s="98" t="n">
        <v>1.157347409419361</v>
      </c>
      <c r="AT32" s="183" t="n"/>
      <c r="AU32" s="1" t="n"/>
      <c r="AV32" s="48" t="n"/>
      <c r="AW32" s="1" t="n"/>
      <c r="AX32" s="48" t="n"/>
      <c r="AY32" s="1" t="n"/>
      <c r="AZ32" s="48" t="n"/>
      <c r="BA32" s="51" t="n"/>
      <c r="BB32" s="180" t="n"/>
      <c r="BC32" s="1" t="n"/>
      <c r="BD32" s="1" t="n"/>
      <c r="BE32" s="180" t="n"/>
      <c r="BF32" s="1" t="n"/>
      <c r="BG32" s="1" t="n"/>
      <c r="BH32" s="1" t="n"/>
      <c r="BI32" s="1" t="n"/>
      <c r="BJ32" s="52" t="n"/>
      <c r="BK32" s="52" t="n"/>
      <c r="BL32" s="184" t="n">
        <v>1</v>
      </c>
      <c r="BM32" s="1" t="n">
        <v>44560</v>
      </c>
      <c r="BN32" s="1" t="n">
        <v>0</v>
      </c>
      <c r="BO32" s="1" t="n">
        <v>46020</v>
      </c>
      <c r="BP32" s="43" t="inlineStr">
        <is>
          <t>G,O</t>
        </is>
      </c>
      <c r="BQ32" s="43" t="inlineStr">
        <is>
          <t>T2</t>
        </is>
      </c>
      <c r="BR32" s="1" t="n">
        <v>195130</v>
      </c>
      <c r="BS32" s="185" t="n">
        <v>4.379039497307001</v>
      </c>
      <c r="BT32" s="1" t="n">
        <v>0</v>
      </c>
      <c r="BU32" s="1" t="n">
        <v>195130</v>
      </c>
      <c r="BV32" s="54" t="n">
        <v>4.379039497307001</v>
      </c>
      <c r="BW32" s="54" t="n"/>
      <c r="BX32" s="1" t="n"/>
      <c r="BY32" s="1" t="n">
        <v>195130</v>
      </c>
      <c r="BZ32" s="54" t="n">
        <v>4.379039497307001</v>
      </c>
      <c r="CA32" s="54" t="n"/>
      <c r="CB32" s="186" t="n"/>
      <c r="CC32" s="186" t="n"/>
      <c r="CD32" s="186" t="n"/>
      <c r="CE32" s="52" t="n"/>
      <c r="CF32" s="52" t="n"/>
      <c r="CG32" s="43" t="n"/>
      <c r="CH32" s="43" t="n"/>
      <c r="CI32" s="43" t="n"/>
      <c r="CJ32" s="43" t="n"/>
      <c r="CK32" s="43" t="n"/>
      <c r="CL32" s="43" t="n"/>
      <c r="CM32" s="43" t="n"/>
      <c r="CN32" s="43" t="n"/>
      <c r="CO32" s="43" t="n"/>
      <c r="CP32" s="43" t="inlineStr">
        <is>
          <t>财经投资并购及管理部</t>
        </is>
      </c>
      <c r="CQ32" s="43" t="inlineStr">
        <is>
          <t>5,3</t>
        </is>
      </c>
      <c r="CR32" s="43" t="n">
        <v>9</v>
      </c>
      <c r="CS32" s="43" t="inlineStr">
        <is>
          <t>T2</t>
        </is>
      </c>
      <c r="CT32" s="187" t="inlineStr">
        <is>
          <t>N</t>
        </is>
      </c>
      <c r="CU32" s="187" t="n"/>
      <c r="CV32" s="187" t="n"/>
      <c r="CW32" s="1" t="n"/>
      <c r="CX32" s="1" t="n"/>
      <c r="CY32" s="1" t="n"/>
      <c r="CZ32" s="1" t="n"/>
      <c r="DA32" s="1" t="n"/>
      <c r="DB32" s="1" t="n"/>
      <c r="DC32" s="1" t="n"/>
    </row>
    <row r="33" ht="15" customFormat="1" customHeight="1" s="42">
      <c r="A33" s="43" t="inlineStr">
        <is>
          <t>raymondRen(任建)</t>
        </is>
      </c>
      <c r="B33" s="43" t="n"/>
      <c r="C33" s="43" t="n">
        <v>63817610</v>
      </c>
      <c r="D33" s="43" t="inlineStr">
        <is>
          <t>审计监察</t>
        </is>
      </c>
      <c r="E33" s="43" t="inlineStr">
        <is>
          <t>常规审计组</t>
        </is>
      </c>
      <c r="F33" s="43" t="n"/>
      <c r="G33" s="44" t="inlineStr">
        <is>
          <t>S2职能系统－财经线/审计监察/常规审计组</t>
        </is>
      </c>
      <c r="H33" s="179" t="n">
        <v>44823</v>
      </c>
      <c r="I33" s="43" t="inlineStr">
        <is>
          <t>高校招聘</t>
        </is>
      </c>
      <c r="J33" s="43" t="inlineStr">
        <is>
          <t>财经类－FN</t>
        </is>
      </c>
      <c r="K33" s="43" t="inlineStr">
        <is>
          <t>风险管理</t>
        </is>
      </c>
      <c r="L33" s="46" t="inlineStr">
        <is>
          <t>S8</t>
        </is>
      </c>
      <c r="M33" s="46" t="n"/>
      <c r="N33" s="43" t="inlineStr">
        <is>
          <t>T2</t>
        </is>
      </c>
      <c r="O33" s="43" t="n"/>
      <c r="P33" s="180" t="n"/>
      <c r="Q33" s="44" t="inlineStr">
        <is>
          <t>O,G</t>
        </is>
      </c>
      <c r="R33" s="44" t="n"/>
      <c r="S33" s="43" t="n"/>
      <c r="T33" s="180" t="n"/>
      <c r="U33" s="1" t="n">
        <v>45684.9</v>
      </c>
      <c r="V33" s="108" t="n">
        <v>0.083333</v>
      </c>
      <c r="W33" s="46" t="inlineStr">
        <is>
          <t>CNY</t>
        </is>
      </c>
      <c r="X33" s="181" t="n">
        <v>1</v>
      </c>
      <c r="Y33" s="1" t="n">
        <v>44164.01</v>
      </c>
      <c r="Z33" s="1" t="n">
        <v>0</v>
      </c>
      <c r="AA33" s="1" t="n">
        <v>137054.7</v>
      </c>
      <c r="AB33" s="1" t="n">
        <v>50850</v>
      </c>
      <c r="AC33" s="48" t="n">
        <v>0</v>
      </c>
      <c r="AD33" s="1" t="n"/>
      <c r="AE33" s="48" t="n"/>
      <c r="AF33" s="1" t="n">
        <v>0</v>
      </c>
      <c r="AG33" s="1" t="n">
        <v>187904.7</v>
      </c>
      <c r="AH33" s="182" t="n">
        <v>4.254701962072738</v>
      </c>
      <c r="AI33" s="1" t="n">
        <v>187904.7</v>
      </c>
      <c r="AJ33" s="183" t="n">
        <v>4.254701962072738</v>
      </c>
      <c r="AK33" s="183" t="n">
        <v>4.254701962072738</v>
      </c>
      <c r="AL33" s="108" t="n"/>
      <c r="AM33" s="183" t="n"/>
      <c r="AN33" s="183" t="n"/>
      <c r="AO33" s="1" t="n"/>
      <c r="AP33" s="48" t="n"/>
      <c r="AQ33" s="1" t="n">
        <v>187904.7</v>
      </c>
      <c r="AR33" s="183" t="n">
        <v>4.254701962072738</v>
      </c>
      <c r="AS33" s="98" t="n">
        <v>2.112713064987632</v>
      </c>
      <c r="AT33" s="183" t="n"/>
      <c r="AU33" s="1" t="n"/>
      <c r="AV33" s="48" t="n"/>
      <c r="AW33" s="1" t="n"/>
      <c r="AX33" s="48" t="n"/>
      <c r="AY33" s="1" t="n"/>
      <c r="AZ33" s="48" t="n"/>
      <c r="BA33" s="51" t="n"/>
      <c r="BB33" s="180" t="n"/>
      <c r="BC33" s="1" t="n"/>
      <c r="BD33" s="1" t="n"/>
      <c r="BE33" s="180" t="n"/>
      <c r="BF33" s="1" t="n"/>
      <c r="BG33" s="1" t="n"/>
      <c r="BH33" s="1" t="n"/>
      <c r="BI33" s="1" t="n"/>
      <c r="BJ33" s="52" t="n"/>
      <c r="BK33" s="52" t="n"/>
      <c r="BL33" s="184" t="n">
        <v>1</v>
      </c>
      <c r="BM33" s="1" t="n">
        <v>36860</v>
      </c>
      <c r="BN33" s="1" t="n">
        <v>0</v>
      </c>
      <c r="BO33" s="1" t="n">
        <v>37780</v>
      </c>
      <c r="BP33" s="43" t="inlineStr">
        <is>
          <t>U,G</t>
        </is>
      </c>
      <c r="BQ33" s="43" t="inlineStr">
        <is>
          <t>T2</t>
        </is>
      </c>
      <c r="BR33" s="1" t="n">
        <v>88940</v>
      </c>
      <c r="BS33" s="185" t="n">
        <v>2.412913727618014</v>
      </c>
      <c r="BT33" s="1" t="n">
        <v>0</v>
      </c>
      <c r="BU33" s="1" t="n">
        <v>88940</v>
      </c>
      <c r="BV33" s="54" t="n">
        <v>2.412913727618014</v>
      </c>
      <c r="BW33" s="54" t="n"/>
      <c r="BX33" s="1" t="n"/>
      <c r="BY33" s="1" t="n">
        <v>88940</v>
      </c>
      <c r="BZ33" s="54" t="n">
        <v>2.412913727618014</v>
      </c>
      <c r="CA33" s="54" t="n"/>
      <c r="CB33" s="186" t="n"/>
      <c r="CC33" s="186" t="n"/>
      <c r="CD33" s="186" t="n"/>
      <c r="CE33" s="52" t="n"/>
      <c r="CF33" s="52" t="n"/>
      <c r="CG33" s="43" t="n"/>
      <c r="CH33" s="43" t="n"/>
      <c r="CI33" s="43" t="n"/>
      <c r="CJ33" s="43" t="n"/>
      <c r="CK33" s="43" t="n"/>
      <c r="CL33" s="43" t="n"/>
      <c r="CM33" s="43" t="n"/>
      <c r="CN33" s="43" t="n"/>
      <c r="CO33" s="43" t="n"/>
      <c r="CP33" s="43" t="inlineStr">
        <is>
          <t>审计监察</t>
        </is>
      </c>
      <c r="CQ33" s="43" t="inlineStr">
        <is>
          <t>5,3</t>
        </is>
      </c>
      <c r="CR33" s="43" t="n">
        <v>8</v>
      </c>
      <c r="CS33" s="43" t="inlineStr">
        <is>
          <t>T2</t>
        </is>
      </c>
      <c r="CT33" s="187" t="inlineStr">
        <is>
          <t>N</t>
        </is>
      </c>
      <c r="CU33" s="187" t="n"/>
      <c r="CV33" s="187" t="n"/>
      <c r="CW33" s="1" t="n"/>
      <c r="CX33" s="1" t="n"/>
      <c r="CY33" s="1" t="n"/>
      <c r="CZ33" s="1" t="n"/>
      <c r="DA33" s="1" t="n"/>
      <c r="DB33" s="1" t="n"/>
      <c r="DC33" s="1" t="n"/>
    </row>
    <row r="34" ht="15" customFormat="1" customHeight="1" s="42">
      <c r="A34" s="43" t="inlineStr">
        <is>
          <t>kathrynLu(卢柔晴)</t>
        </is>
      </c>
      <c r="B34" s="43" t="n"/>
      <c r="C34" s="43" t="n">
        <v>50156370</v>
      </c>
      <c r="D34" s="43" t="inlineStr">
        <is>
          <t>PCG财务管理</t>
        </is>
      </c>
      <c r="E34" s="43" t="inlineStr">
        <is>
          <t>新闻财务管理组</t>
        </is>
      </c>
      <c r="F34" s="43" t="n"/>
      <c r="G34" s="44" t="inlineStr">
        <is>
          <t>S2职能系统－财经线/PCG财务管理/新闻财务管理组</t>
        </is>
      </c>
      <c r="H34" s="179" t="n">
        <v>40062</v>
      </c>
      <c r="I34" s="43" t="inlineStr">
        <is>
          <t>高校招聘</t>
        </is>
      </c>
      <c r="J34" s="43" t="inlineStr">
        <is>
          <t>财经类－FN</t>
        </is>
      </c>
      <c r="K34" s="43" t="inlineStr">
        <is>
          <t>财务管理</t>
        </is>
      </c>
      <c r="L34" s="46" t="inlineStr">
        <is>
          <t>S10</t>
        </is>
      </c>
      <c r="M34" s="46" t="n"/>
      <c r="N34" s="43" t="inlineStr">
        <is>
          <t>Others</t>
        </is>
      </c>
      <c r="O34" s="43" t="n"/>
      <c r="P34" s="180" t="n"/>
      <c r="Q34" s="44" t="inlineStr">
        <is>
          <t>G,O</t>
        </is>
      </c>
      <c r="R34" s="44" t="n"/>
      <c r="S34" s="43" t="n"/>
      <c r="T34" s="180" t="n"/>
      <c r="U34" s="1" t="n">
        <v>45882.35</v>
      </c>
      <c r="V34" s="108" t="n">
        <v>0.083333</v>
      </c>
      <c r="W34" s="46" t="inlineStr">
        <is>
          <t>CNY</t>
        </is>
      </c>
      <c r="X34" s="181" t="n">
        <v>1</v>
      </c>
      <c r="Y34" s="1" t="n">
        <v>42313.88</v>
      </c>
      <c r="Z34" s="1" t="n">
        <v>0</v>
      </c>
      <c r="AA34" s="1" t="n">
        <v>137647.05</v>
      </c>
      <c r="AB34" s="1" t="n">
        <v>36550</v>
      </c>
      <c r="AC34" s="48" t="n">
        <v>0</v>
      </c>
      <c r="AD34" s="1" t="n"/>
      <c r="AE34" s="48" t="n"/>
      <c r="AF34" s="1" t="n">
        <v>0</v>
      </c>
      <c r="AG34" s="1" t="n">
        <v>174197.05</v>
      </c>
      <c r="AH34" s="182" t="n">
        <v>4.11678271999637</v>
      </c>
      <c r="AI34" s="1" t="n">
        <v>174197.05</v>
      </c>
      <c r="AJ34" s="183" t="n">
        <v>4.11678271999637</v>
      </c>
      <c r="AK34" s="183" t="n">
        <v>4.11678271999637</v>
      </c>
      <c r="AL34" s="108" t="n"/>
      <c r="AM34" s="183" t="n"/>
      <c r="AN34" s="183" t="n"/>
      <c r="AO34" s="1" t="n"/>
      <c r="AP34" s="48" t="n"/>
      <c r="AQ34" s="1" t="n">
        <v>174197.05</v>
      </c>
      <c r="AR34" s="183" t="n">
        <v>4.11678271999637</v>
      </c>
      <c r="AS34" s="98" t="n">
        <v>0.9436971125196381</v>
      </c>
      <c r="AT34" s="183" t="n"/>
      <c r="AU34" s="1" t="n"/>
      <c r="AV34" s="48" t="n"/>
      <c r="AW34" s="1" t="n"/>
      <c r="AX34" s="48" t="n"/>
      <c r="AY34" s="1" t="n"/>
      <c r="AZ34" s="48" t="n"/>
      <c r="BA34" s="51" t="n"/>
      <c r="BB34" s="180" t="n"/>
      <c r="BC34" s="1" t="n"/>
      <c r="BD34" s="1" t="n"/>
      <c r="BE34" s="180" t="n"/>
      <c r="BF34" s="1" t="n"/>
      <c r="BG34" s="1" t="n"/>
      <c r="BH34" s="1" t="n"/>
      <c r="BI34" s="1" t="n"/>
      <c r="BJ34" s="52" t="n"/>
      <c r="BK34" s="52" t="n"/>
      <c r="BL34" s="184" t="n">
        <v>1</v>
      </c>
      <c r="BM34" s="1" t="n">
        <v>40370</v>
      </c>
      <c r="BN34" s="1" t="n">
        <v>0</v>
      </c>
      <c r="BO34" s="1" t="n">
        <v>41780</v>
      </c>
      <c r="BP34" s="43" t="inlineStr">
        <is>
          <t>O,G</t>
        </is>
      </c>
      <c r="BQ34" s="43" t="inlineStr">
        <is>
          <t>Others</t>
        </is>
      </c>
      <c r="BR34" s="1" t="n">
        <v>184590</v>
      </c>
      <c r="BS34" s="185" t="n">
        <v>4.57245479316324</v>
      </c>
      <c r="BT34" s="1" t="n">
        <v>0</v>
      </c>
      <c r="BU34" s="1" t="n">
        <v>184590</v>
      </c>
      <c r="BV34" s="54" t="n">
        <v>4.57245479316324</v>
      </c>
      <c r="BW34" s="54" t="n"/>
      <c r="BX34" s="1" t="n"/>
      <c r="BY34" s="1" t="n">
        <v>184590</v>
      </c>
      <c r="BZ34" s="54" t="n">
        <v>4.57245479316324</v>
      </c>
      <c r="CA34" s="54" t="n"/>
      <c r="CB34" s="186" t="n"/>
      <c r="CC34" s="186" t="n"/>
      <c r="CD34" s="186" t="n"/>
      <c r="CE34" s="52" t="n"/>
      <c r="CF34" s="52" t="n"/>
      <c r="CG34" s="43" t="n"/>
      <c r="CH34" s="43" t="n"/>
      <c r="CI34" s="43" t="n"/>
      <c r="CJ34" s="43" t="n"/>
      <c r="CK34" s="43" t="n"/>
      <c r="CL34" s="43" t="n"/>
      <c r="CM34" s="43" t="n"/>
      <c r="CN34" s="43" t="n"/>
      <c r="CO34" s="43" t="n"/>
      <c r="CP34" s="43" t="inlineStr">
        <is>
          <t>PCG财务管理</t>
        </is>
      </c>
      <c r="CQ34" s="43" t="inlineStr">
        <is>
          <t>5,3</t>
        </is>
      </c>
      <c r="CR34" s="43" t="n">
        <v>10</v>
      </c>
      <c r="CS34" s="43" t="inlineStr">
        <is>
          <t>Others</t>
        </is>
      </c>
      <c r="CT34" s="187" t="inlineStr">
        <is>
          <t>N</t>
        </is>
      </c>
      <c r="CU34" s="187" t="n"/>
      <c r="CV34" s="187" t="n"/>
      <c r="CW34" s="1" t="n"/>
      <c r="CX34" s="1" t="n"/>
      <c r="CY34" s="1" t="n"/>
      <c r="CZ34" s="1" t="n"/>
      <c r="DA34" s="1" t="n"/>
      <c r="DB34" s="1" t="n"/>
      <c r="DC34" s="1" t="n"/>
    </row>
    <row r="35" ht="15" customFormat="1" customHeight="1" s="42">
      <c r="A35" s="43" t="inlineStr">
        <is>
          <t>russellTang(唐龙杰)</t>
        </is>
      </c>
      <c r="B35" s="43" t="n"/>
      <c r="C35" s="43" t="n">
        <v>30708606</v>
      </c>
      <c r="D35" s="43" t="inlineStr">
        <is>
          <t>风险管理和内部控制</t>
        </is>
      </c>
      <c r="E35" s="43" t="inlineStr">
        <is>
          <t>CDG-AMS风控组</t>
        </is>
      </c>
      <c r="F35" s="43" t="n"/>
      <c r="G35" s="44" t="inlineStr">
        <is>
          <t>S2职能系统－财经线/风险管理和内部控制/CDG-AMS风控组</t>
        </is>
      </c>
      <c r="H35" s="179" t="n">
        <v>36265</v>
      </c>
      <c r="I35" s="43" t="inlineStr">
        <is>
          <t>社会招聘</t>
        </is>
      </c>
      <c r="J35" s="43" t="inlineStr">
        <is>
          <t>财经类－FN</t>
        </is>
      </c>
      <c r="K35" s="43" t="inlineStr">
        <is>
          <t>风险管理</t>
        </is>
      </c>
      <c r="L35" s="46" t="inlineStr">
        <is>
          <t>S12</t>
        </is>
      </c>
      <c r="M35" s="46" t="n"/>
      <c r="N35" s="43" t="inlineStr">
        <is>
          <t>T2</t>
        </is>
      </c>
      <c r="O35" s="43" t="n"/>
      <c r="P35" s="180" t="n"/>
      <c r="Q35" s="44" t="inlineStr">
        <is>
          <t>G,G</t>
        </is>
      </c>
      <c r="R35" s="44" t="n"/>
      <c r="S35" s="43" t="n"/>
      <c r="T35" s="180" t="n"/>
      <c r="U35" s="1" t="n">
        <v>58284.8</v>
      </c>
      <c r="V35" s="108" t="n">
        <v>0.083333</v>
      </c>
      <c r="W35" s="46" t="inlineStr">
        <is>
          <t>CNY</t>
        </is>
      </c>
      <c r="X35" s="181" t="n">
        <v>1</v>
      </c>
      <c r="Y35" s="1" t="n">
        <v>56092.82</v>
      </c>
      <c r="Z35" s="1" t="n">
        <v>0</v>
      </c>
      <c r="AA35" s="1" t="n">
        <v>116569.6</v>
      </c>
      <c r="AB35" s="1" t="n">
        <v>61285</v>
      </c>
      <c r="AC35" s="48" t="n">
        <v>0</v>
      </c>
      <c r="AD35" s="1" t="n"/>
      <c r="AE35" s="48" t="n"/>
      <c r="AF35" s="1" t="n">
        <v>0</v>
      </c>
      <c r="AG35" s="1" t="n">
        <v>177854.6</v>
      </c>
      <c r="AH35" s="182" t="n">
        <v>3.170719532375089</v>
      </c>
      <c r="AI35" s="1" t="n">
        <v>177854.6</v>
      </c>
      <c r="AJ35" s="183" t="n">
        <v>3.170719532375089</v>
      </c>
      <c r="AK35" s="183" t="n">
        <v>3.170719532375089</v>
      </c>
      <c r="AL35" s="108" t="n"/>
      <c r="AM35" s="183" t="n"/>
      <c r="AN35" s="183" t="n"/>
      <c r="AO35" s="1" t="n"/>
      <c r="AP35" s="48" t="n"/>
      <c r="AQ35" s="1" t="n">
        <v>177854.6</v>
      </c>
      <c r="AR35" s="183" t="n">
        <v>3.170719532375089</v>
      </c>
      <c r="AS35" s="98" t="n">
        <v>0.9739587098187394</v>
      </c>
      <c r="AT35" s="183" t="n"/>
      <c r="AU35" s="1" t="n"/>
      <c r="AV35" s="48" t="n"/>
      <c r="AW35" s="1" t="n"/>
      <c r="AX35" s="48" t="n"/>
      <c r="AY35" s="1" t="n"/>
      <c r="AZ35" s="48" t="n"/>
      <c r="BA35" s="51" t="n"/>
      <c r="BB35" s="180" t="n"/>
      <c r="BC35" s="1" t="n"/>
      <c r="BD35" s="1" t="n"/>
      <c r="BE35" s="180" t="n"/>
      <c r="BF35" s="1" t="n"/>
      <c r="BG35" s="1" t="n"/>
      <c r="BH35" s="1" t="n"/>
      <c r="BI35" s="1" t="n"/>
      <c r="BJ35" s="52" t="n"/>
      <c r="BK35" s="52" t="n"/>
      <c r="BL35" s="184" t="n">
        <v>1</v>
      </c>
      <c r="BM35" s="1" t="n">
        <v>51765</v>
      </c>
      <c r="BN35" s="1" t="n">
        <v>0</v>
      </c>
      <c r="BO35" s="1" t="n">
        <v>53870</v>
      </c>
      <c r="BP35" s="43" t="inlineStr">
        <is>
          <t>G,G</t>
        </is>
      </c>
      <c r="BQ35" s="43" t="inlineStr">
        <is>
          <t>T2</t>
        </is>
      </c>
      <c r="BR35" s="1" t="n">
        <v>182610</v>
      </c>
      <c r="BS35" s="185" t="n">
        <v>3.527673138220806</v>
      </c>
      <c r="BT35" s="1" t="n">
        <v>0</v>
      </c>
      <c r="BU35" s="1" t="n">
        <v>182610</v>
      </c>
      <c r="BV35" s="54" t="n">
        <v>3.527673138220806</v>
      </c>
      <c r="BW35" s="54" t="n"/>
      <c r="BX35" s="1" t="n"/>
      <c r="BY35" s="1" t="n">
        <v>182610</v>
      </c>
      <c r="BZ35" s="54" t="n">
        <v>3.527673138220806</v>
      </c>
      <c r="CA35" s="54" t="n"/>
      <c r="CB35" s="186" t="n"/>
      <c r="CC35" s="186" t="n"/>
      <c r="CD35" s="186" t="n"/>
      <c r="CE35" s="52" t="n"/>
      <c r="CF35" s="52" t="n"/>
      <c r="CG35" s="43" t="n"/>
      <c r="CH35" s="43" t="n"/>
      <c r="CI35" s="43" t="n"/>
      <c r="CJ35" s="43" t="n"/>
      <c r="CK35" s="43" t="n"/>
      <c r="CL35" s="43" t="n"/>
      <c r="CM35" s="43" t="n"/>
      <c r="CN35" s="43" t="n"/>
      <c r="CO35" s="43" t="n"/>
      <c r="CP35" s="43" t="inlineStr">
        <is>
          <t>风险管理和内部控制</t>
        </is>
      </c>
      <c r="CQ35" s="43" t="inlineStr">
        <is>
          <t>3,3</t>
        </is>
      </c>
      <c r="CR35" s="43" t="n">
        <v>12</v>
      </c>
      <c r="CS35" s="43" t="inlineStr">
        <is>
          <t>T2</t>
        </is>
      </c>
      <c r="CT35" s="187" t="inlineStr">
        <is>
          <t>N</t>
        </is>
      </c>
      <c r="CU35" s="187" t="n"/>
      <c r="CV35" s="187" t="n"/>
      <c r="CW35" s="1" t="n"/>
      <c r="CX35" s="1" t="n"/>
      <c r="CY35" s="1" t="n"/>
      <c r="CZ35" s="1" t="n"/>
      <c r="DA35" s="1" t="n"/>
      <c r="DB35" s="1" t="n"/>
      <c r="DC35" s="1" t="n"/>
    </row>
    <row r="36" ht="15" customFormat="1" customHeight="1" s="42">
      <c r="A36" s="43" t="inlineStr">
        <is>
          <t>charlotteDong(董娇露)</t>
        </is>
      </c>
      <c r="B36" s="43" t="n"/>
      <c r="C36" s="43" t="n">
        <v>11495799</v>
      </c>
      <c r="D36" s="43" t="inlineStr">
        <is>
          <t>风险管理和内部控制</t>
        </is>
      </c>
      <c r="E36" s="43" t="inlineStr">
        <is>
          <t>WXG风控中心</t>
        </is>
      </c>
      <c r="F36" s="43" t="n"/>
      <c r="G36" s="44" t="inlineStr">
        <is>
          <t>S2职能系统－财经线/风险管理和内部控制/WXG风控中心</t>
        </is>
      </c>
      <c r="H36" s="179" t="n">
        <v>38111</v>
      </c>
      <c r="I36" s="43" t="inlineStr">
        <is>
          <t>社会招聘</t>
        </is>
      </c>
      <c r="J36" s="43" t="inlineStr">
        <is>
          <t>财经类－FN</t>
        </is>
      </c>
      <c r="K36" s="43" t="inlineStr">
        <is>
          <t>风险管理</t>
        </is>
      </c>
      <c r="L36" s="46" t="inlineStr">
        <is>
          <t>S8</t>
        </is>
      </c>
      <c r="M36" s="46" t="n"/>
      <c r="N36" s="43" t="inlineStr">
        <is>
          <t>T1</t>
        </is>
      </c>
      <c r="O36" s="43" t="n"/>
      <c r="P36" s="180" t="n"/>
      <c r="Q36" s="44" t="inlineStr">
        <is>
          <t>G,G</t>
        </is>
      </c>
      <c r="R36" s="44" t="n"/>
      <c r="S36" s="43" t="n"/>
      <c r="T36" s="180" t="n"/>
      <c r="U36" s="1" t="n">
        <v>32854.85</v>
      </c>
      <c r="V36" s="108" t="n">
        <v>0.083333</v>
      </c>
      <c r="W36" s="46" t="inlineStr">
        <is>
          <t>CNY</t>
        </is>
      </c>
      <c r="X36" s="181" t="n">
        <v>1</v>
      </c>
      <c r="Y36" s="1" t="n">
        <v>31083.59</v>
      </c>
      <c r="Z36" s="1" t="n">
        <v>0</v>
      </c>
      <c r="AA36" s="1" t="n">
        <v>65709.7</v>
      </c>
      <c r="AB36" s="1" t="n">
        <v>75560</v>
      </c>
      <c r="AC36" s="48" t="n">
        <v>54190</v>
      </c>
      <c r="AD36" s="1" t="n"/>
      <c r="AE36" s="48" t="n"/>
      <c r="AF36" s="1" t="n">
        <v>0</v>
      </c>
      <c r="AG36" s="1" t="n">
        <v>195459.7</v>
      </c>
      <c r="AH36" s="182" t="n">
        <v>6.288195797203605</v>
      </c>
      <c r="AI36" s="1" t="n">
        <v>195459.7</v>
      </c>
      <c r="AJ36" s="183" t="n">
        <v>6.288195797203605</v>
      </c>
      <c r="AK36" s="183" t="n">
        <v>4.544832176720901</v>
      </c>
      <c r="AL36" s="108" t="n"/>
      <c r="AM36" s="183" t="n"/>
      <c r="AN36" s="183" t="n"/>
      <c r="AO36" s="1" t="n"/>
      <c r="AP36" s="48" t="n"/>
      <c r="AQ36" s="1" t="n">
        <v>195459.7</v>
      </c>
      <c r="AR36" s="183" t="n">
        <v>6.288195797203605</v>
      </c>
      <c r="AS36" s="98" t="n">
        <v>1.186473837562219</v>
      </c>
      <c r="AT36" s="183" t="n"/>
      <c r="AU36" s="1" t="n"/>
      <c r="AV36" s="48" t="n"/>
      <c r="AW36" s="1" t="n"/>
      <c r="AX36" s="48" t="n"/>
      <c r="AY36" s="1" t="n"/>
      <c r="AZ36" s="48" t="n"/>
      <c r="BA36" s="51" t="n"/>
      <c r="BB36" s="180" t="n"/>
      <c r="BC36" s="1" t="n"/>
      <c r="BD36" s="1" t="n"/>
      <c r="BE36" s="180" t="n"/>
      <c r="BF36" s="1" t="n"/>
      <c r="BG36" s="1" t="n"/>
      <c r="BH36" s="1" t="n"/>
      <c r="BI36" s="1" t="n"/>
      <c r="BJ36" s="52" t="n"/>
      <c r="BK36" s="52" t="n"/>
      <c r="BL36" s="184" t="n">
        <v>1</v>
      </c>
      <c r="BM36" s="1" t="n">
        <v>27300</v>
      </c>
      <c r="BN36" s="1" t="n">
        <v>0</v>
      </c>
      <c r="BO36" s="1" t="n">
        <v>29675</v>
      </c>
      <c r="BP36" s="43" t="inlineStr">
        <is>
          <t>G,O</t>
        </is>
      </c>
      <c r="BQ36" s="43" t="inlineStr">
        <is>
          <t>T1</t>
        </is>
      </c>
      <c r="BR36" s="1" t="n">
        <v>124760</v>
      </c>
      <c r="BS36" s="185" t="n">
        <v>4.56996336996337</v>
      </c>
      <c r="BT36" s="1" t="n">
        <v>39980</v>
      </c>
      <c r="BU36" s="1" t="n">
        <v>164740</v>
      </c>
      <c r="BV36" s="54" t="n">
        <v>6.034432234432234</v>
      </c>
      <c r="BW36" s="54" t="n"/>
      <c r="BX36" s="1" t="n"/>
      <c r="BY36" s="1" t="n">
        <v>164740</v>
      </c>
      <c r="BZ36" s="54" t="n">
        <v>6.034432234432234</v>
      </c>
      <c r="CA36" s="54" t="n"/>
      <c r="CB36" s="186" t="n"/>
      <c r="CC36" s="186" t="n"/>
      <c r="CD36" s="186" t="n"/>
      <c r="CE36" s="52" t="n"/>
      <c r="CF36" s="52" t="n"/>
      <c r="CG36" s="43" t="n"/>
      <c r="CH36" s="43" t="n"/>
      <c r="CI36" s="43" t="n"/>
      <c r="CJ36" s="43" t="n"/>
      <c r="CK36" s="43" t="n"/>
      <c r="CL36" s="43" t="n"/>
      <c r="CM36" s="43" t="n"/>
      <c r="CN36" s="43" t="n"/>
      <c r="CO36" s="43" t="n"/>
      <c r="CP36" s="43" t="inlineStr">
        <is>
          <t>风险管理和内部控制</t>
        </is>
      </c>
      <c r="CQ36" s="43" t="inlineStr">
        <is>
          <t>3,3</t>
        </is>
      </c>
      <c r="CR36" s="43" t="n">
        <v>8</v>
      </c>
      <c r="CS36" s="43" t="inlineStr">
        <is>
          <t>T1</t>
        </is>
      </c>
      <c r="CT36" s="187" t="inlineStr">
        <is>
          <t>N</t>
        </is>
      </c>
      <c r="CU36" s="187" t="n"/>
      <c r="CV36" s="187" t="n"/>
      <c r="CW36" s="1" t="n"/>
      <c r="CX36" s="1" t="n"/>
      <c r="CY36" s="1" t="n"/>
      <c r="CZ36" s="1" t="n"/>
      <c r="DA36" s="1" t="n"/>
      <c r="DB36" s="1" t="n"/>
      <c r="DC36" s="1" t="n"/>
    </row>
    <row r="37" ht="15" customFormat="1" customHeight="1" s="42">
      <c r="A37" s="43" t="inlineStr">
        <is>
          <t>walterNiu(牛超)</t>
        </is>
      </c>
      <c r="B37" s="43" t="n"/>
      <c r="C37" s="43" t="n">
        <v>3811253</v>
      </c>
      <c r="D37" s="43" t="inlineStr">
        <is>
          <t>CDG财务管理</t>
        </is>
      </c>
      <c r="E37" s="43" t="inlineStr">
        <is>
          <t>AMS收入支持中心</t>
        </is>
      </c>
      <c r="F37" s="43" t="n"/>
      <c r="G37" s="44" t="inlineStr">
        <is>
          <t>S2职能系统－财经线/CDG财务管理/AMS收入支持中心</t>
        </is>
      </c>
      <c r="H37" s="179" t="n">
        <v>41945</v>
      </c>
      <c r="I37" s="43" t="inlineStr">
        <is>
          <t>高校招聘</t>
        </is>
      </c>
      <c r="J37" s="43" t="inlineStr">
        <is>
          <t>财经类－FN</t>
        </is>
      </c>
      <c r="K37" s="43" t="inlineStr">
        <is>
          <t>财务管理</t>
        </is>
      </c>
      <c r="L37" s="46" t="inlineStr">
        <is>
          <t>S8</t>
        </is>
      </c>
      <c r="M37" s="46" t="n"/>
      <c r="N37" s="43" t="inlineStr">
        <is>
          <t>T2</t>
        </is>
      </c>
      <c r="O37" s="43" t="n"/>
      <c r="P37" s="180" t="n"/>
      <c r="Q37" s="44" t="inlineStr">
        <is>
          <t>G,U</t>
        </is>
      </c>
      <c r="R37" s="44" t="n"/>
      <c r="S37" s="43" t="n"/>
      <c r="T37" s="180" t="n"/>
      <c r="U37" s="1" t="n">
        <v>42665.75</v>
      </c>
      <c r="V37" s="108" t="n">
        <v>0.083333</v>
      </c>
      <c r="W37" s="46" t="inlineStr">
        <is>
          <t>CNY</t>
        </is>
      </c>
      <c r="X37" s="181" t="n">
        <v>1</v>
      </c>
      <c r="Y37" s="1" t="n">
        <v>40977.16</v>
      </c>
      <c r="Z37" s="1" t="n">
        <v>0</v>
      </c>
      <c r="AA37" s="1" t="n">
        <v>42665.75</v>
      </c>
      <c r="AB37" s="1" t="n">
        <v>58170</v>
      </c>
      <c r="AC37" s="48" t="n">
        <v>0</v>
      </c>
      <c r="AD37" s="1" t="n"/>
      <c r="AE37" s="48" t="n"/>
      <c r="AF37" s="1" t="n">
        <v>0</v>
      </c>
      <c r="AG37" s="1" t="n">
        <v>100835.75</v>
      </c>
      <c r="AH37" s="182" t="n">
        <v>2.460779370751902</v>
      </c>
      <c r="AI37" s="1" t="n">
        <v>100835.75</v>
      </c>
      <c r="AJ37" s="183" t="n">
        <v>2.460779370751902</v>
      </c>
      <c r="AK37" s="183" t="n">
        <v>2.460779370751902</v>
      </c>
      <c r="AL37" s="108" t="n"/>
      <c r="AM37" s="183" t="n"/>
      <c r="AN37" s="183" t="n"/>
      <c r="AO37" s="1" t="n"/>
      <c r="AP37" s="48" t="n"/>
      <c r="AQ37" s="1" t="n">
        <v>100835.75</v>
      </c>
      <c r="AR37" s="183" t="n">
        <v>2.460779370751902</v>
      </c>
      <c r="AS37" s="98" t="n">
        <v>0.359184818423068</v>
      </c>
      <c r="AT37" s="183" t="n"/>
      <c r="AU37" s="1" t="n"/>
      <c r="AV37" s="48" t="n"/>
      <c r="AW37" s="1" t="n"/>
      <c r="AX37" s="48" t="n"/>
      <c r="AY37" s="1" t="n"/>
      <c r="AZ37" s="48" t="n"/>
      <c r="BA37" s="51" t="n"/>
      <c r="BB37" s="180" t="n"/>
      <c r="BC37" s="1" t="n"/>
      <c r="BD37" s="1" t="n"/>
      <c r="BE37" s="180" t="n"/>
      <c r="BF37" s="1" t="n"/>
      <c r="BG37" s="1" t="n"/>
      <c r="BH37" s="1" t="n"/>
      <c r="BI37" s="1" t="n"/>
      <c r="BJ37" s="52" t="n"/>
      <c r="BK37" s="52" t="n"/>
      <c r="BL37" s="184" t="n">
        <v>1</v>
      </c>
      <c r="BM37" s="1" t="n">
        <v>35680</v>
      </c>
      <c r="BN37" s="1" t="n">
        <v>0</v>
      </c>
      <c r="BO37" s="1" t="n">
        <v>38620</v>
      </c>
      <c r="BP37" s="43" t="inlineStr">
        <is>
          <t>G,O</t>
        </is>
      </c>
      <c r="BQ37" s="43" t="inlineStr">
        <is>
          <t>T1#</t>
        </is>
      </c>
      <c r="BR37" s="1" t="n">
        <v>233745</v>
      </c>
      <c r="BS37" s="185" t="n">
        <v>6.551149103139013</v>
      </c>
      <c r="BT37" s="1" t="n">
        <v>46990</v>
      </c>
      <c r="BU37" s="1" t="n">
        <v>280735</v>
      </c>
      <c r="BV37" s="54" t="n">
        <v>7.868133408071749</v>
      </c>
      <c r="BW37" s="54" t="n"/>
      <c r="BX37" s="1" t="n"/>
      <c r="BY37" s="1" t="n">
        <v>280735</v>
      </c>
      <c r="BZ37" s="54" t="n">
        <v>7.868133408071749</v>
      </c>
      <c r="CA37" s="54" t="n"/>
      <c r="CB37" s="186" t="n"/>
      <c r="CC37" s="186" t="n"/>
      <c r="CD37" s="186" t="n"/>
      <c r="CE37" s="52" t="n"/>
      <c r="CF37" s="52" t="n"/>
      <c r="CG37" s="43" t="n"/>
      <c r="CH37" s="43" t="n"/>
      <c r="CI37" s="43" t="n"/>
      <c r="CJ37" s="43" t="n"/>
      <c r="CK37" s="43" t="n"/>
      <c r="CL37" s="43" t="n"/>
      <c r="CM37" s="43" t="n"/>
      <c r="CN37" s="43" t="n"/>
      <c r="CO37" s="43" t="n"/>
      <c r="CP37" s="43" t="inlineStr">
        <is>
          <t>CDG财务管理</t>
        </is>
      </c>
      <c r="CQ37" s="43" t="inlineStr">
        <is>
          <t>3,1</t>
        </is>
      </c>
      <c r="CR37" s="43" t="n">
        <v>8</v>
      </c>
      <c r="CS37" s="43" t="inlineStr">
        <is>
          <t>T2</t>
        </is>
      </c>
      <c r="CT37" s="187" t="inlineStr">
        <is>
          <t>N</t>
        </is>
      </c>
      <c r="CU37" s="187" t="n"/>
      <c r="CV37" s="187" t="n"/>
      <c r="CW37" s="1" t="n"/>
      <c r="CX37" s="1" t="n"/>
      <c r="CY37" s="1" t="n"/>
      <c r="CZ37" s="1" t="n"/>
      <c r="DA37" s="1" t="n"/>
      <c r="DB37" s="1" t="n"/>
      <c r="DC37" s="1" t="n"/>
    </row>
    <row r="38" ht="15" customFormat="1" customHeight="1" s="42">
      <c r="A38" s="43" t="inlineStr">
        <is>
          <t>sharonShi(史媛)</t>
        </is>
      </c>
      <c r="B38" s="43" t="n"/>
      <c r="C38" s="43" t="n">
        <v>46212609</v>
      </c>
      <c r="D38" s="43" t="inlineStr">
        <is>
          <t>财会及报告管理部</t>
        </is>
      </c>
      <c r="E38" s="43" t="inlineStr">
        <is>
          <t>供应商支付管理中心</t>
        </is>
      </c>
      <c r="F38" s="43" t="n"/>
      <c r="G38" s="44" t="inlineStr">
        <is>
          <t>S2职能系统－财经线/财会及报告管理部/供应商支付管理中心</t>
        </is>
      </c>
      <c r="H38" s="179" t="n">
        <v>38878</v>
      </c>
      <c r="I38" s="43" t="inlineStr">
        <is>
          <t>社会招聘</t>
        </is>
      </c>
      <c r="J38" s="43" t="inlineStr">
        <is>
          <t>财经类－FN</t>
        </is>
      </c>
      <c r="K38" s="43" t="inlineStr">
        <is>
          <t>会计</t>
        </is>
      </c>
      <c r="L38" s="46" t="inlineStr">
        <is>
          <t>S5</t>
        </is>
      </c>
      <c r="M38" s="46" t="n"/>
      <c r="N38" s="43" t="inlineStr">
        <is>
          <t>T1</t>
        </is>
      </c>
      <c r="O38" s="43" t="n"/>
      <c r="P38" s="180" t="n"/>
      <c r="Q38" s="44" t="inlineStr">
        <is>
          <t>O,G</t>
        </is>
      </c>
      <c r="R38" s="44" t="n"/>
      <c r="S38" s="43" t="n"/>
      <c r="T38" s="180" t="n"/>
      <c r="U38" s="1" t="n">
        <v>29222.4</v>
      </c>
      <c r="V38" s="108" t="n">
        <v>0.083333</v>
      </c>
      <c r="W38" s="46" t="inlineStr">
        <is>
          <t>CNY</t>
        </is>
      </c>
      <c r="X38" s="181" t="n">
        <v>1</v>
      </c>
      <c r="Y38" s="1" t="n">
        <v>28181.58</v>
      </c>
      <c r="Z38" s="1" t="n">
        <v>0</v>
      </c>
      <c r="AA38" s="1" t="n">
        <v>87667.2</v>
      </c>
      <c r="AB38" s="1" t="n">
        <v>70485</v>
      </c>
      <c r="AC38" s="48" t="n">
        <v>48225</v>
      </c>
      <c r="AD38" s="1" t="n"/>
      <c r="AE38" s="48" t="n"/>
      <c r="AF38" s="1" t="n">
        <v>0</v>
      </c>
      <c r="AG38" s="1" t="n">
        <v>206377.2</v>
      </c>
      <c r="AH38" s="182" t="n">
        <v>7.323123827691705</v>
      </c>
      <c r="AI38" s="1" t="n">
        <v>206377.2</v>
      </c>
      <c r="AJ38" s="183" t="n">
        <v>7.323123827691705</v>
      </c>
      <c r="AK38" s="183" t="n">
        <v>5.611899687668328</v>
      </c>
      <c r="AL38" s="108" t="n"/>
      <c r="AM38" s="183" t="n"/>
      <c r="AN38" s="183" t="n"/>
      <c r="AO38" s="1" t="n"/>
      <c r="AP38" s="48" t="n"/>
      <c r="AQ38" s="1" t="n">
        <v>206377.2</v>
      </c>
      <c r="AR38" s="183" t="n">
        <v>7.323123827691705</v>
      </c>
      <c r="AS38" s="98" t="n">
        <v>3.759147540983607</v>
      </c>
      <c r="AT38" s="183" t="n"/>
      <c r="AU38" s="1" t="n"/>
      <c r="AV38" s="48" t="n"/>
      <c r="AW38" s="1" t="n"/>
      <c r="AX38" s="48" t="n"/>
      <c r="AY38" s="1" t="n"/>
      <c r="AZ38" s="48" t="n"/>
      <c r="BA38" s="51" t="n"/>
      <c r="BB38" s="180" t="n"/>
      <c r="BC38" s="1" t="n"/>
      <c r="BD38" s="1" t="n"/>
      <c r="BE38" s="180" t="n"/>
      <c r="BF38" s="1" t="n"/>
      <c r="BG38" s="1" t="n"/>
      <c r="BH38" s="1" t="n"/>
      <c r="BI38" s="1" t="n"/>
      <c r="BJ38" s="52" t="n"/>
      <c r="BK38" s="52" t="n"/>
      <c r="BL38" s="184" t="n">
        <v>1</v>
      </c>
      <c r="BM38" s="1" t="n">
        <v>23780</v>
      </c>
      <c r="BN38" s="1" t="n">
        <v>0</v>
      </c>
      <c r="BO38" s="1" t="n">
        <v>24285</v>
      </c>
      <c r="BP38" s="43" t="inlineStr">
        <is>
          <t>U,G</t>
        </is>
      </c>
      <c r="BQ38" s="43" t="inlineStr">
        <is>
          <t>T1</t>
        </is>
      </c>
      <c r="BR38" s="1" t="n">
        <v>54900</v>
      </c>
      <c r="BS38" s="185" t="n">
        <v>2.308662741799832</v>
      </c>
      <c r="BT38" s="1" t="n">
        <v>0</v>
      </c>
      <c r="BU38" s="1" t="n">
        <v>54900</v>
      </c>
      <c r="BV38" s="54" t="n">
        <v>2.308662741799832</v>
      </c>
      <c r="BW38" s="54" t="n"/>
      <c r="BX38" s="1" t="n"/>
      <c r="BY38" s="1" t="n">
        <v>54900</v>
      </c>
      <c r="BZ38" s="54" t="n">
        <v>2.308662741799832</v>
      </c>
      <c r="CA38" s="54" t="n"/>
      <c r="CB38" s="186" t="n"/>
      <c r="CC38" s="186" t="n"/>
      <c r="CD38" s="186" t="n"/>
      <c r="CE38" s="52" t="n"/>
      <c r="CF38" s="52" t="n"/>
      <c r="CG38" s="43" t="n"/>
      <c r="CH38" s="43" t="n"/>
      <c r="CI38" s="43" t="n"/>
      <c r="CJ38" s="43" t="n"/>
      <c r="CK38" s="43" t="n"/>
      <c r="CL38" s="43" t="n"/>
      <c r="CM38" s="43" t="n"/>
      <c r="CN38" s="43" t="n"/>
      <c r="CO38" s="43" t="n"/>
      <c r="CP38" s="43" t="inlineStr">
        <is>
          <t>财会及报告管理部</t>
        </is>
      </c>
      <c r="CQ38" s="43" t="inlineStr">
        <is>
          <t>5,3</t>
        </is>
      </c>
      <c r="CR38" s="43" t="n">
        <v>5</v>
      </c>
      <c r="CS38" s="43" t="inlineStr">
        <is>
          <t>T1</t>
        </is>
      </c>
      <c r="CT38" s="187" t="inlineStr">
        <is>
          <t>N</t>
        </is>
      </c>
      <c r="CU38" s="187" t="n"/>
      <c r="CV38" s="187" t="n"/>
      <c r="CW38" s="1" t="n"/>
      <c r="CX38" s="1" t="n"/>
      <c r="CY38" s="1" t="n"/>
      <c r="CZ38" s="1" t="n"/>
      <c r="DA38" s="1" t="n"/>
      <c r="DB38" s="1" t="n"/>
      <c r="DC38" s="1" t="n"/>
    </row>
    <row r="39" ht="15" customFormat="1" customHeight="1" s="42">
      <c r="A39" s="43" t="inlineStr">
        <is>
          <t>wayneChang(常阳)</t>
        </is>
      </c>
      <c r="B39" s="43" t="n"/>
      <c r="C39" s="43" t="n">
        <v>74666760</v>
      </c>
      <c r="D39" s="43" t="inlineStr">
        <is>
          <t>预算及职能系统财务管理部</t>
        </is>
      </c>
      <c r="E39" s="43" t="inlineStr">
        <is>
          <t>预算管理中心</t>
        </is>
      </c>
      <c r="F39" s="43" t="n"/>
      <c r="G39" s="44" t="inlineStr">
        <is>
          <t>S2职能系统－财经线/预算及职能系统财务管理部/预算管理中心</t>
        </is>
      </c>
      <c r="H39" s="179" t="n">
        <v>43256</v>
      </c>
      <c r="I39" s="43" t="inlineStr">
        <is>
          <t>社会招聘</t>
        </is>
      </c>
      <c r="J39" s="43" t="inlineStr">
        <is>
          <t>财经类－FN</t>
        </is>
      </c>
      <c r="K39" s="43" t="inlineStr">
        <is>
          <t>预算管理</t>
        </is>
      </c>
      <c r="L39" s="46" t="inlineStr">
        <is>
          <t>S10</t>
        </is>
      </c>
      <c r="M39" s="46" t="n"/>
      <c r="N39" s="43" t="inlineStr">
        <is>
          <t>T1</t>
        </is>
      </c>
      <c r="O39" s="43" t="n"/>
      <c r="P39" s="180" t="n"/>
      <c r="Q39" s="44" t="inlineStr">
        <is>
          <t>U,G</t>
        </is>
      </c>
      <c r="R39" s="44" t="n"/>
      <c r="S39" s="43" t="n"/>
      <c r="T39" s="180" t="n"/>
      <c r="U39" s="1" t="n">
        <v>35677.4</v>
      </c>
      <c r="V39" s="108" t="n">
        <v>0.083333</v>
      </c>
      <c r="W39" s="46" t="inlineStr">
        <is>
          <t>CNY</t>
        </is>
      </c>
      <c r="X39" s="181" t="n">
        <v>1</v>
      </c>
      <c r="Y39" s="1" t="n">
        <v>34145.86</v>
      </c>
      <c r="Z39" s="1" t="n">
        <v>0</v>
      </c>
      <c r="AA39" s="1" t="n">
        <v>35677.4</v>
      </c>
      <c r="AB39" s="1" t="n">
        <v>86825</v>
      </c>
      <c r="AC39" s="48" t="n">
        <v>0</v>
      </c>
      <c r="AD39" s="1" t="n"/>
      <c r="AE39" s="48" t="n"/>
      <c r="AF39" s="1" t="n">
        <v>0</v>
      </c>
      <c r="AG39" s="1" t="n">
        <v>122502.4</v>
      </c>
      <c r="AH39" s="182" t="n">
        <v>3.587620871168569</v>
      </c>
      <c r="AI39" s="1" t="n">
        <v>122502.4</v>
      </c>
      <c r="AJ39" s="183" t="n">
        <v>3.587620871168569</v>
      </c>
      <c r="AK39" s="183" t="n">
        <v>3.587620871168569</v>
      </c>
      <c r="AL39" s="108" t="n"/>
      <c r="AM39" s="183" t="n"/>
      <c r="AN39" s="183" t="n"/>
      <c r="AO39" s="1" t="n"/>
      <c r="AP39" s="48" t="n"/>
      <c r="AQ39" s="1" t="n">
        <v>122502.4</v>
      </c>
      <c r="AR39" s="183" t="n">
        <v>3.587620871168569</v>
      </c>
      <c r="AS39" s="98" t="n">
        <v>0.9608785002745313</v>
      </c>
      <c r="AT39" s="183" t="n"/>
      <c r="AU39" s="1" t="n"/>
      <c r="AV39" s="48" t="n"/>
      <c r="AW39" s="1" t="n"/>
      <c r="AX39" s="48" t="n"/>
      <c r="AY39" s="1" t="n"/>
      <c r="AZ39" s="48" t="n"/>
      <c r="BA39" s="51" t="n"/>
      <c r="BB39" s="180" t="n"/>
      <c r="BC39" s="1" t="n"/>
      <c r="BD39" s="1" t="n"/>
      <c r="BE39" s="180" t="n"/>
      <c r="BF39" s="1" t="n"/>
      <c r="BG39" s="1" t="n"/>
      <c r="BH39" s="1" t="n"/>
      <c r="BI39" s="1" t="n"/>
      <c r="BJ39" s="52" t="n"/>
      <c r="BK39" s="52" t="n"/>
      <c r="BL39" s="184" t="n">
        <v>1</v>
      </c>
      <c r="BM39" s="1" t="n">
        <v>28695</v>
      </c>
      <c r="BN39" s="1" t="n">
        <v>0</v>
      </c>
      <c r="BO39" s="1" t="n">
        <v>29060</v>
      </c>
      <c r="BP39" s="43" t="inlineStr">
        <is>
          <t>G,G</t>
        </is>
      </c>
      <c r="BQ39" s="43" t="inlineStr">
        <is>
          <t>T1</t>
        </is>
      </c>
      <c r="BR39" s="1" t="n">
        <v>88665</v>
      </c>
      <c r="BS39" s="185" t="n">
        <v>3.089911134343962</v>
      </c>
      <c r="BT39" s="1" t="n">
        <v>38825</v>
      </c>
      <c r="BU39" s="1" t="n">
        <v>127490</v>
      </c>
      <c r="BV39" s="54" t="n">
        <v>4.442934309113086</v>
      </c>
      <c r="BW39" s="54" t="n"/>
      <c r="BX39" s="1" t="n"/>
      <c r="BY39" s="1" t="n">
        <v>127490</v>
      </c>
      <c r="BZ39" s="54" t="n">
        <v>4.442934309113086</v>
      </c>
      <c r="CA39" s="54" t="n"/>
      <c r="CB39" s="186" t="n"/>
      <c r="CC39" s="186" t="n"/>
      <c r="CD39" s="186" t="n"/>
      <c r="CE39" s="52" t="n"/>
      <c r="CF39" s="52" t="n"/>
      <c r="CG39" s="43" t="n"/>
      <c r="CH39" s="43" t="n"/>
      <c r="CI39" s="43" t="n"/>
      <c r="CJ39" s="43" t="n"/>
      <c r="CK39" s="43" t="n"/>
      <c r="CL39" s="43" t="n"/>
      <c r="CM39" s="43" t="n"/>
      <c r="CN39" s="43" t="n"/>
      <c r="CO39" s="43" t="n"/>
      <c r="CP39" s="43" t="inlineStr">
        <is>
          <t>预算及职能系统财务管理部</t>
        </is>
      </c>
      <c r="CQ39" s="43" t="inlineStr">
        <is>
          <t>3,1</t>
        </is>
      </c>
      <c r="CR39" s="43" t="n">
        <v>10</v>
      </c>
      <c r="CS39" s="43" t="inlineStr">
        <is>
          <t>T1</t>
        </is>
      </c>
      <c r="CT39" s="187" t="inlineStr">
        <is>
          <t>N</t>
        </is>
      </c>
      <c r="CU39" s="187" t="n"/>
      <c r="CV39" s="187" t="n"/>
      <c r="CW39" s="1" t="n"/>
      <c r="CX39" s="1" t="n"/>
      <c r="CY39" s="1" t="n"/>
      <c r="CZ39" s="1" t="n"/>
      <c r="DA39" s="1" t="n"/>
      <c r="DB39" s="1" t="n"/>
      <c r="DC39" s="1" t="n"/>
    </row>
    <row r="40" ht="15" customFormat="1" customHeight="1" s="42">
      <c r="A40" s="43" t="inlineStr">
        <is>
          <t>kevinQian(钱峰阳)</t>
        </is>
      </c>
      <c r="B40" s="43" t="n"/>
      <c r="C40" s="43" t="n">
        <v>91424281</v>
      </c>
      <c r="D40" s="43" t="inlineStr">
        <is>
          <t>风险管理和内部控制</t>
        </is>
      </c>
      <c r="E40" s="43" t="inlineStr">
        <is>
          <t>WXG风控中心</t>
        </is>
      </c>
      <c r="F40" s="43" t="n"/>
      <c r="G40" s="44" t="inlineStr">
        <is>
          <t>S2职能系统－财经线/风险管理和内部控制/WXG风控中心</t>
        </is>
      </c>
      <c r="H40" s="179" t="n">
        <v>45377</v>
      </c>
      <c r="I40" s="43" t="inlineStr">
        <is>
          <t>社会招聘</t>
        </is>
      </c>
      <c r="J40" s="43" t="inlineStr">
        <is>
          <t>财经类－FN</t>
        </is>
      </c>
      <c r="K40" s="43" t="inlineStr">
        <is>
          <t>风险管理</t>
        </is>
      </c>
      <c r="L40" s="46" t="inlineStr">
        <is>
          <t>S8</t>
        </is>
      </c>
      <c r="M40" s="46" t="n"/>
      <c r="N40" s="43" t="inlineStr">
        <is>
          <t>T2</t>
        </is>
      </c>
      <c r="O40" s="43" t="n"/>
      <c r="P40" s="180" t="n"/>
      <c r="Q40" s="44" t="inlineStr">
        <is>
          <t>G,O</t>
        </is>
      </c>
      <c r="R40" s="44" t="n"/>
      <c r="S40" s="43" t="n"/>
      <c r="T40" s="180" t="n"/>
      <c r="U40" s="1" t="n">
        <v>46653.7</v>
      </c>
      <c r="V40" s="108" t="n">
        <v>0.083333</v>
      </c>
      <c r="W40" s="46" t="inlineStr">
        <is>
          <t>CNY</t>
        </is>
      </c>
      <c r="X40" s="181" t="n">
        <v>0.767123</v>
      </c>
      <c r="Y40" s="1" t="n">
        <v>44279.38</v>
      </c>
      <c r="Z40" s="1" t="n">
        <v>0</v>
      </c>
      <c r="AA40" s="1" t="n">
        <v>35789.13</v>
      </c>
      <c r="AB40" s="1" t="n">
        <v>0</v>
      </c>
      <c r="AC40" s="48" t="n">
        <v>0</v>
      </c>
      <c r="AD40" s="1" t="n"/>
      <c r="AE40" s="48" t="n"/>
      <c r="AF40" s="1" t="n">
        <v>0</v>
      </c>
      <c r="AG40" s="1" t="n">
        <v>35789.13</v>
      </c>
      <c r="AH40" s="182" t="n">
        <v>0.808257252021144</v>
      </c>
      <c r="AI40" s="1" t="n">
        <v>35789.13</v>
      </c>
      <c r="AJ40" s="183" t="n">
        <v>0.808257252021144</v>
      </c>
      <c r="AK40" s="183" t="n">
        <v>0.808257252021144</v>
      </c>
      <c r="AL40" s="108" t="n"/>
      <c r="AM40" s="183" t="n"/>
      <c r="AN40" s="183" t="n"/>
      <c r="AO40" s="1" t="n"/>
      <c r="AP40" s="48" t="n"/>
      <c r="AQ40" s="1" t="n">
        <v>35789.13</v>
      </c>
      <c r="AR40" s="183" t="n">
        <v>0.808257252021144</v>
      </c>
      <c r="AS40" s="98" t="n"/>
      <c r="AT40" s="183" t="n"/>
      <c r="AU40" s="1" t="n"/>
      <c r="AV40" s="48" t="n"/>
      <c r="AW40" s="1" t="n"/>
      <c r="AX40" s="48" t="n"/>
      <c r="AY40" s="1" t="n"/>
      <c r="AZ40" s="48" t="n"/>
      <c r="BA40" s="51" t="n"/>
      <c r="BB40" s="180" t="n"/>
      <c r="BC40" s="1" t="n"/>
      <c r="BD40" s="1" t="n"/>
      <c r="BE40" s="180" t="n"/>
      <c r="BF40" s="1" t="n"/>
      <c r="BG40" s="1" t="n"/>
      <c r="BH40" s="1" t="n"/>
      <c r="BI40" s="1" t="n"/>
      <c r="BJ40" s="52" t="n"/>
      <c r="BK40" s="52" t="n"/>
      <c r="BL40" s="184" t="n"/>
      <c r="BM40" s="1" t="n">
        <v>0</v>
      </c>
      <c r="BN40" s="1" t="n">
        <v>0</v>
      </c>
      <c r="BO40" s="1" t="n">
        <v>0</v>
      </c>
      <c r="BP40" s="43" t="n"/>
      <c r="BQ40" s="43" t="n"/>
      <c r="BR40" s="1" t="n">
        <v>0</v>
      </c>
      <c r="BS40" s="185" t="n"/>
      <c r="BT40" s="1" t="n">
        <v>0</v>
      </c>
      <c r="BU40" s="1" t="n">
        <v>0</v>
      </c>
      <c r="BV40" s="54" t="n"/>
      <c r="BW40" s="54" t="n"/>
      <c r="BX40" s="1" t="n"/>
      <c r="BY40" s="1" t="n">
        <v>0</v>
      </c>
      <c r="BZ40" s="54" t="n"/>
      <c r="CA40" s="54" t="n"/>
      <c r="CB40" s="186" t="n"/>
      <c r="CC40" s="186" t="n"/>
      <c r="CD40" s="186" t="n"/>
      <c r="CE40" s="52" t="n"/>
      <c r="CF40" s="52" t="n"/>
      <c r="CG40" s="43" t="n"/>
      <c r="CH40" s="43" t="n"/>
      <c r="CI40" s="43" t="n"/>
      <c r="CJ40" s="43" t="n"/>
      <c r="CK40" s="43" t="n"/>
      <c r="CL40" s="43" t="n"/>
      <c r="CM40" s="43" t="n"/>
      <c r="CN40" s="43" t="n"/>
      <c r="CO40" s="43" t="n"/>
      <c r="CP40" s="43" t="inlineStr">
        <is>
          <t>风险管理和内部控制</t>
        </is>
      </c>
      <c r="CQ40" s="43" t="inlineStr">
        <is>
          <t>5,3</t>
        </is>
      </c>
      <c r="CR40" s="43" t="n">
        <v>8</v>
      </c>
      <c r="CS40" s="43" t="inlineStr">
        <is>
          <t>T2</t>
        </is>
      </c>
      <c r="CT40" s="187" t="inlineStr">
        <is>
          <t>N</t>
        </is>
      </c>
      <c r="CU40" s="187" t="n"/>
      <c r="CV40" s="187" t="n"/>
      <c r="CW40" s="1" t="n"/>
      <c r="CX40" s="1" t="n"/>
      <c r="CY40" s="1" t="n"/>
      <c r="CZ40" s="1" t="n"/>
      <c r="DA40" s="1" t="n"/>
      <c r="DB40" s="1" t="n"/>
      <c r="DC40" s="1" t="n"/>
    </row>
    <row r="41" ht="15" customFormat="1" customHeight="1" s="42">
      <c r="A41" s="43" t="inlineStr">
        <is>
          <t>ariaZeng(曾璐莉)</t>
        </is>
      </c>
      <c r="B41" s="43" t="n"/>
      <c r="C41" s="43" t="n">
        <v>88685121</v>
      </c>
      <c r="D41" s="43" t="inlineStr">
        <is>
          <t>财经IT管理部</t>
        </is>
      </c>
      <c r="E41" s="43" t="inlineStr">
        <is>
          <t>业务开发中心</t>
        </is>
      </c>
      <c r="F41" s="43" t="n"/>
      <c r="G41" s="44" t="inlineStr">
        <is>
          <t>S2职能系统－财经线/财经IT管理部/业务开发中心</t>
        </is>
      </c>
      <c r="H41" s="179" t="n">
        <v>36550</v>
      </c>
      <c r="I41" s="43" t="inlineStr">
        <is>
          <t>社会招聘</t>
        </is>
      </c>
      <c r="J41" s="43" t="inlineStr">
        <is>
          <t>技术研发类－TRD</t>
        </is>
      </c>
      <c r="K41" s="43" t="inlineStr">
        <is>
          <t>应用开发</t>
        </is>
      </c>
      <c r="L41" s="46" t="inlineStr">
        <is>
          <t>T11</t>
        </is>
      </c>
      <c r="M41" s="46" t="n"/>
      <c r="N41" s="43" t="inlineStr">
        <is>
          <t>T1</t>
        </is>
      </c>
      <c r="O41" s="43" t="n"/>
      <c r="P41" s="180" t="n"/>
      <c r="Q41" s="44" t="inlineStr">
        <is>
          <t>G,G</t>
        </is>
      </c>
      <c r="R41" s="44" t="n"/>
      <c r="S41" s="43" t="n"/>
      <c r="T41" s="180" t="n"/>
      <c r="U41" s="1" t="n">
        <v>54850.25</v>
      </c>
      <c r="V41" s="108" t="n">
        <v>0.083333</v>
      </c>
      <c r="W41" s="46" t="inlineStr">
        <is>
          <t>CNY</t>
        </is>
      </c>
      <c r="X41" s="181" t="n">
        <v>1</v>
      </c>
      <c r="Y41" s="1" t="n">
        <v>50436.78</v>
      </c>
      <c r="Z41" s="1" t="n">
        <v>0</v>
      </c>
      <c r="AA41" s="1" t="n">
        <v>109700.5</v>
      </c>
      <c r="AB41" s="1" t="n">
        <v>123525</v>
      </c>
      <c r="AC41" s="48" t="n">
        <v>82735</v>
      </c>
      <c r="AD41" s="1" t="n"/>
      <c r="AE41" s="48" t="n"/>
      <c r="AF41" s="1" t="n">
        <v>0</v>
      </c>
      <c r="AG41" s="1" t="n">
        <v>315960.5</v>
      </c>
      <c r="AH41" s="182" t="n">
        <v>6.264485956478586</v>
      </c>
      <c r="AI41" s="1" t="n">
        <v>315960.5</v>
      </c>
      <c r="AJ41" s="183" t="n">
        <v>6.264485956478586</v>
      </c>
      <c r="AK41" s="183" t="n">
        <v>4.624115575974517</v>
      </c>
      <c r="AL41" s="108" t="n"/>
      <c r="AM41" s="183" t="n"/>
      <c r="AN41" s="183" t="n"/>
      <c r="AO41" s="1" t="n"/>
      <c r="AP41" s="48" t="n"/>
      <c r="AQ41" s="1" t="n">
        <v>315960.5</v>
      </c>
      <c r="AR41" s="183" t="n">
        <v>6.264485956478586</v>
      </c>
      <c r="AS41" s="98" t="n">
        <v>0.9478198917070391</v>
      </c>
      <c r="AT41" s="183" t="n"/>
      <c r="AU41" s="1" t="n"/>
      <c r="AV41" s="48" t="n"/>
      <c r="AW41" s="1" t="n"/>
      <c r="AX41" s="48" t="n"/>
      <c r="AY41" s="1" t="n"/>
      <c r="AZ41" s="48" t="n"/>
      <c r="BA41" s="51" t="n"/>
      <c r="BB41" s="180" t="n"/>
      <c r="BC41" s="1" t="n"/>
      <c r="BD41" s="1" t="n"/>
      <c r="BE41" s="180" t="n"/>
      <c r="BF41" s="1" t="n"/>
      <c r="BG41" s="1" t="n"/>
      <c r="BH41" s="1" t="n"/>
      <c r="BI41" s="1" t="n"/>
      <c r="BJ41" s="52" t="n"/>
      <c r="BK41" s="52" t="n"/>
      <c r="BL41" s="184" t="n">
        <v>1</v>
      </c>
      <c r="BM41" s="1" t="n">
        <v>46005</v>
      </c>
      <c r="BN41" s="1" t="n">
        <v>0</v>
      </c>
      <c r="BO41" s="1" t="n">
        <v>47660</v>
      </c>
      <c r="BP41" s="43" t="inlineStr">
        <is>
          <t>O,O</t>
        </is>
      </c>
      <c r="BQ41" s="43" t="inlineStr">
        <is>
          <t>T1</t>
        </is>
      </c>
      <c r="BR41" s="1" t="n">
        <v>255790</v>
      </c>
      <c r="BS41" s="185" t="n">
        <v>5.560047820889034</v>
      </c>
      <c r="BT41" s="1" t="n">
        <v>77565</v>
      </c>
      <c r="BU41" s="1" t="n">
        <v>333355</v>
      </c>
      <c r="BV41" s="54" t="n">
        <v>7.246060210846647</v>
      </c>
      <c r="BW41" s="54" t="n"/>
      <c r="BX41" s="1" t="n"/>
      <c r="BY41" s="1" t="n">
        <v>333355</v>
      </c>
      <c r="BZ41" s="54" t="n">
        <v>7.246060210846647</v>
      </c>
      <c r="CA41" s="54" t="n"/>
      <c r="CB41" s="186" t="n"/>
      <c r="CC41" s="186" t="n"/>
      <c r="CD41" s="186" t="n"/>
      <c r="CE41" s="52" t="n"/>
      <c r="CF41" s="52" t="n"/>
      <c r="CG41" s="43" t="n"/>
      <c r="CH41" s="43" t="n"/>
      <c r="CI41" s="43" t="n"/>
      <c r="CJ41" s="43" t="n"/>
      <c r="CK41" s="43" t="n"/>
      <c r="CL41" s="43" t="n"/>
      <c r="CM41" s="43" t="n"/>
      <c r="CN41" s="43" t="n"/>
      <c r="CO41" s="43" t="n"/>
      <c r="CP41" s="43" t="inlineStr">
        <is>
          <t>财经IT管理部</t>
        </is>
      </c>
      <c r="CQ41" s="43" t="inlineStr">
        <is>
          <t>3,3</t>
        </is>
      </c>
      <c r="CR41" s="43" t="n">
        <v>11</v>
      </c>
      <c r="CS41" s="43" t="inlineStr">
        <is>
          <t>T1</t>
        </is>
      </c>
      <c r="CT41" s="187" t="inlineStr">
        <is>
          <t>N</t>
        </is>
      </c>
      <c r="CU41" s="187" t="n"/>
      <c r="CV41" s="187" t="n"/>
      <c r="CW41" s="1" t="n"/>
      <c r="CX41" s="1" t="n"/>
      <c r="CY41" s="1" t="n"/>
      <c r="CZ41" s="1" t="n"/>
      <c r="DA41" s="1" t="n"/>
      <c r="DB41" s="1" t="n"/>
      <c r="DC41" s="1" t="n"/>
    </row>
    <row r="42" ht="15" customFormat="1" customHeight="1" s="42">
      <c r="A42" s="43" t="inlineStr">
        <is>
          <t>seanShi(施博力)</t>
        </is>
      </c>
      <c r="B42" s="43" t="n"/>
      <c r="C42" s="43" t="n">
        <v>13692542</v>
      </c>
      <c r="D42" s="43" t="inlineStr">
        <is>
          <t>财会及报告管理部</t>
        </is>
      </c>
      <c r="E42" s="43" t="inlineStr">
        <is>
          <t>账务中心</t>
        </is>
      </c>
      <c r="F42" s="43" t="n"/>
      <c r="G42" s="44" t="inlineStr">
        <is>
          <t>S2职能系统－财经线/财会及报告管理部/账务中心</t>
        </is>
      </c>
      <c r="H42" s="179" t="n">
        <v>43674</v>
      </c>
      <c r="I42" s="43" t="inlineStr">
        <is>
          <t>社会招聘</t>
        </is>
      </c>
      <c r="J42" s="43" t="inlineStr">
        <is>
          <t>财经类－FN</t>
        </is>
      </c>
      <c r="K42" s="43" t="inlineStr">
        <is>
          <t>会计</t>
        </is>
      </c>
      <c r="L42" s="46" t="inlineStr">
        <is>
          <t>S6</t>
        </is>
      </c>
      <c r="M42" s="46" t="n"/>
      <c r="N42" s="43" t="inlineStr">
        <is>
          <t>T1#</t>
        </is>
      </c>
      <c r="O42" s="43" t="n"/>
      <c r="P42" s="180" t="n"/>
      <c r="Q42" s="44" t="inlineStr">
        <is>
          <t>G,G</t>
        </is>
      </c>
      <c r="R42" s="44" t="n"/>
      <c r="S42" s="43" t="n"/>
      <c r="T42" s="180" t="n"/>
      <c r="U42" s="1" t="n">
        <v>23356.65</v>
      </c>
      <c r="V42" s="108" t="n">
        <v>0.083333</v>
      </c>
      <c r="W42" s="46" t="inlineStr">
        <is>
          <t>CNY</t>
        </is>
      </c>
      <c r="X42" s="181" t="n">
        <v>1</v>
      </c>
      <c r="Y42" s="1" t="n">
        <v>21832.3</v>
      </c>
      <c r="Z42" s="1" t="n">
        <v>0</v>
      </c>
      <c r="AA42" s="1" t="n">
        <v>46713.3</v>
      </c>
      <c r="AB42" s="1" t="n">
        <v>71115</v>
      </c>
      <c r="AC42" s="48" t="n">
        <v>29115</v>
      </c>
      <c r="AD42" s="1" t="n"/>
      <c r="AE42" s="48" t="n"/>
      <c r="AF42" s="1" t="n">
        <v>0</v>
      </c>
      <c r="AG42" s="1" t="n">
        <v>146943.3</v>
      </c>
      <c r="AH42" s="182" t="n">
        <v>6.730546025842444</v>
      </c>
      <c r="AI42" s="1" t="n">
        <v>146943.3</v>
      </c>
      <c r="AJ42" s="183" t="n">
        <v>6.730546025842444</v>
      </c>
      <c r="AK42" s="183" t="n">
        <v>5.396971459717941</v>
      </c>
      <c r="AL42" s="108" t="n"/>
      <c r="AM42" s="183" t="n"/>
      <c r="AN42" s="183" t="n"/>
      <c r="AO42" s="1" t="n"/>
      <c r="AP42" s="48" t="n"/>
      <c r="AQ42" s="1" t="n">
        <v>146943.3</v>
      </c>
      <c r="AR42" s="183" t="n">
        <v>6.730546025842444</v>
      </c>
      <c r="AS42" s="98" t="n">
        <v>1.122090030926654</v>
      </c>
      <c r="AT42" s="183" t="n"/>
      <c r="AU42" s="1" t="n"/>
      <c r="AV42" s="48" t="n"/>
      <c r="AW42" s="1" t="n"/>
      <c r="AX42" s="48" t="n"/>
      <c r="AY42" s="1" t="n"/>
      <c r="AZ42" s="48" t="n"/>
      <c r="BA42" s="51" t="n"/>
      <c r="BB42" s="180" t="n"/>
      <c r="BC42" s="1" t="n"/>
      <c r="BD42" s="1" t="n"/>
      <c r="BE42" s="180" t="n"/>
      <c r="BF42" s="1" t="n"/>
      <c r="BG42" s="1" t="n"/>
      <c r="BH42" s="1" t="n"/>
      <c r="BI42" s="1" t="n"/>
      <c r="BJ42" s="52" t="n"/>
      <c r="BK42" s="52" t="n"/>
      <c r="BL42" s="184" t="n">
        <v>1</v>
      </c>
      <c r="BM42" s="1" t="n">
        <v>19835</v>
      </c>
      <c r="BN42" s="1" t="n">
        <v>0</v>
      </c>
      <c r="BO42" s="1" t="n">
        <v>20055</v>
      </c>
      <c r="BP42" s="43" t="inlineStr">
        <is>
          <t>G,G</t>
        </is>
      </c>
      <c r="BQ42" s="43" t="inlineStr">
        <is>
          <t>T1#</t>
        </is>
      </c>
      <c r="BR42" s="1" t="n">
        <v>104160</v>
      </c>
      <c r="BS42" s="185" t="n">
        <v>5.251323418200151</v>
      </c>
      <c r="BT42" s="1" t="n">
        <v>26795</v>
      </c>
      <c r="BU42" s="1" t="n">
        <v>130955</v>
      </c>
      <c r="BV42" s="54" t="n">
        <v>6.602218300983111</v>
      </c>
      <c r="BW42" s="54" t="n"/>
      <c r="BX42" s="1" t="n"/>
      <c r="BY42" s="1" t="n">
        <v>130955</v>
      </c>
      <c r="BZ42" s="54" t="n">
        <v>6.602218300983111</v>
      </c>
      <c r="CA42" s="54" t="n"/>
      <c r="CB42" s="186" t="n"/>
      <c r="CC42" s="186" t="n"/>
      <c r="CD42" s="186" t="n"/>
      <c r="CE42" s="52" t="n"/>
      <c r="CF42" s="52" t="n"/>
      <c r="CG42" s="43" t="n"/>
      <c r="CH42" s="43" t="n"/>
      <c r="CI42" s="43" t="n"/>
      <c r="CJ42" s="43" t="n"/>
      <c r="CK42" s="43" t="n"/>
      <c r="CL42" s="43" t="n"/>
      <c r="CM42" s="43" t="n"/>
      <c r="CN42" s="43" t="n"/>
      <c r="CO42" s="43" t="n"/>
      <c r="CP42" s="43" t="inlineStr">
        <is>
          <t>财会及报告管理部</t>
        </is>
      </c>
      <c r="CQ42" s="43" t="inlineStr">
        <is>
          <t>3,3</t>
        </is>
      </c>
      <c r="CR42" s="43" t="n">
        <v>6</v>
      </c>
      <c r="CS42" s="43" t="inlineStr">
        <is>
          <t>T1#</t>
        </is>
      </c>
      <c r="CT42" s="187" t="inlineStr">
        <is>
          <t>N</t>
        </is>
      </c>
      <c r="CU42" s="187" t="n"/>
      <c r="CV42" s="187" t="n"/>
      <c r="CW42" s="1" t="n"/>
      <c r="CX42" s="1" t="n"/>
      <c r="CY42" s="1" t="n"/>
      <c r="CZ42" s="1" t="n"/>
      <c r="DA42" s="1" t="n"/>
      <c r="DB42" s="1" t="n"/>
      <c r="DC42" s="1" t="n"/>
    </row>
    <row r="43" ht="15" customFormat="1" customHeight="1" s="42">
      <c r="A43" s="43" t="inlineStr">
        <is>
          <t>kennethShi(施彪志)</t>
        </is>
      </c>
      <c r="B43" s="43" t="n"/>
      <c r="C43" s="43" t="n">
        <v>83510684</v>
      </c>
      <c r="D43" s="43" t="inlineStr">
        <is>
          <t>FiT财务管理</t>
        </is>
      </c>
      <c r="E43" s="43" t="inlineStr">
        <is>
          <t>业务支持与分析中心</t>
        </is>
      </c>
      <c r="F43" s="43" t="n"/>
      <c r="G43" s="44" t="inlineStr">
        <is>
          <t>S2职能系统－财经线/FiT财务管理/业务支持与分析中心</t>
        </is>
      </c>
      <c r="H43" s="179" t="n">
        <v>37145</v>
      </c>
      <c r="I43" s="43" t="inlineStr">
        <is>
          <t>社会招聘</t>
        </is>
      </c>
      <c r="J43" s="43" t="inlineStr">
        <is>
          <t>财经类－FN</t>
        </is>
      </c>
      <c r="K43" s="43" t="inlineStr">
        <is>
          <t>财务管理</t>
        </is>
      </c>
      <c r="L43" s="46" t="inlineStr">
        <is>
          <t>S6</t>
        </is>
      </c>
      <c r="M43" s="46" t="n"/>
      <c r="N43" s="43" t="inlineStr">
        <is>
          <t>T1#</t>
        </is>
      </c>
      <c r="O43" s="43" t="n"/>
      <c r="P43" s="180" t="n"/>
      <c r="Q43" s="44" t="inlineStr">
        <is>
          <t>G,G</t>
        </is>
      </c>
      <c r="R43" s="44" t="n"/>
      <c r="S43" s="43" t="n"/>
      <c r="T43" s="180" t="n"/>
      <c r="U43" s="1" t="n">
        <v>37008.1</v>
      </c>
      <c r="V43" s="108" t="n">
        <v>0.083333</v>
      </c>
      <c r="W43" s="46" t="inlineStr">
        <is>
          <t>CNY</t>
        </is>
      </c>
      <c r="X43" s="181" t="n">
        <v>1</v>
      </c>
      <c r="Y43" s="1" t="n">
        <v>34065.36</v>
      </c>
      <c r="Z43" s="1" t="n">
        <v>0</v>
      </c>
      <c r="AA43" s="1" t="n">
        <v>74016.2</v>
      </c>
      <c r="AB43" s="1" t="n">
        <v>111945</v>
      </c>
      <c r="AC43" s="48" t="n">
        <v>71085</v>
      </c>
      <c r="AD43" s="1" t="n"/>
      <c r="AE43" s="48" t="n"/>
      <c r="AF43" s="1" t="n">
        <v>0</v>
      </c>
      <c r="AG43" s="1" t="n">
        <v>257046.2</v>
      </c>
      <c r="AH43" s="182" t="n">
        <v>7.545676898761675</v>
      </c>
      <c r="AI43" s="1" t="n">
        <v>257046.2</v>
      </c>
      <c r="AJ43" s="183" t="n">
        <v>7.545676898761675</v>
      </c>
      <c r="AK43" s="183" t="n">
        <v>5.458953024421289</v>
      </c>
      <c r="AL43" s="108" t="n"/>
      <c r="AM43" s="183" t="n"/>
      <c r="AN43" s="183" t="n"/>
      <c r="AO43" s="1" t="n"/>
      <c r="AP43" s="48" t="n"/>
      <c r="AQ43" s="1" t="n">
        <v>257046.2</v>
      </c>
      <c r="AR43" s="183" t="n">
        <v>7.545676898761675</v>
      </c>
      <c r="AS43" s="98" t="n">
        <v>1.067290317223053</v>
      </c>
      <c r="AT43" s="183" t="n"/>
      <c r="AU43" s="1" t="n"/>
      <c r="AV43" s="48" t="n"/>
      <c r="AW43" s="1" t="n"/>
      <c r="AX43" s="48" t="n"/>
      <c r="AY43" s="1" t="n"/>
      <c r="AZ43" s="48" t="n"/>
      <c r="BA43" s="51" t="n"/>
      <c r="BB43" s="180" t="n"/>
      <c r="BC43" s="1" t="n"/>
      <c r="BD43" s="1" t="n"/>
      <c r="BE43" s="180" t="n"/>
      <c r="BF43" s="1" t="n"/>
      <c r="BG43" s="1" t="n"/>
      <c r="BH43" s="1" t="n"/>
      <c r="BI43" s="1" t="n"/>
      <c r="BJ43" s="52" t="n"/>
      <c r="BK43" s="52" t="n"/>
      <c r="BL43" s="184" t="n">
        <v>1</v>
      </c>
      <c r="BM43" s="1" t="n">
        <v>32010</v>
      </c>
      <c r="BN43" s="1" t="n">
        <v>0</v>
      </c>
      <c r="BO43" s="1" t="n">
        <v>32285</v>
      </c>
      <c r="BP43" s="43" t="inlineStr">
        <is>
          <t>O,G</t>
        </is>
      </c>
      <c r="BQ43" s="43" t="inlineStr">
        <is>
          <t>T1#</t>
        </is>
      </c>
      <c r="BR43" s="1" t="n">
        <v>196995</v>
      </c>
      <c r="BS43" s="185" t="n">
        <v>6.154170571696345</v>
      </c>
      <c r="BT43" s="1" t="n">
        <v>43845</v>
      </c>
      <c r="BU43" s="1" t="n">
        <v>240840</v>
      </c>
      <c r="BV43" s="54" t="n">
        <v>7.523898781630741</v>
      </c>
      <c r="BW43" s="54" t="n"/>
      <c r="BX43" s="1" t="n"/>
      <c r="BY43" s="1" t="n">
        <v>240840</v>
      </c>
      <c r="BZ43" s="54" t="n">
        <v>7.523898781630741</v>
      </c>
      <c r="CA43" s="54" t="n"/>
      <c r="CB43" s="186" t="n"/>
      <c r="CC43" s="186" t="n"/>
      <c r="CD43" s="186" t="n"/>
      <c r="CE43" s="52" t="n"/>
      <c r="CF43" s="52" t="n"/>
      <c r="CG43" s="43" t="n"/>
      <c r="CH43" s="43" t="n"/>
      <c r="CI43" s="43" t="n"/>
      <c r="CJ43" s="43" t="n"/>
      <c r="CK43" s="43" t="n"/>
      <c r="CL43" s="43" t="n"/>
      <c r="CM43" s="43" t="n"/>
      <c r="CN43" s="43" t="n"/>
      <c r="CO43" s="43" t="n"/>
      <c r="CP43" s="43" t="inlineStr">
        <is>
          <t>FiT财务管理</t>
        </is>
      </c>
      <c r="CQ43" s="43" t="inlineStr">
        <is>
          <t>3,3</t>
        </is>
      </c>
      <c r="CR43" s="43" t="n">
        <v>6</v>
      </c>
      <c r="CS43" s="43" t="inlineStr">
        <is>
          <t>T1#</t>
        </is>
      </c>
      <c r="CT43" s="187" t="inlineStr">
        <is>
          <t>N</t>
        </is>
      </c>
      <c r="CU43" s="187" t="n"/>
      <c r="CV43" s="187" t="n"/>
      <c r="CW43" s="1" t="n"/>
      <c r="CX43" s="1" t="n"/>
      <c r="CY43" s="1" t="n"/>
      <c r="CZ43" s="1" t="n"/>
      <c r="DA43" s="1" t="n"/>
      <c r="DB43" s="1" t="n"/>
      <c r="DC43" s="1" t="n"/>
    </row>
    <row r="44" ht="15" customFormat="1" customHeight="1" s="42">
      <c r="A44" s="43" t="inlineStr">
        <is>
          <t>dianeGuo(郭怡)</t>
        </is>
      </c>
      <c r="B44" s="43" t="n"/>
      <c r="C44" s="43" t="n">
        <v>34945004</v>
      </c>
      <c r="D44" s="43" t="inlineStr">
        <is>
          <t>CSIG财务管理</t>
        </is>
      </c>
      <c r="E44" s="43" t="inlineStr">
        <is>
          <t>产品财务管理中心</t>
        </is>
      </c>
      <c r="F44" s="43" t="n"/>
      <c r="G44" s="44" t="inlineStr">
        <is>
          <t>S2职能系统－财经线/CSIG财务管理/产品财务管理中心</t>
        </is>
      </c>
      <c r="H44" s="179" t="n">
        <v>40737</v>
      </c>
      <c r="I44" s="43" t="inlineStr">
        <is>
          <t>社会招聘</t>
        </is>
      </c>
      <c r="J44" s="43" t="inlineStr">
        <is>
          <t>财经类－FN</t>
        </is>
      </c>
      <c r="K44" s="43" t="inlineStr">
        <is>
          <t>财务管理</t>
        </is>
      </c>
      <c r="L44" s="46" t="inlineStr">
        <is>
          <t>S5</t>
        </is>
      </c>
      <c r="M44" s="46" t="n"/>
      <c r="N44" s="43" t="inlineStr">
        <is>
          <t>T2</t>
        </is>
      </c>
      <c r="O44" s="43" t="n"/>
      <c r="P44" s="180" t="n"/>
      <c r="Q44" s="44" t="inlineStr">
        <is>
          <t>G,G</t>
        </is>
      </c>
      <c r="R44" s="44" t="n"/>
      <c r="S44" s="43" t="n"/>
      <c r="T44" s="180" t="n"/>
      <c r="U44" s="1" t="n">
        <v>19312.85</v>
      </c>
      <c r="V44" s="108" t="n">
        <v>0.083333</v>
      </c>
      <c r="W44" s="46" t="inlineStr">
        <is>
          <t>CNY</t>
        </is>
      </c>
      <c r="X44" s="181" t="n">
        <v>1</v>
      </c>
      <c r="Y44" s="1" t="n">
        <v>18658.16</v>
      </c>
      <c r="Z44" s="1" t="n">
        <v>0</v>
      </c>
      <c r="AA44" s="1" t="n">
        <v>38625.7</v>
      </c>
      <c r="AB44" s="1" t="n">
        <v>27795</v>
      </c>
      <c r="AC44" s="48" t="n">
        <v>0</v>
      </c>
      <c r="AD44" s="1" t="n"/>
      <c r="AE44" s="48" t="n"/>
      <c r="AF44" s="1" t="n">
        <v>0</v>
      </c>
      <c r="AG44" s="1" t="n">
        <v>66420.7</v>
      </c>
      <c r="AH44" s="182" t="n">
        <v>3.559874071183868</v>
      </c>
      <c r="AI44" s="1" t="n">
        <v>66420.7</v>
      </c>
      <c r="AJ44" s="183" t="n">
        <v>3.559874071183868</v>
      </c>
      <c r="AK44" s="183" t="n">
        <v>3.559874071183868</v>
      </c>
      <c r="AL44" s="108" t="n"/>
      <c r="AM44" s="183" t="n"/>
      <c r="AN44" s="183" t="n"/>
      <c r="AO44" s="1" t="n"/>
      <c r="AP44" s="48" t="n"/>
      <c r="AQ44" s="1" t="n">
        <v>66420.7</v>
      </c>
      <c r="AR44" s="183" t="n">
        <v>3.559874071183868</v>
      </c>
      <c r="AS44" s="98" t="n">
        <v>1.144395244658856</v>
      </c>
      <c r="AT44" s="183" t="n"/>
      <c r="AU44" s="1" t="n"/>
      <c r="AV44" s="48" t="n"/>
      <c r="AW44" s="1" t="n"/>
      <c r="AX44" s="48" t="n"/>
      <c r="AY44" s="1" t="n"/>
      <c r="AZ44" s="48" t="n"/>
      <c r="BA44" s="51" t="n"/>
      <c r="BB44" s="180" t="n"/>
      <c r="BC44" s="1" t="n"/>
      <c r="BD44" s="1" t="n"/>
      <c r="BE44" s="180" t="n"/>
      <c r="BF44" s="1" t="n"/>
      <c r="BG44" s="1" t="n"/>
      <c r="BH44" s="1" t="n"/>
      <c r="BI44" s="1" t="n"/>
      <c r="BJ44" s="52" t="n"/>
      <c r="BK44" s="52" t="n"/>
      <c r="BL44" s="184" t="n">
        <v>1</v>
      </c>
      <c r="BM44" s="1" t="n">
        <v>15915</v>
      </c>
      <c r="BN44" s="1" t="n">
        <v>0</v>
      </c>
      <c r="BO44" s="1" t="n">
        <v>17085</v>
      </c>
      <c r="BP44" s="43" t="inlineStr">
        <is>
          <t>G,G</t>
        </is>
      </c>
      <c r="BQ44" s="43" t="inlineStr">
        <is>
          <t>T2</t>
        </is>
      </c>
      <c r="BR44" s="1" t="n">
        <v>58040</v>
      </c>
      <c r="BS44" s="185" t="n">
        <v>3.646874018221803</v>
      </c>
      <c r="BT44" s="1" t="n">
        <v>0</v>
      </c>
      <c r="BU44" s="1" t="n">
        <v>58040</v>
      </c>
      <c r="BV44" s="54" t="n">
        <v>3.646874018221803</v>
      </c>
      <c r="BW44" s="54" t="n"/>
      <c r="BX44" s="1" t="n"/>
      <c r="BY44" s="1" t="n">
        <v>58040</v>
      </c>
      <c r="BZ44" s="54" t="n">
        <v>3.646874018221803</v>
      </c>
      <c r="CA44" s="54" t="n"/>
      <c r="CB44" s="186" t="n"/>
      <c r="CC44" s="186" t="n"/>
      <c r="CD44" s="186" t="n"/>
      <c r="CE44" s="52" t="n"/>
      <c r="CF44" s="52" t="n"/>
      <c r="CG44" s="43" t="n"/>
      <c r="CH44" s="43" t="n"/>
      <c r="CI44" s="43" t="n"/>
      <c r="CJ44" s="43" t="n"/>
      <c r="CK44" s="43" t="n"/>
      <c r="CL44" s="43" t="n"/>
      <c r="CM44" s="43" t="n"/>
      <c r="CN44" s="43" t="n"/>
      <c r="CO44" s="43" t="n"/>
      <c r="CP44" s="43" t="inlineStr">
        <is>
          <t>CSIG财务管理</t>
        </is>
      </c>
      <c r="CQ44" s="43" t="inlineStr">
        <is>
          <t>3,3</t>
        </is>
      </c>
      <c r="CR44" s="43" t="n">
        <v>5</v>
      </c>
      <c r="CS44" s="43" t="inlineStr">
        <is>
          <t>T2</t>
        </is>
      </c>
      <c r="CT44" s="187" t="inlineStr">
        <is>
          <t>N</t>
        </is>
      </c>
      <c r="CU44" s="187" t="n"/>
      <c r="CV44" s="187" t="n"/>
      <c r="CW44" s="1" t="n"/>
      <c r="CX44" s="1" t="n"/>
      <c r="CY44" s="1" t="n"/>
      <c r="CZ44" s="1" t="n"/>
      <c r="DA44" s="1" t="n"/>
      <c r="DB44" s="1" t="n"/>
      <c r="DC44" s="1" t="n"/>
    </row>
    <row r="45" ht="15" customFormat="1" customHeight="1" s="42">
      <c r="A45" s="43" t="inlineStr">
        <is>
          <t>geraldJiang(江立)</t>
        </is>
      </c>
      <c r="B45" s="43" t="n"/>
      <c r="C45" s="43" t="n">
        <v>47476377</v>
      </c>
      <c r="D45" s="43" t="inlineStr">
        <is>
          <t>财经投资并购及管理部</t>
        </is>
      </c>
      <c r="E45" s="43" t="inlineStr">
        <is>
          <t>财经投资并购及管理部</t>
        </is>
      </c>
      <c r="F45" s="43" t="n"/>
      <c r="G45" s="44" t="inlineStr">
        <is>
          <t>S2职能系统－财经线/财经投资并购及管理部</t>
        </is>
      </c>
      <c r="H45" s="179" t="n">
        <v>39276</v>
      </c>
      <c r="I45" s="43" t="inlineStr">
        <is>
          <t>高校招聘</t>
        </is>
      </c>
      <c r="J45" s="43" t="inlineStr">
        <is>
          <t>财经类－FN</t>
        </is>
      </c>
      <c r="K45" s="43" t="inlineStr">
        <is>
          <t>投资并购</t>
        </is>
      </c>
      <c r="L45" s="46" t="inlineStr">
        <is>
          <t>S9</t>
        </is>
      </c>
      <c r="M45" s="46" t="n"/>
      <c r="N45" s="43" t="inlineStr">
        <is>
          <t>T2</t>
        </is>
      </c>
      <c r="O45" s="43" t="n"/>
      <c r="P45" s="180" t="n"/>
      <c r="Q45" s="44" t="inlineStr">
        <is>
          <t>G,G</t>
        </is>
      </c>
      <c r="R45" s="44" t="n"/>
      <c r="S45" s="43" t="n"/>
      <c r="T45" s="180" t="n"/>
      <c r="U45" s="1" t="n">
        <v>42167.25</v>
      </c>
      <c r="V45" s="108" t="n">
        <v>0.083333</v>
      </c>
      <c r="W45" s="46" t="inlineStr">
        <is>
          <t>CNY</t>
        </is>
      </c>
      <c r="X45" s="181" t="n">
        <v>1</v>
      </c>
      <c r="Y45" s="1" t="n">
        <v>41478.02</v>
      </c>
      <c r="Z45" s="1" t="n">
        <v>0</v>
      </c>
      <c r="AA45" s="1" t="n">
        <v>84334.5</v>
      </c>
      <c r="AB45" s="1" t="n">
        <v>52235</v>
      </c>
      <c r="AC45" s="48" t="n">
        <v>0</v>
      </c>
      <c r="AD45" s="1" t="n"/>
      <c r="AE45" s="48" t="n"/>
      <c r="AF45" s="1" t="n">
        <v>0</v>
      </c>
      <c r="AG45" s="1" t="n">
        <v>136569.5</v>
      </c>
      <c r="AH45" s="182" t="n">
        <v>3.292575200069821</v>
      </c>
      <c r="AI45" s="1" t="n">
        <v>136569.5</v>
      </c>
      <c r="AJ45" s="183" t="n">
        <v>3.292575200069821</v>
      </c>
      <c r="AK45" s="183" t="n">
        <v>3.292575200069821</v>
      </c>
      <c r="AL45" s="108" t="n"/>
      <c r="AM45" s="183" t="n"/>
      <c r="AN45" s="183" t="n"/>
      <c r="AO45" s="1" t="n"/>
      <c r="AP45" s="48" t="n"/>
      <c r="AQ45" s="1" t="n">
        <v>136569.5</v>
      </c>
      <c r="AR45" s="183" t="n">
        <v>3.292575200069821</v>
      </c>
      <c r="AS45" s="98" t="n">
        <v>0.9049131990458521</v>
      </c>
      <c r="AT45" s="183" t="n"/>
      <c r="AU45" s="1" t="n"/>
      <c r="AV45" s="48" t="n"/>
      <c r="AW45" s="1" t="n"/>
      <c r="AX45" s="48" t="n"/>
      <c r="AY45" s="1" t="n"/>
      <c r="AZ45" s="48" t="n"/>
      <c r="BA45" s="51" t="n"/>
      <c r="BB45" s="180" t="n"/>
      <c r="BC45" s="1" t="n"/>
      <c r="BD45" s="1" t="n"/>
      <c r="BE45" s="180" t="n"/>
      <c r="BF45" s="1" t="n"/>
      <c r="BG45" s="1" t="n"/>
      <c r="BH45" s="1" t="n"/>
      <c r="BI45" s="1" t="n"/>
      <c r="BJ45" s="52" t="n"/>
      <c r="BK45" s="52" t="n"/>
      <c r="BL45" s="184" t="n">
        <v>1</v>
      </c>
      <c r="BM45" s="1" t="n">
        <v>36430</v>
      </c>
      <c r="BN45" s="1" t="n">
        <v>0</v>
      </c>
      <c r="BO45" s="1" t="n">
        <v>36930</v>
      </c>
      <c r="BP45" s="43" t="inlineStr">
        <is>
          <t>G,O</t>
        </is>
      </c>
      <c r="BQ45" s="43" t="inlineStr">
        <is>
          <t>T2</t>
        </is>
      </c>
      <c r="BR45" s="1" t="n">
        <v>150920</v>
      </c>
      <c r="BS45" s="185" t="n">
        <v>4.142739500411748</v>
      </c>
      <c r="BT45" s="1" t="n">
        <v>0</v>
      </c>
      <c r="BU45" s="1" t="n">
        <v>150920</v>
      </c>
      <c r="BV45" s="54" t="n">
        <v>4.142739500411748</v>
      </c>
      <c r="BW45" s="54" t="n"/>
      <c r="BX45" s="1" t="n"/>
      <c r="BY45" s="1" t="n">
        <v>150920</v>
      </c>
      <c r="BZ45" s="54" t="n">
        <v>4.142739500411748</v>
      </c>
      <c r="CA45" s="54" t="n"/>
      <c r="CB45" s="186" t="n"/>
      <c r="CC45" s="186" t="n"/>
      <c r="CD45" s="186" t="n"/>
      <c r="CE45" s="52" t="n"/>
      <c r="CF45" s="52" t="n"/>
      <c r="CG45" s="43" t="n"/>
      <c r="CH45" s="43" t="n"/>
      <c r="CI45" s="43" t="n"/>
      <c r="CJ45" s="43" t="n"/>
      <c r="CK45" s="43" t="n"/>
      <c r="CL45" s="43" t="n"/>
      <c r="CM45" s="43" t="n"/>
      <c r="CN45" s="43" t="n"/>
      <c r="CO45" s="43" t="n"/>
      <c r="CP45" s="43" t="inlineStr">
        <is>
          <t>财经投资并购及管理部</t>
        </is>
      </c>
      <c r="CQ45" s="43" t="inlineStr">
        <is>
          <t>3,3</t>
        </is>
      </c>
      <c r="CR45" s="43" t="n">
        <v>9</v>
      </c>
      <c r="CS45" s="43" t="inlineStr">
        <is>
          <t>T2</t>
        </is>
      </c>
      <c r="CT45" s="187" t="inlineStr">
        <is>
          <t>N</t>
        </is>
      </c>
      <c r="CU45" s="187" t="n"/>
      <c r="CV45" s="187" t="n"/>
      <c r="CW45" s="1" t="n"/>
      <c r="CX45" s="1" t="n"/>
      <c r="CY45" s="1" t="n"/>
      <c r="CZ45" s="1" t="n"/>
      <c r="DA45" s="1" t="n"/>
      <c r="DB45" s="1" t="n"/>
      <c r="DC45" s="1" t="n"/>
    </row>
    <row r="46" ht="15" customFormat="1" customHeight="1" s="42">
      <c r="A46" s="43" t="inlineStr">
        <is>
          <t>samanthaLu(卢娇)</t>
        </is>
      </c>
      <c r="B46" s="43" t="n"/>
      <c r="C46" s="43" t="n">
        <v>16699560</v>
      </c>
      <c r="D46" s="43" t="inlineStr">
        <is>
          <t>CDG财务管理</t>
        </is>
      </c>
      <c r="E46" s="43" t="inlineStr">
        <is>
          <t>综合财务管理中心</t>
        </is>
      </c>
      <c r="F46" s="43" t="n"/>
      <c r="G46" s="44" t="inlineStr">
        <is>
          <t>S2职能系统－财经线/CDG财务管理/综合财务管理中心</t>
        </is>
      </c>
      <c r="H46" s="179" t="n">
        <v>40499</v>
      </c>
      <c r="I46" s="43" t="inlineStr">
        <is>
          <t>社会招聘</t>
        </is>
      </c>
      <c r="J46" s="43" t="inlineStr">
        <is>
          <t>财经类－FN</t>
        </is>
      </c>
      <c r="K46" s="43" t="inlineStr">
        <is>
          <t>财务管理</t>
        </is>
      </c>
      <c r="L46" s="46" t="inlineStr">
        <is>
          <t>S9</t>
        </is>
      </c>
      <c r="M46" s="46" t="n"/>
      <c r="N46" s="43" t="inlineStr">
        <is>
          <t>T2</t>
        </is>
      </c>
      <c r="O46" s="43" t="n"/>
      <c r="P46" s="180" t="n"/>
      <c r="Q46" s="44" t="inlineStr">
        <is>
          <t>G,G</t>
        </is>
      </c>
      <c r="R46" s="44" t="n"/>
      <c r="S46" s="43" t="n"/>
      <c r="T46" s="180" t="n"/>
      <c r="U46" s="1" t="n">
        <v>52890.75</v>
      </c>
      <c r="V46" s="108" t="n">
        <v>0.083333</v>
      </c>
      <c r="W46" s="46" t="inlineStr">
        <is>
          <t>CNY</t>
        </is>
      </c>
      <c r="X46" s="181" t="n">
        <v>1</v>
      </c>
      <c r="Y46" s="1" t="n">
        <v>52143.33</v>
      </c>
      <c r="Z46" s="1" t="n">
        <v>0</v>
      </c>
      <c r="AA46" s="1" t="n">
        <v>105781.5</v>
      </c>
      <c r="AB46" s="1" t="n">
        <v>71240</v>
      </c>
      <c r="AC46" s="48" t="n">
        <v>0</v>
      </c>
      <c r="AD46" s="1" t="n"/>
      <c r="AE46" s="48" t="n"/>
      <c r="AF46" s="1" t="n">
        <v>0</v>
      </c>
      <c r="AG46" s="1" t="n">
        <v>177021.5</v>
      </c>
      <c r="AH46" s="182" t="n">
        <v>3.394902090065977</v>
      </c>
      <c r="AI46" s="1" t="n">
        <v>177021.5</v>
      </c>
      <c r="AJ46" s="183" t="n">
        <v>3.394902090065977</v>
      </c>
      <c r="AK46" s="183" t="n">
        <v>3.394902090065977</v>
      </c>
      <c r="AL46" s="108" t="n"/>
      <c r="AM46" s="183" t="n"/>
      <c r="AN46" s="183" t="n"/>
      <c r="AO46" s="1" t="n"/>
      <c r="AP46" s="48" t="n"/>
      <c r="AQ46" s="1" t="n">
        <v>177021.5</v>
      </c>
      <c r="AR46" s="183" t="n">
        <v>3.394902090065977</v>
      </c>
      <c r="AS46" s="98" t="n">
        <v>0.8877485519420275</v>
      </c>
      <c r="AT46" s="183" t="n"/>
      <c r="AU46" s="1" t="n"/>
      <c r="AV46" s="48" t="n"/>
      <c r="AW46" s="1" t="n"/>
      <c r="AX46" s="48" t="n"/>
      <c r="AY46" s="1" t="n"/>
      <c r="AZ46" s="48" t="n"/>
      <c r="BA46" s="51" t="n"/>
      <c r="BB46" s="180" t="n"/>
      <c r="BC46" s="1" t="n"/>
      <c r="BD46" s="1" t="n"/>
      <c r="BE46" s="180" t="n"/>
      <c r="BF46" s="1" t="n"/>
      <c r="BG46" s="1" t="n"/>
      <c r="BH46" s="1" t="n"/>
      <c r="BI46" s="1" t="n"/>
      <c r="BJ46" s="52" t="n"/>
      <c r="BK46" s="52" t="n"/>
      <c r="BL46" s="184" t="n">
        <v>1</v>
      </c>
      <c r="BM46" s="1" t="n">
        <v>47065</v>
      </c>
      <c r="BN46" s="1" t="n">
        <v>0</v>
      </c>
      <c r="BO46" s="1" t="n">
        <v>47475</v>
      </c>
      <c r="BP46" s="43" t="inlineStr">
        <is>
          <t>O,G</t>
        </is>
      </c>
      <c r="BQ46" s="43" t="inlineStr">
        <is>
          <t>T2</t>
        </is>
      </c>
      <c r="BR46" s="1" t="n">
        <v>199405</v>
      </c>
      <c r="BS46" s="185" t="n">
        <v>4.23680016997769</v>
      </c>
      <c r="BT46" s="1" t="n">
        <v>0</v>
      </c>
      <c r="BU46" s="1" t="n">
        <v>199405</v>
      </c>
      <c r="BV46" s="54" t="n">
        <v>4.23680016997769</v>
      </c>
      <c r="BW46" s="54" t="n"/>
      <c r="BX46" s="1" t="n"/>
      <c r="BY46" s="1" t="n">
        <v>199405</v>
      </c>
      <c r="BZ46" s="54" t="n">
        <v>4.23680016997769</v>
      </c>
      <c r="CA46" s="54" t="n"/>
      <c r="CB46" s="186" t="n"/>
      <c r="CC46" s="186" t="n"/>
      <c r="CD46" s="186" t="n"/>
      <c r="CE46" s="52" t="n"/>
      <c r="CF46" s="52" t="n"/>
      <c r="CG46" s="43" t="n"/>
      <c r="CH46" s="43" t="n"/>
      <c r="CI46" s="43" t="n"/>
      <c r="CJ46" s="43" t="n"/>
      <c r="CK46" s="43" t="n"/>
      <c r="CL46" s="43" t="n"/>
      <c r="CM46" s="43" t="n"/>
      <c r="CN46" s="43" t="n"/>
      <c r="CO46" s="43" t="n"/>
      <c r="CP46" s="43" t="inlineStr">
        <is>
          <t>CDG财务管理</t>
        </is>
      </c>
      <c r="CQ46" s="43" t="inlineStr">
        <is>
          <t>3,3</t>
        </is>
      </c>
      <c r="CR46" s="43" t="n">
        <v>9</v>
      </c>
      <c r="CS46" s="43" t="inlineStr">
        <is>
          <t>T2</t>
        </is>
      </c>
      <c r="CT46" s="187" t="inlineStr">
        <is>
          <t>N</t>
        </is>
      </c>
      <c r="CU46" s="187" t="n"/>
      <c r="CV46" s="187" t="n"/>
      <c r="CW46" s="1" t="n"/>
      <c r="CX46" s="1" t="n"/>
      <c r="CY46" s="1" t="n"/>
      <c r="CZ46" s="1" t="n"/>
      <c r="DA46" s="1" t="n"/>
      <c r="DB46" s="1" t="n"/>
      <c r="DC46" s="1" t="n"/>
    </row>
    <row r="47" ht="15" customFormat="1" customHeight="1" s="42">
      <c r="A47" s="43" t="inlineStr">
        <is>
          <t>amandaHuang(黄琪)</t>
        </is>
      </c>
      <c r="B47" s="43" t="n"/>
      <c r="C47" s="43" t="n">
        <v>53009758</v>
      </c>
      <c r="D47" s="43" t="inlineStr">
        <is>
          <t>应收账款管理中心</t>
        </is>
      </c>
      <c r="E47" s="43" t="inlineStr">
        <is>
          <t>应收管理1组</t>
        </is>
      </c>
      <c r="F47" s="43" t="n"/>
      <c r="G47" s="44" t="inlineStr">
        <is>
          <t>S2职能系统－财经线/应收账款管理中心/应收管理1组</t>
        </is>
      </c>
      <c r="H47" s="179" t="n">
        <v>42236</v>
      </c>
      <c r="I47" s="43" t="inlineStr">
        <is>
          <t>社会招聘</t>
        </is>
      </c>
      <c r="J47" s="43" t="inlineStr">
        <is>
          <t>财经类－FN</t>
        </is>
      </c>
      <c r="K47" s="43" t="inlineStr">
        <is>
          <t>会计</t>
        </is>
      </c>
      <c r="L47" s="46" t="inlineStr">
        <is>
          <t>S9</t>
        </is>
      </c>
      <c r="M47" s="46" t="n"/>
      <c r="N47" s="43" t="inlineStr">
        <is>
          <t>T2</t>
        </is>
      </c>
      <c r="O47" s="43" t="n"/>
      <c r="P47" s="180" t="n"/>
      <c r="Q47" s="44" t="inlineStr">
        <is>
          <t>G,G</t>
        </is>
      </c>
      <c r="R47" s="44" t="n"/>
      <c r="S47" s="43" t="n"/>
      <c r="T47" s="180" t="n"/>
      <c r="U47" s="1" t="n">
        <v>40910.55</v>
      </c>
      <c r="V47" s="108" t="n">
        <v>0.083333</v>
      </c>
      <c r="W47" s="46" t="inlineStr">
        <is>
          <t>CNY</t>
        </is>
      </c>
      <c r="X47" s="181" t="n">
        <v>1</v>
      </c>
      <c r="Y47" s="1" t="n">
        <v>38691.58</v>
      </c>
      <c r="Z47" s="1" t="n">
        <v>0</v>
      </c>
      <c r="AA47" s="1" t="n">
        <v>81821.10000000001</v>
      </c>
      <c r="AB47" s="1" t="n">
        <v>44380</v>
      </c>
      <c r="AC47" s="48" t="n">
        <v>0</v>
      </c>
      <c r="AD47" s="1" t="n"/>
      <c r="AE47" s="48" t="n"/>
      <c r="AF47" s="1" t="n">
        <v>0</v>
      </c>
      <c r="AG47" s="1" t="n">
        <v>126201.1</v>
      </c>
      <c r="AH47" s="182" t="n">
        <v>3.261719991791496</v>
      </c>
      <c r="AI47" s="1" t="n">
        <v>126201.1</v>
      </c>
      <c r="AJ47" s="183" t="n">
        <v>3.261719991791496</v>
      </c>
      <c r="AK47" s="183" t="n">
        <v>3.261719991791496</v>
      </c>
      <c r="AL47" s="108" t="n"/>
      <c r="AM47" s="183" t="n"/>
      <c r="AN47" s="183" t="n"/>
      <c r="AO47" s="1" t="n"/>
      <c r="AP47" s="48" t="n"/>
      <c r="AQ47" s="1" t="n">
        <v>126201.1</v>
      </c>
      <c r="AR47" s="183" t="n">
        <v>3.261719991791496</v>
      </c>
      <c r="AS47" s="98" t="n">
        <v>1.020219078415521</v>
      </c>
      <c r="AT47" s="183" t="n"/>
      <c r="AU47" s="1" t="n"/>
      <c r="AV47" s="48" t="n"/>
      <c r="AW47" s="1" t="n"/>
      <c r="AX47" s="48" t="n"/>
      <c r="AY47" s="1" t="n"/>
      <c r="AZ47" s="48" t="n"/>
      <c r="BA47" s="51" t="n"/>
      <c r="BB47" s="180" t="n"/>
      <c r="BC47" s="1" t="n"/>
      <c r="BD47" s="1" t="n"/>
      <c r="BE47" s="180" t="n"/>
      <c r="BF47" s="1" t="n"/>
      <c r="BG47" s="1" t="n"/>
      <c r="BH47" s="1" t="n"/>
      <c r="BI47" s="1" t="n"/>
      <c r="BJ47" s="52" t="n"/>
      <c r="BK47" s="52" t="n"/>
      <c r="BL47" s="184" t="n">
        <v>1</v>
      </c>
      <c r="BM47" s="1" t="n">
        <v>36280</v>
      </c>
      <c r="BN47" s="1" t="n">
        <v>0</v>
      </c>
      <c r="BO47" s="1" t="n">
        <v>39725</v>
      </c>
      <c r="BP47" s="43" t="inlineStr">
        <is>
          <t>G,G</t>
        </is>
      </c>
      <c r="BQ47" s="43" t="inlineStr">
        <is>
          <t>T2</t>
        </is>
      </c>
      <c r="BR47" s="1" t="n">
        <v>123700</v>
      </c>
      <c r="BS47" s="185" t="n">
        <v>3.409592061742007</v>
      </c>
      <c r="BT47" s="1" t="n">
        <v>0</v>
      </c>
      <c r="BU47" s="1" t="n">
        <v>123700</v>
      </c>
      <c r="BV47" s="54" t="n">
        <v>3.409592061742007</v>
      </c>
      <c r="BW47" s="54" t="n"/>
      <c r="BX47" s="1" t="n"/>
      <c r="BY47" s="1" t="n">
        <v>123700</v>
      </c>
      <c r="BZ47" s="54" t="n">
        <v>3.409592061742007</v>
      </c>
      <c r="CA47" s="54" t="n"/>
      <c r="CB47" s="186" t="n"/>
      <c r="CC47" s="186" t="n"/>
      <c r="CD47" s="186" t="n"/>
      <c r="CE47" s="52" t="n"/>
      <c r="CF47" s="52" t="n"/>
      <c r="CG47" s="43" t="n"/>
      <c r="CH47" s="43" t="n"/>
      <c r="CI47" s="43" t="n"/>
      <c r="CJ47" s="43" t="n"/>
      <c r="CK47" s="43" t="n"/>
      <c r="CL47" s="43" t="n"/>
      <c r="CM47" s="43" t="n"/>
      <c r="CN47" s="43" t="n"/>
      <c r="CO47" s="43" t="n"/>
      <c r="CP47" s="43" t="inlineStr">
        <is>
          <t>应收账款管理中心</t>
        </is>
      </c>
      <c r="CQ47" s="43" t="inlineStr">
        <is>
          <t>3,3</t>
        </is>
      </c>
      <c r="CR47" s="43" t="n">
        <v>9</v>
      </c>
      <c r="CS47" s="43" t="inlineStr">
        <is>
          <t>T2</t>
        </is>
      </c>
      <c r="CT47" s="187" t="inlineStr">
        <is>
          <t>N</t>
        </is>
      </c>
      <c r="CU47" s="187" t="n"/>
      <c r="CV47" s="187" t="n"/>
      <c r="CW47" s="1" t="n"/>
      <c r="CX47" s="1" t="n"/>
      <c r="CY47" s="1" t="n"/>
      <c r="CZ47" s="1" t="n"/>
      <c r="DA47" s="1" t="n"/>
      <c r="DB47" s="1" t="n"/>
      <c r="DC47" s="1" t="n"/>
    </row>
    <row r="48" ht="15" customFormat="1" customHeight="1" s="42">
      <c r="A48" s="43" t="inlineStr">
        <is>
          <t>rebeccaQin(秦娟茜)</t>
        </is>
      </c>
      <c r="B48" s="43" t="n"/>
      <c r="C48" s="43" t="n">
        <v>73675670</v>
      </c>
      <c r="D48" s="43" t="inlineStr">
        <is>
          <t>可持续社会价值事业部财务管理</t>
        </is>
      </c>
      <c r="E48" s="43" t="inlineStr">
        <is>
          <t>可持续社会价值事业部财务管理</t>
        </is>
      </c>
      <c r="F48" s="43" t="n"/>
      <c r="G48" s="44" t="inlineStr">
        <is>
          <t>S2职能系统－财经线/可持续社会价值事业部财务管理</t>
        </is>
      </c>
      <c r="H48" s="179" t="n">
        <v>42222</v>
      </c>
      <c r="I48" s="43" t="inlineStr">
        <is>
          <t>高校招聘</t>
        </is>
      </c>
      <c r="J48" s="43" t="inlineStr">
        <is>
          <t>财经类－FN</t>
        </is>
      </c>
      <c r="K48" s="43" t="inlineStr">
        <is>
          <t>财务管理</t>
        </is>
      </c>
      <c r="L48" s="46" t="inlineStr">
        <is>
          <t>S12</t>
        </is>
      </c>
      <c r="M48" s="46" t="inlineStr">
        <is>
          <t>L1-2</t>
        </is>
      </c>
      <c r="N48" s="43" t="inlineStr">
        <is>
          <t>T1#</t>
        </is>
      </c>
      <c r="O48" s="43" t="n"/>
      <c r="P48" s="180" t="n"/>
      <c r="Q48" s="44" t="inlineStr">
        <is>
          <t>G,O</t>
        </is>
      </c>
      <c r="R48" s="44" t="n"/>
      <c r="S48" s="43" t="n"/>
      <c r="T48" s="180" t="n"/>
      <c r="U48" s="1" t="n">
        <v>74713.14999999999</v>
      </c>
      <c r="V48" s="108" t="n">
        <v>0.083333</v>
      </c>
      <c r="W48" s="46" t="inlineStr">
        <is>
          <t>CNY</t>
        </is>
      </c>
      <c r="X48" s="181" t="n">
        <v>1</v>
      </c>
      <c r="Y48" s="1" t="n">
        <v>73759.27</v>
      </c>
      <c r="Z48" s="1" t="n">
        <v>0</v>
      </c>
      <c r="AA48" s="1" t="n">
        <v>224139.45</v>
      </c>
      <c r="AB48" s="1" t="n">
        <v>225785</v>
      </c>
      <c r="AC48" s="48" t="n">
        <v>105815</v>
      </c>
      <c r="AD48" s="1" t="n"/>
      <c r="AE48" s="48" t="n"/>
      <c r="AF48" s="1" t="n">
        <v>15650</v>
      </c>
      <c r="AG48" s="1" t="n">
        <v>555739.45</v>
      </c>
      <c r="AH48" s="182" t="n">
        <v>7.534503120760277</v>
      </c>
      <c r="AI48" s="1" t="n">
        <v>571389.45</v>
      </c>
      <c r="AJ48" s="183" t="n">
        <v>7.74667984105591</v>
      </c>
      <c r="AK48" s="183" t="n">
        <v>6.312080501881323</v>
      </c>
      <c r="AL48" s="108" t="n"/>
      <c r="AM48" s="183" t="n"/>
      <c r="AN48" s="183" t="n"/>
      <c r="AO48" s="1" t="n"/>
      <c r="AP48" s="48" t="n"/>
      <c r="AQ48" s="1" t="n">
        <v>571389.45</v>
      </c>
      <c r="AR48" s="183" t="n">
        <v>7.74667984105591</v>
      </c>
      <c r="AS48" s="98" t="n">
        <v>1.090708477293985</v>
      </c>
      <c r="AT48" s="183" t="n"/>
      <c r="AU48" s="1" t="n"/>
      <c r="AV48" s="48" t="n"/>
      <c r="AW48" s="1" t="n"/>
      <c r="AX48" s="48" t="n"/>
      <c r="AY48" s="1" t="n"/>
      <c r="AZ48" s="48" t="n"/>
      <c r="BA48" s="51" t="n"/>
      <c r="BB48" s="180" t="n"/>
      <c r="BC48" s="1" t="n"/>
      <c r="BD48" s="1" t="n"/>
      <c r="BE48" s="180" t="n"/>
      <c r="BF48" s="1" t="n"/>
      <c r="BG48" s="1" t="n"/>
      <c r="BH48" s="1" t="n"/>
      <c r="BI48" s="1" t="n"/>
      <c r="BJ48" s="52" t="n"/>
      <c r="BK48" s="52" t="n"/>
      <c r="BL48" s="184" t="n">
        <v>1</v>
      </c>
      <c r="BM48" s="1" t="n">
        <v>66850</v>
      </c>
      <c r="BN48" s="1" t="n">
        <v>0</v>
      </c>
      <c r="BO48" s="1" t="n">
        <v>70875</v>
      </c>
      <c r="BP48" s="43" t="inlineStr">
        <is>
          <t>O,G</t>
        </is>
      </c>
      <c r="BQ48" s="43" t="inlineStr">
        <is>
          <t>T1#</t>
        </is>
      </c>
      <c r="BR48" s="1" t="n">
        <v>429750</v>
      </c>
      <c r="BS48" s="185" t="n">
        <v>6.428571428571429</v>
      </c>
      <c r="BT48" s="1" t="n">
        <v>94120</v>
      </c>
      <c r="BU48" s="1" t="n">
        <v>523870</v>
      </c>
      <c r="BV48" s="54" t="n">
        <v>7.836499626028422</v>
      </c>
      <c r="BW48" s="54" t="n"/>
      <c r="BX48" s="1" t="n"/>
      <c r="BY48" s="1" t="n">
        <v>523870</v>
      </c>
      <c r="BZ48" s="54" t="n">
        <v>7.836499626028422</v>
      </c>
      <c r="CA48" s="54" t="n"/>
      <c r="CB48" s="186" t="n"/>
      <c r="CC48" s="186" t="n"/>
      <c r="CD48" s="186" t="n"/>
      <c r="CE48" s="52" t="n"/>
      <c r="CF48" s="52" t="n"/>
      <c r="CG48" s="43" t="n"/>
      <c r="CH48" s="43" t="n"/>
      <c r="CI48" s="43" t="n"/>
      <c r="CJ48" s="43" t="n"/>
      <c r="CK48" s="43" t="n"/>
      <c r="CL48" s="43" t="n"/>
      <c r="CM48" s="43" t="n"/>
      <c r="CN48" s="43" t="n"/>
      <c r="CO48" s="43" t="n"/>
      <c r="CP48" s="43" t="inlineStr">
        <is>
          <t>可持续社会价值事业部财务管理</t>
        </is>
      </c>
      <c r="CQ48" s="43" t="inlineStr">
        <is>
          <t>5,3</t>
        </is>
      </c>
      <c r="CR48" s="43" t="n">
        <v>12</v>
      </c>
      <c r="CS48" s="43" t="inlineStr">
        <is>
          <t>T1#</t>
        </is>
      </c>
      <c r="CT48" s="187" t="inlineStr">
        <is>
          <t>N</t>
        </is>
      </c>
      <c r="CU48" s="187" t="n"/>
      <c r="CV48" s="187" t="n"/>
      <c r="CW48" s="1" t="n"/>
      <c r="CX48" s="1" t="n"/>
      <c r="CY48" s="1" t="n"/>
      <c r="CZ48" s="1" t="n"/>
      <c r="DA48" s="1" t="n"/>
      <c r="DB48" s="1" t="n"/>
      <c r="DC48" s="1" t="n"/>
    </row>
    <row r="49" ht="15" customFormat="1" customHeight="1" s="42">
      <c r="A49" s="43" t="inlineStr">
        <is>
          <t>stephenGao(高霖)</t>
        </is>
      </c>
      <c r="B49" s="43" t="n"/>
      <c r="C49" s="43" t="n">
        <v>90270227</v>
      </c>
      <c r="D49" s="43" t="inlineStr">
        <is>
          <t>董事会办公室</t>
        </is>
      </c>
      <c r="E49" s="43" t="inlineStr">
        <is>
          <t>董事会办公室</t>
        </is>
      </c>
      <c r="F49" s="43" t="n"/>
      <c r="G49" s="44" t="inlineStr">
        <is>
          <t>S2职能系统－财经线/董事会办公室</t>
        </is>
      </c>
      <c r="H49" s="179" t="n">
        <v>37912</v>
      </c>
      <c r="I49" s="43" t="inlineStr">
        <is>
          <t>社会招聘</t>
        </is>
      </c>
      <c r="J49" s="43" t="inlineStr">
        <is>
          <t>财经类－FN</t>
        </is>
      </c>
      <c r="K49" s="43" t="inlineStr">
        <is>
          <t>公司秘书</t>
        </is>
      </c>
      <c r="L49" s="46" t="inlineStr">
        <is>
          <t>S10</t>
        </is>
      </c>
      <c r="M49" s="46" t="n"/>
      <c r="N49" s="43" t="inlineStr">
        <is>
          <t>T1#</t>
        </is>
      </c>
      <c r="O49" s="43" t="n"/>
      <c r="P49" s="180" t="n"/>
      <c r="Q49" s="44" t="inlineStr">
        <is>
          <t>G,G</t>
        </is>
      </c>
      <c r="R49" s="44" t="n"/>
      <c r="S49" s="43" t="n"/>
      <c r="T49" s="180" t="n"/>
      <c r="U49" s="1" t="n">
        <v>57296.75</v>
      </c>
      <c r="V49" s="108" t="n">
        <v>0.083333</v>
      </c>
      <c r="W49" s="46" t="inlineStr">
        <is>
          <t>CNY</t>
        </is>
      </c>
      <c r="X49" s="181" t="n">
        <v>1</v>
      </c>
      <c r="Y49" s="1" t="n">
        <v>52389.44</v>
      </c>
      <c r="Z49" s="1" t="n">
        <v>0</v>
      </c>
      <c r="AA49" s="1" t="n">
        <v>114593.5</v>
      </c>
      <c r="AB49" s="1" t="n">
        <v>175805</v>
      </c>
      <c r="AC49" s="48" t="n">
        <v>85420</v>
      </c>
      <c r="AD49" s="1" t="n"/>
      <c r="AE49" s="48" t="n"/>
      <c r="AF49" s="1" t="n">
        <v>0</v>
      </c>
      <c r="AG49" s="1" t="n">
        <v>375818.5</v>
      </c>
      <c r="AH49" s="182" t="n">
        <v>7.173554441505769</v>
      </c>
      <c r="AI49" s="1" t="n">
        <v>375818.5</v>
      </c>
      <c r="AJ49" s="183" t="n">
        <v>7.173554441505769</v>
      </c>
      <c r="AK49" s="183" t="n">
        <v>5.543073184214223</v>
      </c>
      <c r="AL49" s="108" t="n"/>
      <c r="AM49" s="183" t="n"/>
      <c r="AN49" s="183" t="n"/>
      <c r="AO49" s="1" t="n"/>
      <c r="AP49" s="48" t="n"/>
      <c r="AQ49" s="1" t="n">
        <v>375818.5</v>
      </c>
      <c r="AR49" s="183" t="n">
        <v>7.173554441505769</v>
      </c>
      <c r="AS49" s="98" t="n">
        <v>1.103385152889711</v>
      </c>
      <c r="AT49" s="183" t="n"/>
      <c r="AU49" s="1" t="n"/>
      <c r="AV49" s="48" t="n"/>
      <c r="AW49" s="1" t="n"/>
      <c r="AX49" s="48" t="n"/>
      <c r="AY49" s="1" t="n"/>
      <c r="AZ49" s="48" t="n"/>
      <c r="BA49" s="51" t="n"/>
      <c r="BB49" s="180" t="n"/>
      <c r="BC49" s="1" t="n"/>
      <c r="BD49" s="1" t="n"/>
      <c r="BE49" s="180" t="n"/>
      <c r="BF49" s="1" t="n"/>
      <c r="BG49" s="1" t="n"/>
      <c r="BH49" s="1" t="n"/>
      <c r="BI49" s="1" t="n"/>
      <c r="BJ49" s="52" t="n"/>
      <c r="BK49" s="52" t="n"/>
      <c r="BL49" s="184" t="n">
        <v>1</v>
      </c>
      <c r="BM49" s="1" t="n">
        <v>46200</v>
      </c>
      <c r="BN49" s="1" t="n">
        <v>0</v>
      </c>
      <c r="BO49" s="1" t="n">
        <v>49720</v>
      </c>
      <c r="BP49" s="43" t="inlineStr">
        <is>
          <t>G,G</t>
        </is>
      </c>
      <c r="BQ49" s="43" t="inlineStr">
        <is>
          <t>T1#</t>
        </is>
      </c>
      <c r="BR49" s="1" t="n">
        <v>268260</v>
      </c>
      <c r="BS49" s="185" t="n">
        <v>5.806493506493506</v>
      </c>
      <c r="BT49" s="1" t="n">
        <v>72345</v>
      </c>
      <c r="BU49" s="1" t="n">
        <v>340605</v>
      </c>
      <c r="BV49" s="54" t="n">
        <v>7.372402597402598</v>
      </c>
      <c r="BW49" s="54" t="n"/>
      <c r="BX49" s="1" t="n"/>
      <c r="BY49" s="1" t="n">
        <v>340605</v>
      </c>
      <c r="BZ49" s="54" t="n">
        <v>7.372402597402598</v>
      </c>
      <c r="CA49" s="54" t="n"/>
      <c r="CB49" s="186" t="n"/>
      <c r="CC49" s="186" t="n"/>
      <c r="CD49" s="186" t="n"/>
      <c r="CE49" s="52" t="n"/>
      <c r="CF49" s="52" t="n"/>
      <c r="CG49" s="43" t="n"/>
      <c r="CH49" s="43" t="n"/>
      <c r="CI49" s="43" t="n"/>
      <c r="CJ49" s="43" t="n"/>
      <c r="CK49" s="43" t="n"/>
      <c r="CL49" s="43" t="n"/>
      <c r="CM49" s="43" t="n"/>
      <c r="CN49" s="43" t="n"/>
      <c r="CO49" s="43" t="n"/>
      <c r="CP49" s="43" t="inlineStr">
        <is>
          <t>董事会办公室</t>
        </is>
      </c>
      <c r="CQ49" s="43" t="inlineStr">
        <is>
          <t>3,3</t>
        </is>
      </c>
      <c r="CR49" s="43" t="n">
        <v>10</v>
      </c>
      <c r="CS49" s="43" t="inlineStr">
        <is>
          <t>T1#</t>
        </is>
      </c>
      <c r="CT49" s="187" t="inlineStr">
        <is>
          <t>N</t>
        </is>
      </c>
      <c r="CU49" s="187" t="n"/>
      <c r="CV49" s="187" t="n"/>
      <c r="CW49" s="1" t="n"/>
      <c r="CX49" s="1" t="n"/>
      <c r="CY49" s="1" t="n"/>
      <c r="CZ49" s="1" t="n"/>
      <c r="DA49" s="1" t="n"/>
      <c r="DB49" s="1" t="n"/>
      <c r="DC49" s="1" t="n"/>
    </row>
    <row r="50" ht="15" customFormat="1" customHeight="1" s="42">
      <c r="A50" s="43" t="inlineStr">
        <is>
          <t>aaliyahZheng(郑英红)</t>
        </is>
      </c>
      <c r="B50" s="43" t="n"/>
      <c r="C50" s="43" t="n">
        <v>22423058</v>
      </c>
      <c r="D50" s="43" t="inlineStr">
        <is>
          <t>IEG财务管理</t>
        </is>
      </c>
      <c r="E50" s="43" t="inlineStr">
        <is>
          <t>IEG Global Finance</t>
        </is>
      </c>
      <c r="F50" s="43" t="n"/>
      <c r="G50" s="44" t="inlineStr">
        <is>
          <t>S2职能系统－财经线/IEG财务管理/IEG Global Finance</t>
        </is>
      </c>
      <c r="H50" s="179" t="n">
        <v>37919</v>
      </c>
      <c r="I50" s="43" t="inlineStr">
        <is>
          <t>社会招聘</t>
        </is>
      </c>
      <c r="J50" s="43" t="inlineStr">
        <is>
          <t>财经类－FN</t>
        </is>
      </c>
      <c r="K50" s="43" t="inlineStr">
        <is>
          <t>财务管理</t>
        </is>
      </c>
      <c r="L50" s="46" t="n"/>
      <c r="M50" s="46" t="inlineStr">
        <is>
          <t>L3-2</t>
        </is>
      </c>
      <c r="N50" s="43" t="inlineStr">
        <is>
          <t>T1#</t>
        </is>
      </c>
      <c r="O50" s="43" t="n"/>
      <c r="P50" s="180" t="n"/>
      <c r="Q50" s="44" t="inlineStr">
        <is>
          <t>G,G</t>
        </is>
      </c>
      <c r="R50" s="44" t="n"/>
      <c r="S50" s="43" t="n"/>
      <c r="T50" s="180" t="n"/>
      <c r="U50" s="1" t="n">
        <v>69269.75</v>
      </c>
      <c r="V50" s="108" t="n">
        <v>0.083333</v>
      </c>
      <c r="W50" s="46" t="inlineStr">
        <is>
          <t>CNY</t>
        </is>
      </c>
      <c r="X50" s="181" t="n">
        <v>1</v>
      </c>
      <c r="Y50" s="1" t="n">
        <v>66474.84</v>
      </c>
      <c r="Z50" s="1" t="n">
        <v>0</v>
      </c>
      <c r="AA50" s="1" t="n">
        <v>138539.5</v>
      </c>
      <c r="AB50" s="1" t="n">
        <v>210995</v>
      </c>
      <c r="AC50" s="48" t="n">
        <v>121000</v>
      </c>
      <c r="AD50" s="1" t="n"/>
      <c r="AE50" s="48" t="n"/>
      <c r="AF50" s="1" t="n">
        <v>35580</v>
      </c>
      <c r="AG50" s="1" t="n">
        <v>470534.5</v>
      </c>
      <c r="AH50" s="182" t="n">
        <v>7.078384844551714</v>
      </c>
      <c r="AI50" s="1" t="n">
        <v>506114.5</v>
      </c>
      <c r="AJ50" s="183" t="n">
        <v>7.613624944415061</v>
      </c>
      <c r="AK50" s="183" t="n">
        <v>5.793387392884285</v>
      </c>
      <c r="AL50" s="108" t="n"/>
      <c r="AM50" s="183" t="n"/>
      <c r="AN50" s="183" t="n"/>
      <c r="AO50" s="1" t="n"/>
      <c r="AP50" s="48" t="n"/>
      <c r="AQ50" s="1" t="n">
        <v>506114.5</v>
      </c>
      <c r="AR50" s="183" t="n">
        <v>7.613624944415061</v>
      </c>
      <c r="AS50" s="98" t="n">
        <v>0.9996533607221157</v>
      </c>
      <c r="AT50" s="183" t="n"/>
      <c r="AU50" s="1" t="n"/>
      <c r="AV50" s="48" t="n"/>
      <c r="AW50" s="1" t="n"/>
      <c r="AX50" s="48" t="n"/>
      <c r="AY50" s="1" t="n"/>
      <c r="AZ50" s="48" t="n"/>
      <c r="BA50" s="51" t="n"/>
      <c r="BB50" s="180" t="n"/>
      <c r="BC50" s="1" t="n"/>
      <c r="BD50" s="1" t="n"/>
      <c r="BE50" s="180" t="n"/>
      <c r="BF50" s="1" t="n"/>
      <c r="BG50" s="1" t="n"/>
      <c r="BH50" s="1" t="n"/>
      <c r="BI50" s="1" t="n"/>
      <c r="BJ50" s="52" t="n"/>
      <c r="BK50" s="52" t="n"/>
      <c r="BL50" s="184" t="n">
        <v>1</v>
      </c>
      <c r="BM50" s="1" t="n">
        <v>61615</v>
      </c>
      <c r="BN50" s="1" t="n">
        <v>0</v>
      </c>
      <c r="BO50" s="1" t="n">
        <v>64965</v>
      </c>
      <c r="BP50" s="43" t="inlineStr">
        <is>
          <t>G,O</t>
        </is>
      </c>
      <c r="BQ50" s="43" t="inlineStr">
        <is>
          <t>T1#</t>
        </is>
      </c>
      <c r="BR50" s="1" t="n">
        <v>402995</v>
      </c>
      <c r="BS50" s="185" t="n">
        <v>6.540533960886147</v>
      </c>
      <c r="BT50" s="1" t="n">
        <v>103295</v>
      </c>
      <c r="BU50" s="1" t="n">
        <v>506290</v>
      </c>
      <c r="BV50" s="54" t="n">
        <v>8.216992615434553</v>
      </c>
      <c r="BW50" s="54" t="n"/>
      <c r="BX50" s="1" t="n"/>
      <c r="BY50" s="1" t="n">
        <v>506290</v>
      </c>
      <c r="BZ50" s="54" t="n">
        <v>8.216992615434553</v>
      </c>
      <c r="CA50" s="54" t="n"/>
      <c r="CB50" s="186" t="n"/>
      <c r="CC50" s="186" t="n"/>
      <c r="CD50" s="186" t="n"/>
      <c r="CE50" s="52" t="n"/>
      <c r="CF50" s="52" t="n"/>
      <c r="CG50" s="43" t="n"/>
      <c r="CH50" s="43" t="n"/>
      <c r="CI50" s="43" t="n"/>
      <c r="CJ50" s="43" t="n"/>
      <c r="CK50" s="43" t="n"/>
      <c r="CL50" s="43" t="n"/>
      <c r="CM50" s="43" t="n"/>
      <c r="CN50" s="43" t="n"/>
      <c r="CO50" s="43" t="n"/>
      <c r="CP50" s="43" t="inlineStr">
        <is>
          <t>IEG财务管理</t>
        </is>
      </c>
      <c r="CQ50" s="43" t="inlineStr">
        <is>
          <t>3,3</t>
        </is>
      </c>
      <c r="CR50" s="43" t="inlineStr">
        <is>
          <t>L3-2</t>
        </is>
      </c>
      <c r="CS50" s="43" t="inlineStr">
        <is>
          <t>T1#</t>
        </is>
      </c>
      <c r="CT50" s="187" t="inlineStr">
        <is>
          <t>N</t>
        </is>
      </c>
      <c r="CU50" s="187" t="n"/>
      <c r="CV50" s="187" t="n"/>
      <c r="CW50" s="1" t="n"/>
      <c r="CX50" s="1" t="n"/>
      <c r="CY50" s="1" t="n"/>
      <c r="CZ50" s="1" t="n"/>
      <c r="DA50" s="1" t="n"/>
      <c r="DB50" s="1" t="n"/>
      <c r="DC50" s="1" t="n"/>
    </row>
    <row r="51" ht="15" customFormat="1" customHeight="1" s="42">
      <c r="A51" s="43" t="inlineStr">
        <is>
          <t>walterQian(钱豪彤)</t>
        </is>
      </c>
      <c r="B51" s="43" t="n"/>
      <c r="C51" s="43" t="n">
        <v>64672773</v>
      </c>
      <c r="D51" s="43" t="inlineStr">
        <is>
          <t>预算及职能系统财务管理部</t>
        </is>
      </c>
      <c r="E51" s="43" t="inlineStr">
        <is>
          <t>S系统财务管理组</t>
        </is>
      </c>
      <c r="F51" s="43" t="n"/>
      <c r="G51" s="44" t="inlineStr">
        <is>
          <t>S2职能系统－财经线/预算及职能系统财务管理部/S系统财务管理组</t>
        </is>
      </c>
      <c r="H51" s="179" t="n">
        <v>39998</v>
      </c>
      <c r="I51" s="43" t="inlineStr">
        <is>
          <t>高校招聘</t>
        </is>
      </c>
      <c r="J51" s="43" t="inlineStr">
        <is>
          <t>财经类－FN</t>
        </is>
      </c>
      <c r="K51" s="43" t="inlineStr">
        <is>
          <t>预算管理</t>
        </is>
      </c>
      <c r="L51" s="46" t="inlineStr">
        <is>
          <t>S9</t>
        </is>
      </c>
      <c r="M51" s="46" t="n"/>
      <c r="N51" s="43" t="inlineStr">
        <is>
          <t>T1#</t>
        </is>
      </c>
      <c r="O51" s="43" t="n"/>
      <c r="P51" s="180" t="n"/>
      <c r="Q51" s="44" t="inlineStr">
        <is>
          <t>G,O</t>
        </is>
      </c>
      <c r="R51" s="44" t="n"/>
      <c r="S51" s="43" t="n"/>
      <c r="T51" s="180" t="n"/>
      <c r="U51" s="1" t="n">
        <v>56008.55</v>
      </c>
      <c r="V51" s="108" t="n">
        <v>0.083333</v>
      </c>
      <c r="W51" s="46" t="inlineStr">
        <is>
          <t>CNY</t>
        </is>
      </c>
      <c r="X51" s="181" t="n">
        <v>1</v>
      </c>
      <c r="Y51" s="1" t="n">
        <v>53386.03</v>
      </c>
      <c r="Z51" s="1" t="n">
        <v>0</v>
      </c>
      <c r="AA51" s="1" t="n">
        <v>168025.65</v>
      </c>
      <c r="AB51" s="1" t="n">
        <v>172480</v>
      </c>
      <c r="AC51" s="48" t="n">
        <v>64985</v>
      </c>
      <c r="AD51" s="1" t="n"/>
      <c r="AE51" s="48" t="n"/>
      <c r="AF51" s="1" t="n">
        <v>0</v>
      </c>
      <c r="AG51" s="1" t="n">
        <v>405490.65</v>
      </c>
      <c r="AH51" s="182" t="n">
        <v>7.595444913210442</v>
      </c>
      <c r="AI51" s="1" t="n">
        <v>405490.65</v>
      </c>
      <c r="AJ51" s="183" t="n">
        <v>7.595444913210442</v>
      </c>
      <c r="AK51" s="183" t="n">
        <v>6.378178898112484</v>
      </c>
      <c r="AL51" s="108" t="n"/>
      <c r="AM51" s="183" t="n"/>
      <c r="AN51" s="183" t="n"/>
      <c r="AO51" s="1" t="n"/>
      <c r="AP51" s="48" t="n"/>
      <c r="AQ51" s="1" t="n">
        <v>405490.65</v>
      </c>
      <c r="AR51" s="183" t="n">
        <v>7.595444913210442</v>
      </c>
      <c r="AS51" s="98" t="n">
        <v>1.955868464209917</v>
      </c>
      <c r="AT51" s="183" t="n"/>
      <c r="AU51" s="1" t="n"/>
      <c r="AV51" s="48" t="n"/>
      <c r="AW51" s="1" t="n"/>
      <c r="AX51" s="48" t="n"/>
      <c r="AY51" s="1" t="n"/>
      <c r="AZ51" s="48" t="n"/>
      <c r="BA51" s="51" t="n"/>
      <c r="BB51" s="180" t="n"/>
      <c r="BC51" s="1" t="n"/>
      <c r="BD51" s="1" t="n"/>
      <c r="BE51" s="180" t="n"/>
      <c r="BF51" s="1" t="n"/>
      <c r="BG51" s="1" t="n"/>
      <c r="BH51" s="1" t="n"/>
      <c r="BI51" s="1" t="n"/>
      <c r="BJ51" s="52" t="n"/>
      <c r="BK51" s="52" t="n"/>
      <c r="BL51" s="184" t="n">
        <v>1</v>
      </c>
      <c r="BM51" s="1" t="n">
        <v>50355</v>
      </c>
      <c r="BN51" s="1" t="n">
        <v>0</v>
      </c>
      <c r="BO51" s="1" t="n">
        <v>51325</v>
      </c>
      <c r="BP51" s="43" t="inlineStr">
        <is>
          <t>G,U</t>
        </is>
      </c>
      <c r="BQ51" s="43" t="inlineStr">
        <is>
          <t>T1#</t>
        </is>
      </c>
      <c r="BR51" s="1" t="n">
        <v>207320</v>
      </c>
      <c r="BS51" s="185" t="n">
        <v>4.117168106444246</v>
      </c>
      <c r="BT51" s="1" t="n">
        <v>0</v>
      </c>
      <c r="BU51" s="1" t="n">
        <v>207320</v>
      </c>
      <c r="BV51" s="54" t="n">
        <v>4.117168106444246</v>
      </c>
      <c r="BW51" s="54" t="n"/>
      <c r="BX51" s="1" t="n"/>
      <c r="BY51" s="1" t="n">
        <v>207320</v>
      </c>
      <c r="BZ51" s="54" t="n">
        <v>4.117168106444246</v>
      </c>
      <c r="CA51" s="54" t="n"/>
      <c r="CB51" s="186" t="n"/>
      <c r="CC51" s="186" t="n"/>
      <c r="CD51" s="186" t="n"/>
      <c r="CE51" s="52" t="n"/>
      <c r="CF51" s="52" t="n"/>
      <c r="CG51" s="43" t="n"/>
      <c r="CH51" s="43" t="n"/>
      <c r="CI51" s="43" t="n"/>
      <c r="CJ51" s="43" t="n"/>
      <c r="CK51" s="43" t="n"/>
      <c r="CL51" s="43" t="n"/>
      <c r="CM51" s="43" t="n"/>
      <c r="CN51" s="43" t="n"/>
      <c r="CO51" s="43" t="n"/>
      <c r="CP51" s="43" t="inlineStr">
        <is>
          <t>预算及职能系统财务管理部</t>
        </is>
      </c>
      <c r="CQ51" s="43" t="inlineStr">
        <is>
          <t>5,3</t>
        </is>
      </c>
      <c r="CR51" s="43" t="n">
        <v>9</v>
      </c>
      <c r="CS51" s="43" t="inlineStr">
        <is>
          <t>T1#</t>
        </is>
      </c>
      <c r="CT51" s="187" t="inlineStr">
        <is>
          <t>N</t>
        </is>
      </c>
      <c r="CU51" s="187" t="n"/>
      <c r="CV51" s="187" t="n"/>
      <c r="CW51" s="1" t="n"/>
      <c r="CX51" s="1" t="n"/>
      <c r="CY51" s="1" t="n"/>
      <c r="CZ51" s="1" t="n"/>
      <c r="DA51" s="1" t="n"/>
      <c r="DB51" s="1" t="n"/>
      <c r="DC51" s="1" t="n"/>
    </row>
    <row r="52" ht="15" customFormat="1" customHeight="1" s="42">
      <c r="A52" s="43" t="inlineStr">
        <is>
          <t>juliaLiao(廖雪瑶)</t>
        </is>
      </c>
      <c r="B52" s="43" t="n"/>
      <c r="C52" s="43" t="n">
        <v>31719584</v>
      </c>
      <c r="D52" s="43" t="inlineStr">
        <is>
          <t>税务部</t>
        </is>
      </c>
      <c r="E52" s="43" t="inlineStr">
        <is>
          <t>印章及文档管理组</t>
        </is>
      </c>
      <c r="F52" s="43" t="n"/>
      <c r="G52" s="44" t="inlineStr">
        <is>
          <t>S2职能系统－财经线/税务部/印章及文档管理组</t>
        </is>
      </c>
      <c r="H52" s="179" t="n">
        <v>39421</v>
      </c>
      <c r="I52" s="43" t="inlineStr">
        <is>
          <t>高校招聘</t>
        </is>
      </c>
      <c r="J52" s="43" t="inlineStr">
        <is>
          <t>财经类－FN</t>
        </is>
      </c>
      <c r="K52" s="43" t="inlineStr">
        <is>
          <t>税务</t>
        </is>
      </c>
      <c r="L52" s="46" t="inlineStr">
        <is>
          <t>S8</t>
        </is>
      </c>
      <c r="M52" s="46" t="n"/>
      <c r="N52" s="43" t="inlineStr">
        <is>
          <t>T2</t>
        </is>
      </c>
      <c r="O52" s="43" t="n"/>
      <c r="P52" s="180" t="n"/>
      <c r="Q52" s="44" t="inlineStr">
        <is>
          <t>G,G</t>
        </is>
      </c>
      <c r="R52" s="44" t="n"/>
      <c r="S52" s="43" t="n"/>
      <c r="T52" s="180" t="n"/>
      <c r="U52" s="1" t="n">
        <v>28976.2</v>
      </c>
      <c r="V52" s="108" t="n">
        <v>0.083333</v>
      </c>
      <c r="W52" s="46" t="inlineStr">
        <is>
          <t>CNY</t>
        </is>
      </c>
      <c r="X52" s="181" t="n">
        <v>1</v>
      </c>
      <c r="Y52" s="1" t="n">
        <v>27708.19</v>
      </c>
      <c r="Z52" s="1" t="n">
        <v>0</v>
      </c>
      <c r="AA52" s="1" t="n">
        <v>57952.4</v>
      </c>
      <c r="AB52" s="1" t="n">
        <v>34945</v>
      </c>
      <c r="AC52" s="48" t="n">
        <v>0</v>
      </c>
      <c r="AD52" s="1" t="n"/>
      <c r="AE52" s="48" t="n"/>
      <c r="AF52" s="1" t="n">
        <v>0</v>
      </c>
      <c r="AG52" s="1" t="n">
        <v>92897.39999999999</v>
      </c>
      <c r="AH52" s="182" t="n">
        <v>3.35270546361924</v>
      </c>
      <c r="AI52" s="1" t="n">
        <v>92897.39999999999</v>
      </c>
      <c r="AJ52" s="183" t="n">
        <v>3.35270546361924</v>
      </c>
      <c r="AK52" s="183" t="n">
        <v>3.35270546361924</v>
      </c>
      <c r="AL52" s="108" t="n"/>
      <c r="AM52" s="183" t="n"/>
      <c r="AN52" s="183" t="n"/>
      <c r="AO52" s="1" t="n"/>
      <c r="AP52" s="48" t="n"/>
      <c r="AQ52" s="1" t="n">
        <v>92897.39999999999</v>
      </c>
      <c r="AR52" s="183" t="n">
        <v>3.35270546361924</v>
      </c>
      <c r="AS52" s="98" t="n">
        <v>1.107833760658279</v>
      </c>
      <c r="AT52" s="183" t="n"/>
      <c r="AU52" s="1" t="n"/>
      <c r="AV52" s="48" t="n"/>
      <c r="AW52" s="1" t="n"/>
      <c r="AX52" s="48" t="n"/>
      <c r="AY52" s="1" t="n"/>
      <c r="AZ52" s="48" t="n"/>
      <c r="BA52" s="51" t="n"/>
      <c r="BB52" s="180" t="n"/>
      <c r="BC52" s="1" t="n"/>
      <c r="BD52" s="1" t="n"/>
      <c r="BE52" s="180" t="n"/>
      <c r="BF52" s="1" t="n"/>
      <c r="BG52" s="1" t="n"/>
      <c r="BH52" s="1" t="n"/>
      <c r="BI52" s="1" t="n"/>
      <c r="BJ52" s="52" t="n"/>
      <c r="BK52" s="52" t="n"/>
      <c r="BL52" s="184" t="n">
        <v>1</v>
      </c>
      <c r="BM52" s="1" t="n">
        <v>24100</v>
      </c>
      <c r="BN52" s="1" t="n">
        <v>0</v>
      </c>
      <c r="BO52" s="1" t="n">
        <v>26240</v>
      </c>
      <c r="BP52" s="43" t="inlineStr">
        <is>
          <t>U,O</t>
        </is>
      </c>
      <c r="BQ52" s="43" t="inlineStr">
        <is>
          <t>T2</t>
        </is>
      </c>
      <c r="BR52" s="1" t="n">
        <v>83855</v>
      </c>
      <c r="BS52" s="185" t="n">
        <v>3.479460580912863</v>
      </c>
      <c r="BT52" s="1" t="n">
        <v>0</v>
      </c>
      <c r="BU52" s="1" t="n">
        <v>83855</v>
      </c>
      <c r="BV52" s="54" t="n">
        <v>3.479460580912863</v>
      </c>
      <c r="BW52" s="54" t="n"/>
      <c r="BX52" s="1" t="n"/>
      <c r="BY52" s="1" t="n">
        <v>83855</v>
      </c>
      <c r="BZ52" s="54" t="n">
        <v>3.479460580912863</v>
      </c>
      <c r="CA52" s="54" t="n"/>
      <c r="CB52" s="186" t="n"/>
      <c r="CC52" s="186" t="n"/>
      <c r="CD52" s="186" t="n"/>
      <c r="CE52" s="52" t="n"/>
      <c r="CF52" s="52" t="n"/>
      <c r="CG52" s="43" t="n"/>
      <c r="CH52" s="43" t="n"/>
      <c r="CI52" s="43" t="n"/>
      <c r="CJ52" s="43" t="n"/>
      <c r="CK52" s="43" t="n"/>
      <c r="CL52" s="43" t="n"/>
      <c r="CM52" s="43" t="n"/>
      <c r="CN52" s="43" t="n"/>
      <c r="CO52" s="43" t="n"/>
      <c r="CP52" s="43" t="inlineStr">
        <is>
          <t>税务部</t>
        </is>
      </c>
      <c r="CQ52" s="43" t="inlineStr">
        <is>
          <t>3,3</t>
        </is>
      </c>
      <c r="CR52" s="43" t="n">
        <v>8</v>
      </c>
      <c r="CS52" s="43" t="inlineStr">
        <is>
          <t>T2</t>
        </is>
      </c>
      <c r="CT52" s="187" t="inlineStr">
        <is>
          <t>N</t>
        </is>
      </c>
      <c r="CU52" s="187" t="n"/>
      <c r="CV52" s="187" t="n"/>
      <c r="CW52" s="1" t="n"/>
      <c r="CX52" s="1" t="n"/>
      <c r="CY52" s="1" t="n"/>
      <c r="CZ52" s="1" t="n"/>
      <c r="DA52" s="1" t="n"/>
      <c r="DB52" s="1" t="n"/>
      <c r="DC52" s="1" t="n"/>
    </row>
    <row r="53" ht="15" customFormat="1" customHeight="1" s="42">
      <c r="A53" s="43" t="inlineStr">
        <is>
          <t>marcusWei(魏松坚)</t>
        </is>
      </c>
      <c r="B53" s="43" t="n"/>
      <c r="C53" s="43" t="n">
        <v>76307882</v>
      </c>
      <c r="D53" s="43" t="inlineStr">
        <is>
          <t>财经IT管理部</t>
        </is>
      </c>
      <c r="E53" s="43" t="inlineStr">
        <is>
          <t>业务开发中心</t>
        </is>
      </c>
      <c r="F53" s="43" t="n"/>
      <c r="G53" s="44" t="inlineStr">
        <is>
          <t>S2职能系统－财经线/财经IT管理部/业务开发中心</t>
        </is>
      </c>
      <c r="H53" s="179" t="n">
        <v>41314</v>
      </c>
      <c r="I53" s="43" t="inlineStr">
        <is>
          <t>社会招聘</t>
        </is>
      </c>
      <c r="J53" s="43" t="inlineStr">
        <is>
          <t>技术研发类－TRD</t>
        </is>
      </c>
      <c r="K53" s="43" t="inlineStr">
        <is>
          <t>应用开发</t>
        </is>
      </c>
      <c r="L53" s="46" t="inlineStr">
        <is>
          <t>T7</t>
        </is>
      </c>
      <c r="M53" s="46" t="n"/>
      <c r="N53" s="43" t="inlineStr">
        <is>
          <t>T1</t>
        </is>
      </c>
      <c r="O53" s="43" t="n"/>
      <c r="P53" s="180" t="n"/>
      <c r="Q53" s="44" t="inlineStr">
        <is>
          <t>G,G</t>
        </is>
      </c>
      <c r="R53" s="44" t="n"/>
      <c r="S53" s="43" t="n"/>
      <c r="T53" s="180" t="n"/>
      <c r="U53" s="1" t="n">
        <v>31298</v>
      </c>
      <c r="V53" s="108" t="n">
        <v>0.083333</v>
      </c>
      <c r="W53" s="46" t="inlineStr">
        <is>
          <t>CNY</t>
        </is>
      </c>
      <c r="X53" s="181" t="n">
        <v>1</v>
      </c>
      <c r="Y53" s="1" t="n">
        <v>29306.23</v>
      </c>
      <c r="Z53" s="1" t="n">
        <v>0</v>
      </c>
      <c r="AA53" s="1" t="n">
        <v>62596</v>
      </c>
      <c r="AB53" s="1" t="n">
        <v>72315</v>
      </c>
      <c r="AC53" s="48" t="n">
        <v>38065</v>
      </c>
      <c r="AD53" s="1" t="n"/>
      <c r="AE53" s="48" t="n"/>
      <c r="AF53" s="1" t="n">
        <v>0</v>
      </c>
      <c r="AG53" s="1" t="n">
        <v>172976</v>
      </c>
      <c r="AH53" s="182" t="n">
        <v>5.902362739936184</v>
      </c>
      <c r="AI53" s="1" t="n">
        <v>172976</v>
      </c>
      <c r="AJ53" s="183" t="n">
        <v>5.902362739936184</v>
      </c>
      <c r="AK53" s="183" t="n">
        <v>4.603492158493262</v>
      </c>
      <c r="AL53" s="108" t="n"/>
      <c r="AM53" s="183" t="n"/>
      <c r="AN53" s="183" t="n"/>
      <c r="AO53" s="1" t="n"/>
      <c r="AP53" s="48" t="n"/>
      <c r="AQ53" s="1" t="n">
        <v>172976</v>
      </c>
      <c r="AR53" s="183" t="n">
        <v>5.902362739936184</v>
      </c>
      <c r="AS53" s="98" t="n">
        <v>1.201973455631992</v>
      </c>
      <c r="AT53" s="183" t="n"/>
      <c r="AU53" s="1" t="n"/>
      <c r="AV53" s="48" t="n"/>
      <c r="AW53" s="1" t="n"/>
      <c r="AX53" s="48" t="n"/>
      <c r="AY53" s="1" t="n"/>
      <c r="AZ53" s="48" t="n"/>
      <c r="BA53" s="51" t="n"/>
      <c r="BB53" s="180" t="n"/>
      <c r="BC53" s="1" t="n"/>
      <c r="BD53" s="1" t="n"/>
      <c r="BE53" s="180" t="n"/>
      <c r="BF53" s="1" t="n"/>
      <c r="BG53" s="1" t="n"/>
      <c r="BH53" s="1" t="n"/>
      <c r="BI53" s="1" t="n"/>
      <c r="BJ53" s="52" t="n"/>
      <c r="BK53" s="52" t="n"/>
      <c r="BL53" s="184" t="n">
        <v>1</v>
      </c>
      <c r="BM53" s="1" t="n">
        <v>27970</v>
      </c>
      <c r="BN53" s="1" t="n">
        <v>0</v>
      </c>
      <c r="BO53" s="1" t="n">
        <v>30180</v>
      </c>
      <c r="BP53" s="43" t="inlineStr">
        <is>
          <t>G,G</t>
        </is>
      </c>
      <c r="BQ53" s="43" t="inlineStr">
        <is>
          <t>T1</t>
        </is>
      </c>
      <c r="BR53" s="1" t="n">
        <v>90595</v>
      </c>
      <c r="BS53" s="185" t="n">
        <v>3.239006077940651</v>
      </c>
      <c r="BT53" s="1" t="n">
        <v>53315</v>
      </c>
      <c r="BU53" s="1" t="n">
        <v>143910</v>
      </c>
      <c r="BV53" s="54" t="n">
        <v>5.145155523775474</v>
      </c>
      <c r="BW53" s="54" t="n"/>
      <c r="BX53" s="1" t="n"/>
      <c r="BY53" s="1" t="n">
        <v>143910</v>
      </c>
      <c r="BZ53" s="54" t="n">
        <v>5.145155523775474</v>
      </c>
      <c r="CA53" s="54" t="n"/>
      <c r="CB53" s="186" t="n"/>
      <c r="CC53" s="186" t="n"/>
      <c r="CD53" s="186" t="n"/>
      <c r="CE53" s="52" t="n"/>
      <c r="CF53" s="52" t="n"/>
      <c r="CG53" s="43" t="n"/>
      <c r="CH53" s="43" t="n"/>
      <c r="CI53" s="43" t="n"/>
      <c r="CJ53" s="43" t="n"/>
      <c r="CK53" s="43" t="n"/>
      <c r="CL53" s="43" t="n"/>
      <c r="CM53" s="43" t="n"/>
      <c r="CN53" s="43" t="n"/>
      <c r="CO53" s="43" t="n"/>
      <c r="CP53" s="43" t="inlineStr">
        <is>
          <t>财经IT管理部</t>
        </is>
      </c>
      <c r="CQ53" s="43" t="inlineStr">
        <is>
          <t>3,3</t>
        </is>
      </c>
      <c r="CR53" s="43" t="n">
        <v>7</v>
      </c>
      <c r="CS53" s="43" t="inlineStr">
        <is>
          <t>T1</t>
        </is>
      </c>
      <c r="CT53" s="187" t="inlineStr">
        <is>
          <t>N</t>
        </is>
      </c>
      <c r="CU53" s="187" t="n"/>
      <c r="CV53" s="187" t="n"/>
      <c r="CW53" s="1" t="n"/>
      <c r="CX53" s="1" t="n"/>
      <c r="CY53" s="1" t="n"/>
      <c r="CZ53" s="1" t="n"/>
      <c r="DA53" s="1" t="n"/>
      <c r="DB53" s="1" t="n"/>
      <c r="DC53" s="1" t="n"/>
    </row>
    <row r="54" ht="15" customFormat="1" customHeight="1" s="42">
      <c r="A54" s="43" t="inlineStr">
        <is>
          <t>miaYu(于静)</t>
        </is>
      </c>
      <c r="B54" s="43" t="n"/>
      <c r="C54" s="43" t="n">
        <v>59592158</v>
      </c>
      <c r="D54" s="43" t="inlineStr">
        <is>
          <t>CDG财务管理</t>
        </is>
      </c>
      <c r="E54" s="43" t="inlineStr">
        <is>
          <t>子公司财务管理组</t>
        </is>
      </c>
      <c r="F54" s="43" t="n"/>
      <c r="G54" s="44" t="inlineStr">
        <is>
          <t>S2职能系统－财经线/CDG财务管理/子公司财务管理组</t>
        </is>
      </c>
      <c r="H54" s="179" t="n">
        <v>38797</v>
      </c>
      <c r="I54" s="43" t="inlineStr">
        <is>
          <t>社会招聘</t>
        </is>
      </c>
      <c r="J54" s="43" t="inlineStr">
        <is>
          <t>财经类－FN</t>
        </is>
      </c>
      <c r="K54" s="43" t="inlineStr">
        <is>
          <t>财务管理</t>
        </is>
      </c>
      <c r="L54" s="46" t="inlineStr">
        <is>
          <t>S11</t>
        </is>
      </c>
      <c r="M54" s="46" t="n"/>
      <c r="N54" s="43" t="inlineStr">
        <is>
          <t>T1#</t>
        </is>
      </c>
      <c r="O54" s="43" t="n"/>
      <c r="P54" s="180" t="n"/>
      <c r="Q54" s="44" t="inlineStr">
        <is>
          <t>G,G</t>
        </is>
      </c>
      <c r="R54" s="44" t="n"/>
      <c r="S54" s="43" t="n"/>
      <c r="T54" s="180" t="n"/>
      <c r="U54" s="1" t="n">
        <v>54160.8</v>
      </c>
      <c r="V54" s="108" t="n">
        <v>0.083333</v>
      </c>
      <c r="W54" s="46" t="inlineStr">
        <is>
          <t>CNY</t>
        </is>
      </c>
      <c r="X54" s="181" t="n">
        <v>1</v>
      </c>
      <c r="Y54" s="1" t="n">
        <v>50393.3</v>
      </c>
      <c r="Z54" s="1" t="n">
        <v>0</v>
      </c>
      <c r="AA54" s="1" t="n">
        <v>108321.6</v>
      </c>
      <c r="AB54" s="1" t="n">
        <v>181945</v>
      </c>
      <c r="AC54" s="48" t="n">
        <v>54645</v>
      </c>
      <c r="AD54" s="1" t="n"/>
      <c r="AE54" s="48" t="n"/>
      <c r="AF54" s="1" t="n">
        <v>0</v>
      </c>
      <c r="AG54" s="1" t="n">
        <v>344911.6</v>
      </c>
      <c r="AH54" s="182" t="n">
        <v>6.844393996821005</v>
      </c>
      <c r="AI54" s="1" t="n">
        <v>344911.6</v>
      </c>
      <c r="AJ54" s="183" t="n">
        <v>6.844393996821005</v>
      </c>
      <c r="AK54" s="183" t="n">
        <v>5.760023653938122</v>
      </c>
      <c r="AL54" s="108" t="n"/>
      <c r="AM54" s="183" t="n"/>
      <c r="AN54" s="183" t="n"/>
      <c r="AO54" s="1" t="n"/>
      <c r="AP54" s="48" t="n"/>
      <c r="AQ54" s="1" t="n">
        <v>344911.6</v>
      </c>
      <c r="AR54" s="183" t="n">
        <v>6.844393996821005</v>
      </c>
      <c r="AS54" s="98" t="n">
        <v>1.929467442380846</v>
      </c>
      <c r="AT54" s="183" t="n"/>
      <c r="AU54" s="1" t="n"/>
      <c r="AV54" s="48" t="n"/>
      <c r="AW54" s="1" t="n"/>
      <c r="AX54" s="48" t="n"/>
      <c r="AY54" s="1" t="n"/>
      <c r="AZ54" s="48" t="n"/>
      <c r="BA54" s="51" t="n"/>
      <c r="BB54" s="180" t="n"/>
      <c r="BC54" s="1" t="n"/>
      <c r="BD54" s="1" t="n"/>
      <c r="BE54" s="180" t="n"/>
      <c r="BF54" s="1" t="n"/>
      <c r="BG54" s="1" t="n"/>
      <c r="BH54" s="1" t="n"/>
      <c r="BI54" s="1" t="n"/>
      <c r="BJ54" s="52" t="n"/>
      <c r="BK54" s="52" t="n"/>
      <c r="BL54" s="184" t="n">
        <v>1</v>
      </c>
      <c r="BM54" s="1" t="n">
        <v>43645</v>
      </c>
      <c r="BN54" s="1" t="n">
        <v>0</v>
      </c>
      <c r="BO54" s="1" t="n">
        <v>44275</v>
      </c>
      <c r="BP54" s="43" t="inlineStr">
        <is>
          <t>G,U</t>
        </is>
      </c>
      <c r="BQ54" s="43" t="inlineStr">
        <is>
          <t>T1#</t>
        </is>
      </c>
      <c r="BR54" s="1" t="n">
        <v>178760</v>
      </c>
      <c r="BS54" s="185" t="n">
        <v>4.095772711650819</v>
      </c>
      <c r="BT54" s="1" t="n">
        <v>0</v>
      </c>
      <c r="BU54" s="1" t="n">
        <v>178760</v>
      </c>
      <c r="BV54" s="54" t="n">
        <v>4.095772711650819</v>
      </c>
      <c r="BW54" s="54" t="n"/>
      <c r="BX54" s="1" t="n"/>
      <c r="BY54" s="1" t="n">
        <v>178760</v>
      </c>
      <c r="BZ54" s="54" t="n">
        <v>4.095772711650819</v>
      </c>
      <c r="CA54" s="54" t="n"/>
      <c r="CB54" s="186" t="n"/>
      <c r="CC54" s="186" t="n"/>
      <c r="CD54" s="186" t="n"/>
      <c r="CE54" s="52" t="n"/>
      <c r="CF54" s="52" t="n"/>
      <c r="CG54" s="43" t="n"/>
      <c r="CH54" s="43" t="n"/>
      <c r="CI54" s="43" t="n"/>
      <c r="CJ54" s="43" t="n"/>
      <c r="CK54" s="43" t="n"/>
      <c r="CL54" s="43" t="n"/>
      <c r="CM54" s="43" t="n"/>
      <c r="CN54" s="43" t="n"/>
      <c r="CO54" s="43" t="n"/>
      <c r="CP54" s="43" t="inlineStr">
        <is>
          <t>CDG财务管理</t>
        </is>
      </c>
      <c r="CQ54" s="43" t="inlineStr">
        <is>
          <t>3,3</t>
        </is>
      </c>
      <c r="CR54" s="43" t="n">
        <v>11</v>
      </c>
      <c r="CS54" s="43" t="inlineStr">
        <is>
          <t>T1#</t>
        </is>
      </c>
      <c r="CT54" s="187" t="inlineStr">
        <is>
          <t>N</t>
        </is>
      </c>
      <c r="CU54" s="187" t="n"/>
      <c r="CV54" s="187" t="n"/>
      <c r="CW54" s="1" t="n"/>
      <c r="CX54" s="1" t="n"/>
      <c r="CY54" s="1" t="n"/>
      <c r="CZ54" s="1" t="n"/>
      <c r="DA54" s="1" t="n"/>
      <c r="DB54" s="1" t="n"/>
      <c r="DC54" s="1" t="n"/>
    </row>
    <row r="55" ht="15" customFormat="1" customHeight="1" s="42">
      <c r="A55" s="43" t="inlineStr">
        <is>
          <t>ellaMa(马曦)</t>
        </is>
      </c>
      <c r="B55" s="43" t="n"/>
      <c r="C55" s="43" t="n">
        <v>81821398</v>
      </c>
      <c r="D55" s="43" t="inlineStr">
        <is>
          <t>风险管理和内部控制</t>
        </is>
      </c>
      <c r="E55" s="43" t="inlineStr">
        <is>
          <t>PCG风控中心</t>
        </is>
      </c>
      <c r="F55" s="43" t="n"/>
      <c r="G55" s="44" t="inlineStr">
        <is>
          <t>S2职能系统－财经线/风险管理和内部控制/PCG风控中心</t>
        </is>
      </c>
      <c r="H55" s="179" t="n">
        <v>45600</v>
      </c>
      <c r="I55" s="43" t="inlineStr">
        <is>
          <t>社会招聘</t>
        </is>
      </c>
      <c r="J55" s="43" t="inlineStr">
        <is>
          <t>财经类－FN</t>
        </is>
      </c>
      <c r="K55" s="43" t="inlineStr">
        <is>
          <t>风险管理</t>
        </is>
      </c>
      <c r="L55" s="46" t="inlineStr">
        <is>
          <t>S7</t>
        </is>
      </c>
      <c r="M55" s="46" t="n"/>
      <c r="N55" s="43" t="inlineStr">
        <is>
          <t>T1#</t>
        </is>
      </c>
      <c r="O55" s="43" t="n"/>
      <c r="P55" s="180" t="n"/>
      <c r="Q55" s="44" t="inlineStr">
        <is>
          <t>N,N</t>
        </is>
      </c>
      <c r="R55" s="44" t="n"/>
      <c r="S55" s="43" t="n"/>
      <c r="T55" s="180" t="n"/>
      <c r="U55" s="1" t="n">
        <v>40465.4</v>
      </c>
      <c r="V55" s="108" t="n">
        <v>0.083333</v>
      </c>
      <c r="W55" s="46" t="inlineStr">
        <is>
          <t>CNY</t>
        </is>
      </c>
      <c r="X55" s="181" t="n">
        <v>0.156164</v>
      </c>
      <c r="Y55" s="1" t="n">
        <v>40465.4</v>
      </c>
      <c r="Z55" s="1" t="n">
        <v>0</v>
      </c>
      <c r="AA55" s="1" t="n">
        <v>6319.24</v>
      </c>
      <c r="AB55" s="1" t="n">
        <v>0</v>
      </c>
      <c r="AC55" s="48" t="n">
        <v>0</v>
      </c>
      <c r="AD55" s="1" t="n"/>
      <c r="AE55" s="48" t="n"/>
      <c r="AF55" s="1" t="n">
        <v>0</v>
      </c>
      <c r="AG55" s="1" t="n">
        <v>6319.24</v>
      </c>
      <c r="AH55" s="182" t="n">
        <v>0.1561640314935723</v>
      </c>
      <c r="AI55" s="1" t="n">
        <v>6319.24</v>
      </c>
      <c r="AJ55" s="183" t="n">
        <v>0.1561640314935723</v>
      </c>
      <c r="AK55" s="183" t="n">
        <v>0.1561640314935723</v>
      </c>
      <c r="AL55" s="108" t="n"/>
      <c r="AM55" s="183" t="n"/>
      <c r="AN55" s="183" t="n"/>
      <c r="AO55" s="1" t="n"/>
      <c r="AP55" s="48" t="n"/>
      <c r="AQ55" s="1" t="n">
        <v>6319.24</v>
      </c>
      <c r="AR55" s="183" t="n">
        <v>0.1561640314935723</v>
      </c>
      <c r="AS55" s="98" t="n"/>
      <c r="AT55" s="183" t="n"/>
      <c r="AU55" s="1" t="n"/>
      <c r="AV55" s="48" t="n"/>
      <c r="AW55" s="1" t="n"/>
      <c r="AX55" s="48" t="n"/>
      <c r="AY55" s="1" t="n"/>
      <c r="AZ55" s="48" t="n"/>
      <c r="BA55" s="51" t="n"/>
      <c r="BB55" s="180" t="n"/>
      <c r="BC55" s="1" t="n"/>
      <c r="BD55" s="1" t="n"/>
      <c r="BE55" s="180" t="n"/>
      <c r="BF55" s="1" t="n"/>
      <c r="BG55" s="1" t="n"/>
      <c r="BH55" s="1" t="n"/>
      <c r="BI55" s="1" t="n"/>
      <c r="BJ55" s="52" t="n"/>
      <c r="BK55" s="52" t="n"/>
      <c r="BL55" s="184" t="n"/>
      <c r="BM55" s="1" t="n">
        <v>0</v>
      </c>
      <c r="BN55" s="1" t="n">
        <v>0</v>
      </c>
      <c r="BO55" s="1" t="n">
        <v>0</v>
      </c>
      <c r="BP55" s="43" t="n"/>
      <c r="BQ55" s="43" t="n"/>
      <c r="BR55" s="1" t="n">
        <v>0</v>
      </c>
      <c r="BS55" s="185" t="n"/>
      <c r="BT55" s="1" t="n">
        <v>0</v>
      </c>
      <c r="BU55" s="1" t="n">
        <v>0</v>
      </c>
      <c r="BV55" s="54" t="n"/>
      <c r="BW55" s="54" t="n"/>
      <c r="BX55" s="1" t="n"/>
      <c r="BY55" s="1" t="n">
        <v>0</v>
      </c>
      <c r="BZ55" s="54" t="n"/>
      <c r="CA55" s="54" t="n"/>
      <c r="CB55" s="186" t="n"/>
      <c r="CC55" s="186" t="n"/>
      <c r="CD55" s="186" t="n"/>
      <c r="CE55" s="52" t="n"/>
      <c r="CF55" s="52" t="n"/>
      <c r="CG55" s="43" t="n"/>
      <c r="CH55" s="43" t="n"/>
      <c r="CI55" s="43" t="n"/>
      <c r="CJ55" s="43" t="n"/>
      <c r="CK55" s="43" t="n"/>
      <c r="CL55" s="43" t="n"/>
      <c r="CM55" s="43" t="n"/>
      <c r="CN55" s="43" t="n"/>
      <c r="CO55" s="43" t="n"/>
      <c r="CP55" s="43" t="inlineStr">
        <is>
          <t>风险管理和内部控制</t>
        </is>
      </c>
      <c r="CQ55" s="43" t="n"/>
      <c r="CR55" s="43" t="n">
        <v>7</v>
      </c>
      <c r="CS55" s="43" t="inlineStr">
        <is>
          <t>T1#</t>
        </is>
      </c>
      <c r="CT55" s="187" t="inlineStr">
        <is>
          <t>N</t>
        </is>
      </c>
      <c r="CU55" s="187" t="n"/>
      <c r="CV55" s="187" t="n"/>
      <c r="CW55" s="1" t="n"/>
      <c r="CX55" s="1" t="n"/>
      <c r="CY55" s="1" t="n"/>
      <c r="CZ55" s="1" t="n"/>
      <c r="DA55" s="1" t="n"/>
      <c r="DB55" s="1" t="n"/>
      <c r="DC55" s="1" t="n"/>
    </row>
    <row r="56" ht="15" customFormat="1" customHeight="1" s="42">
      <c r="A56" s="43" t="inlineStr">
        <is>
          <t>evelynRen(任晶)</t>
        </is>
      </c>
      <c r="B56" s="43" t="n"/>
      <c r="C56" s="43" t="n">
        <v>73942639</v>
      </c>
      <c r="D56" s="43" t="inlineStr">
        <is>
          <t>行政支持中心</t>
        </is>
      </c>
      <c r="E56" s="43" t="inlineStr">
        <is>
          <t>秘书组</t>
        </is>
      </c>
      <c r="F56" s="43" t="n"/>
      <c r="G56" s="44" t="inlineStr">
        <is>
          <t>S2职能系统－财经线/行政支持中心/秘书组</t>
        </is>
      </c>
      <c r="H56" s="179" t="n">
        <v>42099</v>
      </c>
      <c r="I56" s="43" t="inlineStr">
        <is>
          <t>高校招聘</t>
        </is>
      </c>
      <c r="J56" s="43" t="inlineStr">
        <is>
          <t>财经类－FN</t>
        </is>
      </c>
      <c r="K56" s="43" t="inlineStr">
        <is>
          <t>公司秘书</t>
        </is>
      </c>
      <c r="L56" s="46" t="inlineStr">
        <is>
          <t>S8</t>
        </is>
      </c>
      <c r="M56" s="46" t="n"/>
      <c r="N56" s="43" t="inlineStr">
        <is>
          <t>T2</t>
        </is>
      </c>
      <c r="O56" s="43" t="n"/>
      <c r="P56" s="180" t="n"/>
      <c r="Q56" s="44" t="inlineStr">
        <is>
          <t>G,G</t>
        </is>
      </c>
      <c r="R56" s="44" t="n"/>
      <c r="S56" s="43" t="n"/>
      <c r="T56" s="180" t="n"/>
      <c r="U56" s="1" t="n">
        <v>44799.65</v>
      </c>
      <c r="V56" s="108" t="n">
        <v>0.083333</v>
      </c>
      <c r="W56" s="46" t="inlineStr">
        <is>
          <t>CNY</t>
        </is>
      </c>
      <c r="X56" s="181" t="n">
        <v>1</v>
      </c>
      <c r="Y56" s="1" t="n">
        <v>41547.05</v>
      </c>
      <c r="Z56" s="1" t="n">
        <v>0</v>
      </c>
      <c r="AA56" s="1" t="n">
        <v>89599.3</v>
      </c>
      <c r="AB56" s="1" t="n">
        <v>62255</v>
      </c>
      <c r="AC56" s="48" t="n">
        <v>0</v>
      </c>
      <c r="AD56" s="1" t="n"/>
      <c r="AE56" s="48" t="n"/>
      <c r="AF56" s="1" t="n">
        <v>0</v>
      </c>
      <c r="AG56" s="1" t="n">
        <v>151854.3</v>
      </c>
      <c r="AH56" s="182" t="n">
        <v>3.654995962408883</v>
      </c>
      <c r="AI56" s="1" t="n">
        <v>151854.3</v>
      </c>
      <c r="AJ56" s="183" t="n">
        <v>3.654995962408883</v>
      </c>
      <c r="AK56" s="183" t="n">
        <v>3.654995962408883</v>
      </c>
      <c r="AL56" s="108" t="n"/>
      <c r="AM56" s="183" t="n"/>
      <c r="AN56" s="183" t="n"/>
      <c r="AO56" s="1" t="n"/>
      <c r="AP56" s="48" t="n"/>
      <c r="AQ56" s="1" t="n">
        <v>151854.3</v>
      </c>
      <c r="AR56" s="183" t="n">
        <v>3.654995962408883</v>
      </c>
      <c r="AS56" s="98" t="n">
        <v>0.8588072616219884</v>
      </c>
      <c r="AT56" s="183" t="n"/>
      <c r="AU56" s="1" t="n"/>
      <c r="AV56" s="48" t="n"/>
      <c r="AW56" s="1" t="n"/>
      <c r="AX56" s="48" t="n"/>
      <c r="AY56" s="1" t="n"/>
      <c r="AZ56" s="48" t="n"/>
      <c r="BA56" s="51" t="n"/>
      <c r="BB56" s="180" t="n"/>
      <c r="BC56" s="1" t="n"/>
      <c r="BD56" s="1" t="n"/>
      <c r="BE56" s="180" t="n"/>
      <c r="BF56" s="1" t="n"/>
      <c r="BG56" s="1" t="n"/>
      <c r="BH56" s="1" t="n"/>
      <c r="BI56" s="1" t="n"/>
      <c r="BJ56" s="52" t="n"/>
      <c r="BK56" s="52" t="n"/>
      <c r="BL56" s="184" t="n">
        <v>1</v>
      </c>
      <c r="BM56" s="1" t="n">
        <v>37995</v>
      </c>
      <c r="BN56" s="1" t="n">
        <v>0</v>
      </c>
      <c r="BO56" s="1" t="n">
        <v>39930</v>
      </c>
      <c r="BP56" s="43" t="inlineStr">
        <is>
          <t>O,G</t>
        </is>
      </c>
      <c r="BQ56" s="43" t="inlineStr">
        <is>
          <t>T2</t>
        </is>
      </c>
      <c r="BR56" s="1" t="n">
        <v>176820</v>
      </c>
      <c r="BS56" s="185" t="n">
        <v>4.653770232925384</v>
      </c>
      <c r="BT56" s="1" t="n">
        <v>0</v>
      </c>
      <c r="BU56" s="1" t="n">
        <v>176820</v>
      </c>
      <c r="BV56" s="54" t="n">
        <v>4.653770232925384</v>
      </c>
      <c r="BW56" s="54" t="n"/>
      <c r="BX56" s="1" t="n"/>
      <c r="BY56" s="1" t="n">
        <v>176820</v>
      </c>
      <c r="BZ56" s="54" t="n">
        <v>4.653770232925384</v>
      </c>
      <c r="CA56" s="54" t="n"/>
      <c r="CB56" s="186" t="n"/>
      <c r="CC56" s="186" t="n"/>
      <c r="CD56" s="186" t="n"/>
      <c r="CE56" s="52" t="n"/>
      <c r="CF56" s="52" t="n"/>
      <c r="CG56" s="43" t="n"/>
      <c r="CH56" s="43" t="n"/>
      <c r="CI56" s="43" t="n"/>
      <c r="CJ56" s="43" t="n"/>
      <c r="CK56" s="43" t="n"/>
      <c r="CL56" s="43" t="n"/>
      <c r="CM56" s="43" t="n"/>
      <c r="CN56" s="43" t="n"/>
      <c r="CO56" s="43" t="n"/>
      <c r="CP56" s="43" t="inlineStr">
        <is>
          <t>行政支持中心</t>
        </is>
      </c>
      <c r="CQ56" s="43" t="inlineStr">
        <is>
          <t>3,3</t>
        </is>
      </c>
      <c r="CR56" s="43" t="n">
        <v>8</v>
      </c>
      <c r="CS56" s="43" t="inlineStr">
        <is>
          <t>T2</t>
        </is>
      </c>
      <c r="CT56" s="187" t="inlineStr">
        <is>
          <t>N</t>
        </is>
      </c>
      <c r="CU56" s="187" t="n"/>
      <c r="CV56" s="187" t="n"/>
      <c r="CW56" s="1" t="n"/>
      <c r="CX56" s="1" t="n"/>
      <c r="CY56" s="1" t="n"/>
      <c r="CZ56" s="1" t="n"/>
      <c r="DA56" s="1" t="n"/>
      <c r="DB56" s="1" t="n"/>
      <c r="DC56" s="1" t="n"/>
    </row>
    <row r="57" ht="15" customFormat="1" customHeight="1" s="42">
      <c r="A57" s="43" t="inlineStr">
        <is>
          <t>penelopeGong(龚玲)</t>
        </is>
      </c>
      <c r="B57" s="43" t="n"/>
      <c r="C57" s="43" t="n">
        <v>67957145</v>
      </c>
      <c r="D57" s="43" t="inlineStr">
        <is>
          <t>CFO办公室</t>
        </is>
      </c>
      <c r="E57" s="43" t="inlineStr">
        <is>
          <t>管理决策委员会</t>
        </is>
      </c>
      <c r="F57" s="43" t="n"/>
      <c r="G57" s="44" t="inlineStr">
        <is>
          <t>S2职能系统－财经线/CFO办公室/管理决策委员会</t>
        </is>
      </c>
      <c r="H57" s="179" t="n">
        <v>45202</v>
      </c>
      <c r="I57" s="43" t="inlineStr">
        <is>
          <t>社会招聘</t>
        </is>
      </c>
      <c r="J57" s="43" t="inlineStr">
        <is>
          <t>财经类－FN</t>
        </is>
      </c>
      <c r="K57" s="43" t="inlineStr">
        <is>
          <t>投资者关系</t>
        </is>
      </c>
      <c r="L57" s="46" t="inlineStr">
        <is>
          <t>S10</t>
        </is>
      </c>
      <c r="M57" s="46" t="n"/>
      <c r="N57" s="43" t="inlineStr">
        <is>
          <t>T1</t>
        </is>
      </c>
      <c r="O57" s="43" t="n"/>
      <c r="P57" s="180" t="n"/>
      <c r="Q57" s="44" t="inlineStr">
        <is>
          <t>G,U</t>
        </is>
      </c>
      <c r="R57" s="44" t="n"/>
      <c r="S57" s="43" t="n"/>
      <c r="T57" s="180" t="n"/>
      <c r="U57" s="1" t="n">
        <v>36092.25</v>
      </c>
      <c r="V57" s="108" t="n">
        <v>0.083333</v>
      </c>
      <c r="W57" s="46" t="inlineStr">
        <is>
          <t>CNY</t>
        </is>
      </c>
      <c r="X57" s="181" t="n">
        <v>1</v>
      </c>
      <c r="Y57" s="1" t="n">
        <v>34170.37</v>
      </c>
      <c r="Z57" s="1" t="n">
        <v>0</v>
      </c>
      <c r="AA57" s="1" t="n">
        <v>36092.25</v>
      </c>
      <c r="AB57" s="1" t="n">
        <v>76195</v>
      </c>
      <c r="AC57" s="48" t="n">
        <v>0</v>
      </c>
      <c r="AD57" s="1" t="n"/>
      <c r="AE57" s="48" t="n"/>
      <c r="AF57" s="1" t="n">
        <v>0</v>
      </c>
      <c r="AG57" s="1" t="n">
        <v>112287.25</v>
      </c>
      <c r="AH57" s="182" t="n">
        <v>3.28609991638955</v>
      </c>
      <c r="AI57" s="1" t="n">
        <v>112287.25</v>
      </c>
      <c r="AJ57" s="183" t="n">
        <v>3.28609991638955</v>
      </c>
      <c r="AK57" s="183" t="n">
        <v>3.28609991638955</v>
      </c>
      <c r="AL57" s="108" t="n"/>
      <c r="AM57" s="183" t="n"/>
      <c r="AN57" s="183" t="n"/>
      <c r="AO57" s="1" t="n"/>
      <c r="AP57" s="48" t="n"/>
      <c r="AQ57" s="1" t="n">
        <v>112287.25</v>
      </c>
      <c r="AR57" s="183" t="n">
        <v>3.28609991638955</v>
      </c>
      <c r="AS57" s="98" t="n">
        <v>14.84299405155321</v>
      </c>
      <c r="AT57" s="183" t="n"/>
      <c r="AU57" s="1" t="n"/>
      <c r="AV57" s="48" t="n"/>
      <c r="AW57" s="1" t="n"/>
      <c r="AX57" s="48" t="n"/>
      <c r="AY57" s="1" t="n"/>
      <c r="AZ57" s="48" t="n"/>
      <c r="BA57" s="51" t="n"/>
      <c r="BB57" s="180" t="n"/>
      <c r="BC57" s="1" t="n"/>
      <c r="BD57" s="1" t="n"/>
      <c r="BE57" s="180" t="n"/>
      <c r="BF57" s="1" t="n"/>
      <c r="BG57" s="1" t="n"/>
      <c r="BH57" s="1" t="n"/>
      <c r="BI57" s="1" t="n"/>
      <c r="BJ57" s="52" t="n"/>
      <c r="BK57" s="52" t="n"/>
      <c r="BL57" s="184" t="n">
        <v>0.243835616438356</v>
      </c>
      <c r="BM57" s="1" t="n">
        <v>31040</v>
      </c>
      <c r="BN57" s="1" t="n">
        <v>0</v>
      </c>
      <c r="BO57" s="1" t="n">
        <v>31040</v>
      </c>
      <c r="BP57" s="43" t="inlineStr">
        <is>
          <t>N,G</t>
        </is>
      </c>
      <c r="BQ57" s="43" t="inlineStr">
        <is>
          <t>T1</t>
        </is>
      </c>
      <c r="BR57" s="1" t="n">
        <v>7565</v>
      </c>
      <c r="BS57" s="185" t="n">
        <v>0.2437177835051546</v>
      </c>
      <c r="BT57" s="1" t="n">
        <v>0</v>
      </c>
      <c r="BU57" s="1" t="n">
        <v>7565</v>
      </c>
      <c r="BV57" s="54" t="n">
        <v>0.2437177835051546</v>
      </c>
      <c r="BW57" s="54" t="n"/>
      <c r="BX57" s="1" t="n"/>
      <c r="BY57" s="1" t="n">
        <v>7565</v>
      </c>
      <c r="BZ57" s="54" t="n">
        <v>0.2437177835051546</v>
      </c>
      <c r="CA57" s="54" t="n"/>
      <c r="CB57" s="186" t="n"/>
      <c r="CC57" s="186" t="n"/>
      <c r="CD57" s="186" t="n"/>
      <c r="CE57" s="52" t="n"/>
      <c r="CF57" s="52" t="n"/>
      <c r="CG57" s="43" t="n"/>
      <c r="CH57" s="43" t="n"/>
      <c r="CI57" s="43" t="n"/>
      <c r="CJ57" s="43" t="n"/>
      <c r="CK57" s="43" t="n"/>
      <c r="CL57" s="43" t="n"/>
      <c r="CM57" s="43" t="n"/>
      <c r="CN57" s="43" t="n"/>
      <c r="CO57" s="43" t="n"/>
      <c r="CP57" s="43" t="inlineStr">
        <is>
          <t>CFO办公室</t>
        </is>
      </c>
      <c r="CQ57" s="43" t="inlineStr">
        <is>
          <t>3,1</t>
        </is>
      </c>
      <c r="CR57" s="43" t="n">
        <v>10</v>
      </c>
      <c r="CS57" s="43" t="inlineStr">
        <is>
          <t>T1</t>
        </is>
      </c>
      <c r="CT57" s="187" t="inlineStr">
        <is>
          <t>N</t>
        </is>
      </c>
      <c r="CU57" s="187" t="n"/>
      <c r="CV57" s="187" t="n"/>
      <c r="CW57" s="1" t="n"/>
      <c r="CX57" s="1" t="n"/>
      <c r="CY57" s="1" t="n"/>
      <c r="CZ57" s="1" t="n"/>
      <c r="DA57" s="1" t="n"/>
      <c r="DB57" s="1" t="n"/>
      <c r="DC57" s="1" t="n"/>
    </row>
    <row r="58" ht="15" customFormat="1" customHeight="1" s="42">
      <c r="A58" s="43" t="inlineStr">
        <is>
          <t>johnnyHong(洪国文)</t>
        </is>
      </c>
      <c r="B58" s="43" t="n"/>
      <c r="C58" s="43" t="n">
        <v>1185225</v>
      </c>
      <c r="D58" s="43" t="inlineStr">
        <is>
          <t>风险管理和内部控制</t>
        </is>
      </c>
      <c r="E58" s="43" t="inlineStr">
        <is>
          <t>WXG风控中心</t>
        </is>
      </c>
      <c r="F58" s="43" t="n"/>
      <c r="G58" s="44" t="inlineStr">
        <is>
          <t>S2职能系统－财经线/风险管理和内部控制/WXG风控中心</t>
        </is>
      </c>
      <c r="H58" s="179" t="n">
        <v>45140</v>
      </c>
      <c r="I58" s="43" t="inlineStr">
        <is>
          <t>社会招聘</t>
        </is>
      </c>
      <c r="J58" s="43" t="inlineStr">
        <is>
          <t>财经类－FN</t>
        </is>
      </c>
      <c r="K58" s="43" t="inlineStr">
        <is>
          <t>风险管理</t>
        </is>
      </c>
      <c r="L58" s="46" t="inlineStr">
        <is>
          <t>S10</t>
        </is>
      </c>
      <c r="M58" s="46" t="n"/>
      <c r="N58" s="43" t="inlineStr">
        <is>
          <t>T2</t>
        </is>
      </c>
      <c r="O58" s="43" t="n"/>
      <c r="P58" s="180" t="n"/>
      <c r="Q58" s="44" t="inlineStr">
        <is>
          <t>U,O</t>
        </is>
      </c>
      <c r="R58" s="44" t="n"/>
      <c r="S58" s="43" t="n"/>
      <c r="T58" s="180" t="n"/>
      <c r="U58" s="1" t="n">
        <v>45198.7</v>
      </c>
      <c r="V58" s="108" t="n">
        <v>0.083333</v>
      </c>
      <c r="W58" s="46" t="inlineStr">
        <is>
          <t>CNY</t>
        </is>
      </c>
      <c r="X58" s="181" t="n">
        <v>1</v>
      </c>
      <c r="Y58" s="1" t="n">
        <v>44369.12</v>
      </c>
      <c r="Z58" s="1" t="n">
        <v>0</v>
      </c>
      <c r="AA58" s="1" t="n">
        <v>90397.39999999999</v>
      </c>
      <c r="AB58" s="1" t="n">
        <v>60325</v>
      </c>
      <c r="AC58" s="48" t="n">
        <v>0</v>
      </c>
      <c r="AD58" s="1" t="n"/>
      <c r="AE58" s="48" t="n"/>
      <c r="AF58" s="1" t="n">
        <v>0</v>
      </c>
      <c r="AG58" s="1" t="n">
        <v>150722.4</v>
      </c>
      <c r="AH58" s="182" t="n">
        <v>3.397011254674422</v>
      </c>
      <c r="AI58" s="1" t="n">
        <v>150722.4</v>
      </c>
      <c r="AJ58" s="183" t="n">
        <v>3.397011254674422</v>
      </c>
      <c r="AK58" s="183" t="n">
        <v>3.397011254674422</v>
      </c>
      <c r="AL58" s="108" t="n"/>
      <c r="AM58" s="183" t="n"/>
      <c r="AN58" s="183" t="n"/>
      <c r="AO58" s="1" t="n"/>
      <c r="AP58" s="48" t="n"/>
      <c r="AQ58" s="1" t="n">
        <v>150722.4</v>
      </c>
      <c r="AR58" s="183" t="n">
        <v>3.397011254674422</v>
      </c>
      <c r="AS58" s="98" t="n">
        <v>9.303851851851851</v>
      </c>
      <c r="AT58" s="183" t="n"/>
      <c r="AU58" s="1" t="n"/>
      <c r="AV58" s="48" t="n"/>
      <c r="AW58" s="1" t="n"/>
      <c r="AX58" s="48" t="n"/>
      <c r="AY58" s="1" t="n"/>
      <c r="AZ58" s="48" t="n"/>
      <c r="BA58" s="51" t="n"/>
      <c r="BB58" s="180" t="n"/>
      <c r="BC58" s="1" t="n"/>
      <c r="BD58" s="1" t="n"/>
      <c r="BE58" s="180" t="n"/>
      <c r="BF58" s="1" t="n"/>
      <c r="BG58" s="1" t="n"/>
      <c r="BH58" s="1" t="n"/>
      <c r="BI58" s="1" t="n"/>
      <c r="BJ58" s="52" t="n"/>
      <c r="BK58" s="52" t="n"/>
      <c r="BL58" s="184" t="n">
        <v>0.413698630136986</v>
      </c>
      <c r="BM58" s="1" t="n">
        <v>39165</v>
      </c>
      <c r="BN58" s="1" t="n">
        <v>0</v>
      </c>
      <c r="BO58" s="1" t="n">
        <v>39165</v>
      </c>
      <c r="BP58" s="43" t="inlineStr">
        <is>
          <t>N,G</t>
        </is>
      </c>
      <c r="BQ58" s="43" t="inlineStr">
        <is>
          <t>T1#</t>
        </is>
      </c>
      <c r="BR58" s="1" t="n">
        <v>16200</v>
      </c>
      <c r="BS58" s="185" t="n">
        <v>0.4136346227499043</v>
      </c>
      <c r="BT58" s="1" t="n">
        <v>0</v>
      </c>
      <c r="BU58" s="1" t="n">
        <v>16200</v>
      </c>
      <c r="BV58" s="54" t="n">
        <v>0.4136346227499043</v>
      </c>
      <c r="BW58" s="54" t="n"/>
      <c r="BX58" s="1" t="n"/>
      <c r="BY58" s="1" t="n">
        <v>16200</v>
      </c>
      <c r="BZ58" s="54" t="n">
        <v>0.4136346227499043</v>
      </c>
      <c r="CA58" s="54" t="n"/>
      <c r="CB58" s="186" t="n"/>
      <c r="CC58" s="186" t="n"/>
      <c r="CD58" s="186" t="n"/>
      <c r="CE58" s="52" t="n"/>
      <c r="CF58" s="52" t="n"/>
      <c r="CG58" s="43" t="n"/>
      <c r="CH58" s="43" t="n"/>
      <c r="CI58" s="43" t="n"/>
      <c r="CJ58" s="43" t="n"/>
      <c r="CK58" s="43" t="n"/>
      <c r="CL58" s="43" t="n"/>
      <c r="CM58" s="43" t="n"/>
      <c r="CN58" s="43" t="n"/>
      <c r="CO58" s="43" t="n"/>
      <c r="CP58" s="43" t="inlineStr">
        <is>
          <t>风险管理和内部控制</t>
        </is>
      </c>
      <c r="CQ58" s="43" t="inlineStr">
        <is>
          <t>5,1</t>
        </is>
      </c>
      <c r="CR58" s="43" t="n">
        <v>10</v>
      </c>
      <c r="CS58" s="43" t="inlineStr">
        <is>
          <t>T2</t>
        </is>
      </c>
      <c r="CT58" s="187" t="inlineStr">
        <is>
          <t>N</t>
        </is>
      </c>
      <c r="CU58" s="187" t="n"/>
      <c r="CV58" s="187" t="n"/>
      <c r="CW58" s="1" t="n"/>
      <c r="CX58" s="1" t="n"/>
      <c r="CY58" s="1" t="n"/>
      <c r="CZ58" s="1" t="n"/>
      <c r="DA58" s="1" t="n"/>
      <c r="DB58" s="1" t="n"/>
      <c r="DC58" s="1" t="n"/>
    </row>
    <row r="59" ht="15" customFormat="1" customHeight="1" s="42">
      <c r="A59" s="43" t="inlineStr">
        <is>
          <t>elijahFan(范天骏)</t>
        </is>
      </c>
      <c r="B59" s="43" t="n"/>
      <c r="C59" s="43" t="n">
        <v>1284819</v>
      </c>
      <c r="D59" s="43" t="inlineStr">
        <is>
          <t>S2人力资源中心</t>
        </is>
      </c>
      <c r="E59" s="43" t="inlineStr">
        <is>
          <t>S2人力资源中心</t>
        </is>
      </c>
      <c r="F59" s="43" t="n"/>
      <c r="G59" s="44" t="inlineStr">
        <is>
          <t>S2职能系统－财经线/S2人力资源中心</t>
        </is>
      </c>
      <c r="H59" s="179" t="n">
        <v>36501</v>
      </c>
      <c r="I59" s="43" t="inlineStr">
        <is>
          <t>社会招聘</t>
        </is>
      </c>
      <c r="J59" s="43" t="inlineStr">
        <is>
          <t>财经类－FN</t>
        </is>
      </c>
      <c r="K59" s="43" t="inlineStr">
        <is>
          <t>财经系统交付管理</t>
        </is>
      </c>
      <c r="L59" s="46" t="inlineStr">
        <is>
          <t>S12</t>
        </is>
      </c>
      <c r="M59" s="46" t="n"/>
      <c r="N59" s="43" t="inlineStr">
        <is>
          <t>T2</t>
        </is>
      </c>
      <c r="O59" s="43" t="n"/>
      <c r="P59" s="180" t="n"/>
      <c r="Q59" s="44" t="inlineStr">
        <is>
          <t>O,G</t>
        </is>
      </c>
      <c r="R59" s="44" t="n"/>
      <c r="S59" s="43" t="n"/>
      <c r="T59" s="180" t="n"/>
      <c r="U59" s="1" t="n">
        <v>73282.2</v>
      </c>
      <c r="V59" s="108" t="n">
        <v>0.083333</v>
      </c>
      <c r="W59" s="46" t="inlineStr">
        <is>
          <t>CNY</t>
        </is>
      </c>
      <c r="X59" s="181" t="n">
        <v>1</v>
      </c>
      <c r="Y59" s="1" t="n">
        <v>66356.53</v>
      </c>
      <c r="Z59" s="1" t="n">
        <v>0</v>
      </c>
      <c r="AA59" s="1" t="n">
        <v>219846.6</v>
      </c>
      <c r="AB59" s="1" t="n">
        <v>87700</v>
      </c>
      <c r="AC59" s="48" t="n">
        <v>0</v>
      </c>
      <c r="AD59" s="1" t="n"/>
      <c r="AE59" s="48" t="n"/>
      <c r="AF59" s="1" t="n">
        <v>0</v>
      </c>
      <c r="AG59" s="1" t="n">
        <v>307546.6</v>
      </c>
      <c r="AH59" s="182" t="n">
        <v>4.634760135890168</v>
      </c>
      <c r="AI59" s="1" t="n">
        <v>307546.6</v>
      </c>
      <c r="AJ59" s="183" t="n">
        <v>4.634760135890168</v>
      </c>
      <c r="AK59" s="183" t="n">
        <v>4.634760135890168</v>
      </c>
      <c r="AL59" s="108" t="n"/>
      <c r="AM59" s="183" t="n"/>
      <c r="AN59" s="183" t="n"/>
      <c r="AO59" s="1" t="n"/>
      <c r="AP59" s="48" t="n"/>
      <c r="AQ59" s="1" t="n">
        <v>307546.6</v>
      </c>
      <c r="AR59" s="183" t="n">
        <v>4.634760135890168</v>
      </c>
      <c r="AS59" s="98" t="n">
        <v>1.997444956809768</v>
      </c>
      <c r="AT59" s="183" t="n"/>
      <c r="AU59" s="1" t="n"/>
      <c r="AV59" s="48" t="n"/>
      <c r="AW59" s="1" t="n"/>
      <c r="AX59" s="48" t="n"/>
      <c r="AY59" s="1" t="n"/>
      <c r="AZ59" s="48" t="n"/>
      <c r="BA59" s="51" t="n"/>
      <c r="BB59" s="180" t="n"/>
      <c r="BC59" s="1" t="n"/>
      <c r="BD59" s="1" t="n"/>
      <c r="BE59" s="180" t="n"/>
      <c r="BF59" s="1" t="n"/>
      <c r="BG59" s="1" t="n"/>
      <c r="BH59" s="1" t="n"/>
      <c r="BI59" s="1" t="n"/>
      <c r="BJ59" s="52" t="n"/>
      <c r="BK59" s="52" t="n"/>
      <c r="BL59" s="184" t="n">
        <v>1</v>
      </c>
      <c r="BM59" s="1" t="n">
        <v>58965</v>
      </c>
      <c r="BN59" s="1" t="n">
        <v>0</v>
      </c>
      <c r="BO59" s="1" t="n">
        <v>64085</v>
      </c>
      <c r="BP59" s="43" t="inlineStr">
        <is>
          <t>G,U</t>
        </is>
      </c>
      <c r="BQ59" s="43" t="inlineStr">
        <is>
          <t>T2</t>
        </is>
      </c>
      <c r="BR59" s="1" t="n">
        <v>153970</v>
      </c>
      <c r="BS59" s="185" t="n">
        <v>2.611210039854151</v>
      </c>
      <c r="BT59" s="1" t="n">
        <v>0</v>
      </c>
      <c r="BU59" s="1" t="n">
        <v>153970</v>
      </c>
      <c r="BV59" s="54" t="n">
        <v>2.611210039854151</v>
      </c>
      <c r="BW59" s="54" t="n"/>
      <c r="BX59" s="1" t="n"/>
      <c r="BY59" s="1" t="n">
        <v>153970</v>
      </c>
      <c r="BZ59" s="54" t="n">
        <v>2.611210039854151</v>
      </c>
      <c r="CA59" s="54" t="n"/>
      <c r="CB59" s="186" t="n"/>
      <c r="CC59" s="186" t="n"/>
      <c r="CD59" s="186" t="n"/>
      <c r="CE59" s="52" t="n"/>
      <c r="CF59" s="52" t="n"/>
      <c r="CG59" s="43" t="n"/>
      <c r="CH59" s="43" t="n"/>
      <c r="CI59" s="43" t="n"/>
      <c r="CJ59" s="43" t="n"/>
      <c r="CK59" s="43" t="n"/>
      <c r="CL59" s="43" t="n"/>
      <c r="CM59" s="43" t="n"/>
      <c r="CN59" s="43" t="n"/>
      <c r="CO59" s="43" t="n"/>
      <c r="CP59" s="43" t="inlineStr">
        <is>
          <t>S2人力资源中心</t>
        </is>
      </c>
      <c r="CQ59" s="43" t="inlineStr">
        <is>
          <t>5,3</t>
        </is>
      </c>
      <c r="CR59" s="43" t="n">
        <v>12</v>
      </c>
      <c r="CS59" s="43" t="inlineStr">
        <is>
          <t>T2</t>
        </is>
      </c>
      <c r="CT59" s="187" t="inlineStr">
        <is>
          <t>N</t>
        </is>
      </c>
      <c r="CU59" s="187" t="n"/>
      <c r="CV59" s="187" t="n"/>
      <c r="CW59" s="1" t="n"/>
      <c r="CX59" s="1" t="n"/>
      <c r="CY59" s="1" t="n"/>
      <c r="CZ59" s="1" t="n"/>
      <c r="DA59" s="1" t="n"/>
      <c r="DB59" s="1" t="n"/>
      <c r="DC59" s="1" t="n"/>
    </row>
    <row r="60" ht="15" customFormat="1" customHeight="1" s="42">
      <c r="A60" s="43" t="inlineStr">
        <is>
          <t>katherineDuan(段畅苑)</t>
        </is>
      </c>
      <c r="B60" s="43" t="n"/>
      <c r="C60" s="43" t="n">
        <v>90032706</v>
      </c>
      <c r="D60" s="43" t="inlineStr">
        <is>
          <t>反舞弊调查部</t>
        </is>
      </c>
      <c r="E60" s="43" t="inlineStr">
        <is>
          <t>海外反舞弊工作组</t>
        </is>
      </c>
      <c r="F60" s="43" t="n"/>
      <c r="G60" s="44" t="inlineStr">
        <is>
          <t>S2职能系统－财经线/反舞弊调查部/海外反舞弊工作组</t>
        </is>
      </c>
      <c r="H60" s="179" t="n">
        <v>43694</v>
      </c>
      <c r="I60" s="43" t="inlineStr">
        <is>
          <t>高校招聘</t>
        </is>
      </c>
      <c r="J60" s="43" t="inlineStr">
        <is>
          <t>财经类－FN</t>
        </is>
      </c>
      <c r="K60" s="43" t="inlineStr">
        <is>
          <t>风险管理</t>
        </is>
      </c>
      <c r="L60" s="46" t="inlineStr">
        <is>
          <t>S5</t>
        </is>
      </c>
      <c r="M60" s="46" t="n"/>
      <c r="N60" s="43" t="inlineStr">
        <is>
          <t>T2</t>
        </is>
      </c>
      <c r="O60" s="43" t="n"/>
      <c r="P60" s="180" t="n"/>
      <c r="Q60" s="44" t="inlineStr">
        <is>
          <t>O,G</t>
        </is>
      </c>
      <c r="R60" s="44" t="n"/>
      <c r="S60" s="43" t="n"/>
      <c r="T60" s="180" t="n"/>
      <c r="U60" s="1" t="n">
        <v>17822.05</v>
      </c>
      <c r="V60" s="108" t="n">
        <v>0.083333</v>
      </c>
      <c r="W60" s="46" t="inlineStr">
        <is>
          <t>CNY</t>
        </is>
      </c>
      <c r="X60" s="181" t="n">
        <v>1</v>
      </c>
      <c r="Y60" s="1" t="n">
        <v>16296.29</v>
      </c>
      <c r="Z60" s="1" t="n">
        <v>0</v>
      </c>
      <c r="AA60" s="1" t="n">
        <v>53466.15</v>
      </c>
      <c r="AB60" s="1" t="n">
        <v>20935</v>
      </c>
      <c r="AC60" s="48" t="n">
        <v>0</v>
      </c>
      <c r="AD60" s="1" t="n"/>
      <c r="AE60" s="48" t="n"/>
      <c r="AF60" s="1" t="n">
        <v>0</v>
      </c>
      <c r="AG60" s="1" t="n">
        <v>74401.14999999999</v>
      </c>
      <c r="AH60" s="182" t="n">
        <v>4.56552687758993</v>
      </c>
      <c r="AI60" s="1" t="n">
        <v>74401.14999999999</v>
      </c>
      <c r="AJ60" s="183" t="n">
        <v>4.56552687758993</v>
      </c>
      <c r="AK60" s="183" t="n">
        <v>4.56552687758993</v>
      </c>
      <c r="AL60" s="108" t="n"/>
      <c r="AM60" s="183" t="n"/>
      <c r="AN60" s="183" t="n"/>
      <c r="AO60" s="1" t="n"/>
      <c r="AP60" s="48" t="n"/>
      <c r="AQ60" s="1" t="n">
        <v>74401.14999999999</v>
      </c>
      <c r="AR60" s="183" t="n">
        <v>4.56552687758993</v>
      </c>
      <c r="AS60" s="98" t="n">
        <v>1.266510341305643</v>
      </c>
      <c r="AT60" s="183" t="n"/>
      <c r="AU60" s="1" t="n"/>
      <c r="AV60" s="48" t="n"/>
      <c r="AW60" s="1" t="n"/>
      <c r="AX60" s="48" t="n"/>
      <c r="AY60" s="1" t="n"/>
      <c r="AZ60" s="48" t="n"/>
      <c r="BA60" s="51" t="n"/>
      <c r="BB60" s="180" t="n"/>
      <c r="BC60" s="1" t="n"/>
      <c r="BD60" s="1" t="n"/>
      <c r="BE60" s="180" t="n"/>
      <c r="BF60" s="1" t="n"/>
      <c r="BG60" s="1" t="n"/>
      <c r="BH60" s="1" t="n"/>
      <c r="BI60" s="1" t="n"/>
      <c r="BJ60" s="52" t="n"/>
      <c r="BK60" s="52" t="n"/>
      <c r="BL60" s="184" t="n">
        <v>1</v>
      </c>
      <c r="BM60" s="1" t="n">
        <v>15605</v>
      </c>
      <c r="BN60" s="1" t="n">
        <v>0</v>
      </c>
      <c r="BO60" s="1" t="n">
        <v>16895</v>
      </c>
      <c r="BP60" s="43" t="inlineStr">
        <is>
          <t>U,O</t>
        </is>
      </c>
      <c r="BQ60" s="43" t="inlineStr">
        <is>
          <t>T2</t>
        </is>
      </c>
      <c r="BR60" s="1" t="n">
        <v>58745</v>
      </c>
      <c r="BS60" s="185" t="n">
        <v>3.764498558154438</v>
      </c>
      <c r="BT60" s="1" t="n">
        <v>0</v>
      </c>
      <c r="BU60" s="1" t="n">
        <v>58745</v>
      </c>
      <c r="BV60" s="54" t="n">
        <v>3.764498558154438</v>
      </c>
      <c r="BW60" s="54" t="n"/>
      <c r="BX60" s="1" t="n"/>
      <c r="BY60" s="1" t="n">
        <v>58745</v>
      </c>
      <c r="BZ60" s="54" t="n">
        <v>3.764498558154438</v>
      </c>
      <c r="CA60" s="54" t="n"/>
      <c r="CB60" s="186" t="n"/>
      <c r="CC60" s="186" t="n"/>
      <c r="CD60" s="186" t="n"/>
      <c r="CE60" s="52" t="n"/>
      <c r="CF60" s="52" t="n"/>
      <c r="CG60" s="43" t="n"/>
      <c r="CH60" s="43" t="n"/>
      <c r="CI60" s="43" t="n"/>
      <c r="CJ60" s="43" t="n"/>
      <c r="CK60" s="43" t="n"/>
      <c r="CL60" s="43" t="n"/>
      <c r="CM60" s="43" t="n"/>
      <c r="CN60" s="43" t="n"/>
      <c r="CO60" s="43" t="n"/>
      <c r="CP60" s="43" t="inlineStr">
        <is>
          <t>反舞弊调查部</t>
        </is>
      </c>
      <c r="CQ60" s="43" t="inlineStr">
        <is>
          <t>5,3</t>
        </is>
      </c>
      <c r="CR60" s="43" t="n">
        <v>5</v>
      </c>
      <c r="CS60" s="43" t="inlineStr">
        <is>
          <t>T2</t>
        </is>
      </c>
      <c r="CT60" s="187" t="inlineStr">
        <is>
          <t>N</t>
        </is>
      </c>
      <c r="CU60" s="187" t="n"/>
      <c r="CV60" s="187" t="n"/>
      <c r="CW60" s="1" t="n"/>
      <c r="CX60" s="1" t="n"/>
      <c r="CY60" s="1" t="n"/>
      <c r="CZ60" s="1" t="n"/>
      <c r="DA60" s="1" t="n"/>
      <c r="DB60" s="1" t="n"/>
      <c r="DC60" s="1" t="n"/>
    </row>
    <row r="61" ht="15" customFormat="1" customHeight="1" s="42">
      <c r="A61" s="43" t="inlineStr">
        <is>
          <t>richardWei(魏炜锐)</t>
        </is>
      </c>
      <c r="B61" s="43" t="n"/>
      <c r="C61" s="43" t="n">
        <v>15306183</v>
      </c>
      <c r="D61" s="43" t="inlineStr">
        <is>
          <t>CSIG财务管理</t>
        </is>
      </c>
      <c r="E61" s="43" t="inlineStr">
        <is>
          <t>公线及费用财务管理中心</t>
        </is>
      </c>
      <c r="F61" s="43" t="n"/>
      <c r="G61" s="44" t="inlineStr">
        <is>
          <t>S2职能系统－财经线/CSIG财务管理/公线及费用财务管理中心</t>
        </is>
      </c>
      <c r="H61" s="179" t="n">
        <v>41270</v>
      </c>
      <c r="I61" s="43" t="inlineStr">
        <is>
          <t>高校招聘</t>
        </is>
      </c>
      <c r="J61" s="43" t="inlineStr">
        <is>
          <t>财经类－FN</t>
        </is>
      </c>
      <c r="K61" s="43" t="inlineStr">
        <is>
          <t>财务管理</t>
        </is>
      </c>
      <c r="L61" s="46" t="inlineStr">
        <is>
          <t>S9</t>
        </is>
      </c>
      <c r="M61" s="46" t="n"/>
      <c r="N61" s="43" t="inlineStr">
        <is>
          <t>T1</t>
        </is>
      </c>
      <c r="O61" s="43" t="n"/>
      <c r="P61" s="180" t="n"/>
      <c r="Q61" s="44" t="inlineStr">
        <is>
          <t>O,G</t>
        </is>
      </c>
      <c r="R61" s="44" t="n"/>
      <c r="S61" s="43" t="n"/>
      <c r="T61" s="180" t="n"/>
      <c r="U61" s="1" t="n">
        <v>55391.6</v>
      </c>
      <c r="V61" s="108" t="n">
        <v>0.083333</v>
      </c>
      <c r="W61" s="46" t="inlineStr">
        <is>
          <t>CNY</t>
        </is>
      </c>
      <c r="X61" s="181" t="n">
        <v>1</v>
      </c>
      <c r="Y61" s="1" t="n">
        <v>51738.61</v>
      </c>
      <c r="Z61" s="1" t="n">
        <v>0</v>
      </c>
      <c r="AA61" s="1" t="n">
        <v>166174.8</v>
      </c>
      <c r="AB61" s="1" t="n">
        <v>134960</v>
      </c>
      <c r="AC61" s="48" t="n">
        <v>92295</v>
      </c>
      <c r="AD61" s="1" t="n"/>
      <c r="AE61" s="48" t="n"/>
      <c r="AF61" s="1" t="n">
        <v>0</v>
      </c>
      <c r="AG61" s="1" t="n">
        <v>393429.8</v>
      </c>
      <c r="AH61" s="182" t="n">
        <v>7.604181867274749</v>
      </c>
      <c r="AI61" s="1" t="n">
        <v>393429.8</v>
      </c>
      <c r="AJ61" s="183" t="n">
        <v>7.604181867274749</v>
      </c>
      <c r="AK61" s="183" t="n">
        <v>5.820310982455848</v>
      </c>
      <c r="AL61" s="108" t="n"/>
      <c r="AM61" s="183" t="n"/>
      <c r="AN61" s="183" t="n"/>
      <c r="AO61" s="1" t="n"/>
      <c r="AP61" s="48" t="n"/>
      <c r="AQ61" s="1" t="n">
        <v>393429.8</v>
      </c>
      <c r="AR61" s="183" t="n">
        <v>7.604181867274749</v>
      </c>
      <c r="AS61" s="98" t="n">
        <v>2.986184440227704</v>
      </c>
      <c r="AT61" s="183" t="n"/>
      <c r="AU61" s="1" t="n"/>
      <c r="AV61" s="48" t="n"/>
      <c r="AW61" s="1" t="n"/>
      <c r="AX61" s="48" t="n"/>
      <c r="AY61" s="1" t="n"/>
      <c r="AZ61" s="48" t="n"/>
      <c r="BA61" s="51" t="n"/>
      <c r="BB61" s="180" t="n"/>
      <c r="BC61" s="1" t="n"/>
      <c r="BD61" s="1" t="n"/>
      <c r="BE61" s="180" t="n"/>
      <c r="BF61" s="1" t="n"/>
      <c r="BG61" s="1" t="n"/>
      <c r="BH61" s="1" t="n"/>
      <c r="BI61" s="1" t="n"/>
      <c r="BJ61" s="52" t="n"/>
      <c r="BK61" s="52" t="n"/>
      <c r="BL61" s="184" t="n">
        <v>1</v>
      </c>
      <c r="BM61" s="1" t="n">
        <v>49410</v>
      </c>
      <c r="BN61" s="1" t="n">
        <v>0</v>
      </c>
      <c r="BO61" s="1" t="n">
        <v>53475</v>
      </c>
      <c r="BP61" s="43" t="inlineStr">
        <is>
          <t>G,U</t>
        </is>
      </c>
      <c r="BQ61" s="43" t="inlineStr">
        <is>
          <t>T1</t>
        </is>
      </c>
      <c r="BR61" s="1" t="n">
        <v>131750</v>
      </c>
      <c r="BS61" s="185" t="n">
        <v>2.666464278486136</v>
      </c>
      <c r="BT61" s="1" t="n">
        <v>0</v>
      </c>
      <c r="BU61" s="1" t="n">
        <v>131750</v>
      </c>
      <c r="BV61" s="54" t="n">
        <v>2.666464278486136</v>
      </c>
      <c r="BW61" s="54" t="n"/>
      <c r="BX61" s="1" t="n"/>
      <c r="BY61" s="1" t="n">
        <v>131750</v>
      </c>
      <c r="BZ61" s="54" t="n">
        <v>2.666464278486136</v>
      </c>
      <c r="CA61" s="54" t="n"/>
      <c r="CB61" s="186" t="n"/>
      <c r="CC61" s="186" t="n"/>
      <c r="CD61" s="186" t="n"/>
      <c r="CE61" s="52" t="n"/>
      <c r="CF61" s="52" t="n"/>
      <c r="CG61" s="43" t="n"/>
      <c r="CH61" s="43" t="n"/>
      <c r="CI61" s="43" t="n"/>
      <c r="CJ61" s="43" t="n"/>
      <c r="CK61" s="43" t="n"/>
      <c r="CL61" s="43" t="n"/>
      <c r="CM61" s="43" t="n"/>
      <c r="CN61" s="43" t="n"/>
      <c r="CO61" s="43" t="n"/>
      <c r="CP61" s="43" t="inlineStr">
        <is>
          <t>CSIG财务管理</t>
        </is>
      </c>
      <c r="CQ61" s="43" t="inlineStr">
        <is>
          <t>5,3</t>
        </is>
      </c>
      <c r="CR61" s="43" t="n">
        <v>9</v>
      </c>
      <c r="CS61" s="43" t="inlineStr">
        <is>
          <t>T1</t>
        </is>
      </c>
      <c r="CT61" s="187" t="inlineStr">
        <is>
          <t>N</t>
        </is>
      </c>
      <c r="CU61" s="187" t="n"/>
      <c r="CV61" s="187" t="n"/>
      <c r="CW61" s="1" t="n"/>
      <c r="CX61" s="1" t="n"/>
      <c r="CY61" s="1" t="n"/>
      <c r="CZ61" s="1" t="n"/>
      <c r="DA61" s="1" t="n"/>
      <c r="DB61" s="1" t="n"/>
      <c r="DC61" s="1" t="n"/>
    </row>
    <row r="62" ht="15" customFormat="1" customHeight="1" s="42">
      <c r="A62" s="43" t="inlineStr">
        <is>
          <t>carolYan(严梅)</t>
        </is>
      </c>
      <c r="B62" s="43" t="n"/>
      <c r="C62" s="43" t="n">
        <v>68786878</v>
      </c>
      <c r="D62" s="43" t="inlineStr">
        <is>
          <t>FiT财务管理</t>
        </is>
      </c>
      <c r="E62" s="43" t="inlineStr">
        <is>
          <t>财经金融专项中心</t>
        </is>
      </c>
      <c r="F62" s="43" t="n"/>
      <c r="G62" s="44" t="inlineStr">
        <is>
          <t>S2职能系统－财经线/FiT财务管理/财经金融专项中心</t>
        </is>
      </c>
      <c r="H62" s="179" t="n">
        <v>37672</v>
      </c>
      <c r="I62" s="43" t="inlineStr">
        <is>
          <t>社会招聘</t>
        </is>
      </c>
      <c r="J62" s="43" t="inlineStr">
        <is>
          <t>财经类－FN</t>
        </is>
      </c>
      <c r="K62" s="43" t="inlineStr">
        <is>
          <t>财务管理</t>
        </is>
      </c>
      <c r="L62" s="46" t="inlineStr">
        <is>
          <t>S7</t>
        </is>
      </c>
      <c r="M62" s="46" t="n"/>
      <c r="N62" s="43" t="inlineStr">
        <is>
          <t>T1#</t>
        </is>
      </c>
      <c r="O62" s="43" t="n"/>
      <c r="P62" s="180" t="n"/>
      <c r="Q62" s="44" t="inlineStr">
        <is>
          <t>G,O</t>
        </is>
      </c>
      <c r="R62" s="44" t="n"/>
      <c r="S62" s="43" t="n"/>
      <c r="T62" s="180" t="n"/>
      <c r="U62" s="1" t="n">
        <v>39345.25</v>
      </c>
      <c r="V62" s="108" t="n">
        <v>0.083333</v>
      </c>
      <c r="W62" s="46" t="inlineStr">
        <is>
          <t>CNY</t>
        </is>
      </c>
      <c r="X62" s="181" t="n">
        <v>1</v>
      </c>
      <c r="Y62" s="1" t="n">
        <v>36381.36</v>
      </c>
      <c r="Z62" s="1" t="n">
        <v>0</v>
      </c>
      <c r="AA62" s="1" t="n">
        <v>118035.75</v>
      </c>
      <c r="AB62" s="1" t="n">
        <v>119530</v>
      </c>
      <c r="AC62" s="48" t="n">
        <v>75160</v>
      </c>
      <c r="AD62" s="1" t="n"/>
      <c r="AE62" s="48" t="n"/>
      <c r="AF62" s="1" t="n">
        <v>0</v>
      </c>
      <c r="AG62" s="1" t="n">
        <v>312725.75</v>
      </c>
      <c r="AH62" s="182" t="n">
        <v>8.595768547409993</v>
      </c>
      <c r="AI62" s="1" t="n">
        <v>312725.75</v>
      </c>
      <c r="AJ62" s="183" t="n">
        <v>8.595768547409993</v>
      </c>
      <c r="AK62" s="183" t="n">
        <v>6.529875463698993</v>
      </c>
      <c r="AL62" s="108" t="n"/>
      <c r="AM62" s="183" t="n"/>
      <c r="AN62" s="183" t="n"/>
      <c r="AO62" s="1" t="n"/>
      <c r="AP62" s="48" t="n"/>
      <c r="AQ62" s="1" t="n">
        <v>312725.75</v>
      </c>
      <c r="AR62" s="183" t="n">
        <v>8.595768547409993</v>
      </c>
      <c r="AS62" s="98" t="n">
        <v>2.455832809800534</v>
      </c>
      <c r="AT62" s="183" t="n"/>
      <c r="AU62" s="1" t="n"/>
      <c r="AV62" s="48" t="n"/>
      <c r="AW62" s="1" t="n"/>
      <c r="AX62" s="48" t="n"/>
      <c r="AY62" s="1" t="n"/>
      <c r="AZ62" s="48" t="n"/>
      <c r="BA62" s="51" t="n"/>
      <c r="BB62" s="180" t="n"/>
      <c r="BC62" s="1" t="n"/>
      <c r="BD62" s="1" t="n"/>
      <c r="BE62" s="180" t="n"/>
      <c r="BF62" s="1" t="n"/>
      <c r="BG62" s="1" t="n"/>
      <c r="BH62" s="1" t="n"/>
      <c r="BI62" s="1" t="n"/>
      <c r="BJ62" s="52" t="n"/>
      <c r="BK62" s="52" t="n"/>
      <c r="BL62" s="184" t="n">
        <v>1</v>
      </c>
      <c r="BM62" s="1" t="n">
        <v>34045</v>
      </c>
      <c r="BN62" s="1" t="n">
        <v>0</v>
      </c>
      <c r="BO62" s="1" t="n">
        <v>36515</v>
      </c>
      <c r="BP62" s="43" t="inlineStr">
        <is>
          <t>G,G</t>
        </is>
      </c>
      <c r="BQ62" s="43" t="inlineStr">
        <is>
          <t>T2</t>
        </is>
      </c>
      <c r="BR62" s="1" t="n">
        <v>127340</v>
      </c>
      <c r="BS62" s="185" t="n">
        <v>3.740343662799236</v>
      </c>
      <c r="BT62" s="1" t="n">
        <v>0</v>
      </c>
      <c r="BU62" s="1" t="n">
        <v>127340</v>
      </c>
      <c r="BV62" s="54" t="n">
        <v>3.740343662799236</v>
      </c>
      <c r="BW62" s="54" t="n"/>
      <c r="BX62" s="1" t="n"/>
      <c r="BY62" s="1" t="n">
        <v>127340</v>
      </c>
      <c r="BZ62" s="54" t="n">
        <v>3.740343662799236</v>
      </c>
      <c r="CA62" s="54" t="n"/>
      <c r="CB62" s="186" t="n"/>
      <c r="CC62" s="186" t="n"/>
      <c r="CD62" s="186" t="n"/>
      <c r="CE62" s="52" t="n"/>
      <c r="CF62" s="52" t="n"/>
      <c r="CG62" s="43" t="n"/>
      <c r="CH62" s="43" t="n"/>
      <c r="CI62" s="43" t="n"/>
      <c r="CJ62" s="43" t="n"/>
      <c r="CK62" s="43" t="n"/>
      <c r="CL62" s="43" t="n"/>
      <c r="CM62" s="43" t="n"/>
      <c r="CN62" s="43" t="n"/>
      <c r="CO62" s="43" t="n"/>
      <c r="CP62" s="43" t="inlineStr">
        <is>
          <t>FiT财务管理</t>
        </is>
      </c>
      <c r="CQ62" s="43" t="inlineStr">
        <is>
          <t>5,3</t>
        </is>
      </c>
      <c r="CR62" s="43" t="n">
        <v>7</v>
      </c>
      <c r="CS62" s="43" t="inlineStr">
        <is>
          <t>T1#</t>
        </is>
      </c>
      <c r="CT62" s="187" t="inlineStr">
        <is>
          <t>N</t>
        </is>
      </c>
      <c r="CU62" s="187" t="n"/>
      <c r="CV62" s="187" t="n"/>
      <c r="CW62" s="1" t="n"/>
      <c r="CX62" s="1" t="n"/>
      <c r="CY62" s="1" t="n"/>
      <c r="CZ62" s="1" t="n"/>
      <c r="DA62" s="1" t="n"/>
      <c r="DB62" s="1" t="n"/>
      <c r="DC62" s="1" t="n"/>
    </row>
    <row r="63" ht="15" customFormat="1" customHeight="1" s="42">
      <c r="A63" s="43" t="inlineStr">
        <is>
          <t>allisonYin(尹舒)</t>
        </is>
      </c>
      <c r="B63" s="43" t="n"/>
      <c r="C63" s="43" t="n">
        <v>72479052</v>
      </c>
      <c r="D63" s="43" t="inlineStr">
        <is>
          <t>财经投资并购及管理部</t>
        </is>
      </c>
      <c r="E63" s="43" t="inlineStr">
        <is>
          <t>行业及项目管理中心</t>
        </is>
      </c>
      <c r="F63" s="43" t="n"/>
      <c r="G63" s="44" t="inlineStr">
        <is>
          <t>S2职能系统－财经线/财经投资并购及管理部/行业及项目管理中心</t>
        </is>
      </c>
      <c r="H63" s="179" t="n">
        <v>43149</v>
      </c>
      <c r="I63" s="43" t="inlineStr">
        <is>
          <t>社会招聘</t>
        </is>
      </c>
      <c r="J63" s="43" t="inlineStr">
        <is>
          <t>财经类－FN</t>
        </is>
      </c>
      <c r="K63" s="43" t="inlineStr">
        <is>
          <t>投资并购</t>
        </is>
      </c>
      <c r="L63" s="46" t="inlineStr">
        <is>
          <t>S8</t>
        </is>
      </c>
      <c r="M63" s="46" t="n"/>
      <c r="N63" s="43" t="inlineStr">
        <is>
          <t>T1#</t>
        </is>
      </c>
      <c r="O63" s="43" t="n"/>
      <c r="P63" s="180" t="n"/>
      <c r="Q63" s="44" t="inlineStr">
        <is>
          <t>U,G</t>
        </is>
      </c>
      <c r="R63" s="44" t="n"/>
      <c r="S63" s="43" t="n"/>
      <c r="T63" s="180" t="n"/>
      <c r="U63" s="1" t="n">
        <v>34567.75</v>
      </c>
      <c r="V63" s="108" t="n">
        <v>0.083333</v>
      </c>
      <c r="W63" s="46" t="inlineStr">
        <is>
          <t>CNY</t>
        </is>
      </c>
      <c r="X63" s="181" t="n">
        <v>1</v>
      </c>
      <c r="Y63" s="1" t="n">
        <v>31684.34</v>
      </c>
      <c r="Z63" s="1" t="n">
        <v>0</v>
      </c>
      <c r="AA63" s="1" t="n">
        <v>34567.75</v>
      </c>
      <c r="AB63" s="1" t="n">
        <v>111160</v>
      </c>
      <c r="AC63" s="48" t="n">
        <v>0</v>
      </c>
      <c r="AD63" s="1" t="n"/>
      <c r="AE63" s="48" t="n"/>
      <c r="AF63" s="1" t="n">
        <v>0</v>
      </c>
      <c r="AG63" s="1" t="n">
        <v>145727.75</v>
      </c>
      <c r="AH63" s="182" t="n">
        <v>4.599362019218327</v>
      </c>
      <c r="AI63" s="1" t="n">
        <v>145727.75</v>
      </c>
      <c r="AJ63" s="183" t="n">
        <v>4.599362019218327</v>
      </c>
      <c r="AK63" s="183" t="n">
        <v>4.599362019218327</v>
      </c>
      <c r="AL63" s="108" t="n"/>
      <c r="AM63" s="183" t="n"/>
      <c r="AN63" s="183" t="n"/>
      <c r="AO63" s="1" t="n"/>
      <c r="AP63" s="48" t="n"/>
      <c r="AQ63" s="1" t="n">
        <v>145727.75</v>
      </c>
      <c r="AR63" s="183" t="n">
        <v>4.599362019218327</v>
      </c>
      <c r="AS63" s="98" t="n">
        <v>0.7632322518134443</v>
      </c>
      <c r="AT63" s="183" t="n"/>
      <c r="AU63" s="1" t="n"/>
      <c r="AV63" s="48" t="n"/>
      <c r="AW63" s="1" t="n"/>
      <c r="AX63" s="48" t="n"/>
      <c r="AY63" s="1" t="n"/>
      <c r="AZ63" s="48" t="n"/>
      <c r="BA63" s="51" t="n"/>
      <c r="BB63" s="180" t="n"/>
      <c r="BC63" s="1" t="n"/>
      <c r="BD63" s="1" t="n"/>
      <c r="BE63" s="180" t="n"/>
      <c r="BF63" s="1" t="n"/>
      <c r="BG63" s="1" t="n"/>
      <c r="BH63" s="1" t="n"/>
      <c r="BI63" s="1" t="n"/>
      <c r="BJ63" s="52" t="n"/>
      <c r="BK63" s="52" t="n"/>
      <c r="BL63" s="184" t="n">
        <v>1</v>
      </c>
      <c r="BM63" s="1" t="n">
        <v>27825</v>
      </c>
      <c r="BN63" s="1" t="n">
        <v>0</v>
      </c>
      <c r="BO63" s="1" t="n">
        <v>29130</v>
      </c>
      <c r="BP63" s="43" t="inlineStr">
        <is>
          <t>G,G</t>
        </is>
      </c>
      <c r="BQ63" s="43" t="inlineStr">
        <is>
          <t>T1#</t>
        </is>
      </c>
      <c r="BR63" s="1" t="n">
        <v>152815</v>
      </c>
      <c r="BS63" s="185" t="n">
        <v>5.492003593890386</v>
      </c>
      <c r="BT63" s="1" t="n">
        <v>38120</v>
      </c>
      <c r="BU63" s="1" t="n">
        <v>190935</v>
      </c>
      <c r="BV63" s="54" t="n">
        <v>6.86199460916442</v>
      </c>
      <c r="BW63" s="54" t="n"/>
      <c r="BX63" s="1" t="n"/>
      <c r="BY63" s="1" t="n">
        <v>190935</v>
      </c>
      <c r="BZ63" s="54" t="n">
        <v>6.86199460916442</v>
      </c>
      <c r="CA63" s="54" t="n"/>
      <c r="CB63" s="186" t="n"/>
      <c r="CC63" s="186" t="n"/>
      <c r="CD63" s="186" t="n"/>
      <c r="CE63" s="52" t="n"/>
      <c r="CF63" s="52" t="n"/>
      <c r="CG63" s="43" t="n"/>
      <c r="CH63" s="43" t="n"/>
      <c r="CI63" s="43" t="n"/>
      <c r="CJ63" s="43" t="n"/>
      <c r="CK63" s="43" t="n"/>
      <c r="CL63" s="43" t="n"/>
      <c r="CM63" s="43" t="n"/>
      <c r="CN63" s="43" t="n"/>
      <c r="CO63" s="43" t="n"/>
      <c r="CP63" s="43" t="inlineStr">
        <is>
          <t>财经投资并购及管理部</t>
        </is>
      </c>
      <c r="CQ63" s="43" t="inlineStr">
        <is>
          <t>3,1</t>
        </is>
      </c>
      <c r="CR63" s="43" t="n">
        <v>8</v>
      </c>
      <c r="CS63" s="43" t="inlineStr">
        <is>
          <t>T1#</t>
        </is>
      </c>
      <c r="CT63" s="187" t="inlineStr">
        <is>
          <t>N</t>
        </is>
      </c>
      <c r="CU63" s="187" t="n"/>
      <c r="CV63" s="187" t="n"/>
      <c r="CW63" s="1" t="n"/>
      <c r="CX63" s="1" t="n"/>
      <c r="CY63" s="1" t="n"/>
      <c r="CZ63" s="1" t="n"/>
      <c r="DA63" s="1" t="n"/>
      <c r="DB63" s="1" t="n"/>
      <c r="DC63" s="1" t="n"/>
    </row>
    <row r="64" ht="15" customFormat="1" customHeight="1" s="42">
      <c r="A64" s="43" t="inlineStr">
        <is>
          <t>hannahDuan(段婧)</t>
        </is>
      </c>
      <c r="B64" s="43" t="n"/>
      <c r="C64" s="43" t="n">
        <v>30248804</v>
      </c>
      <c r="D64" s="43" t="inlineStr">
        <is>
          <t>风险管理和内部控制</t>
        </is>
      </c>
      <c r="E64" s="43" t="inlineStr">
        <is>
          <t>PCG风控中心</t>
        </is>
      </c>
      <c r="F64" s="43" t="n"/>
      <c r="G64" s="44" t="inlineStr">
        <is>
          <t>S2职能系统－财经线/风险管理和内部控制/PCG风控中心</t>
        </is>
      </c>
      <c r="H64" s="179" t="n">
        <v>39548</v>
      </c>
      <c r="I64" s="43" t="inlineStr">
        <is>
          <t>社会招聘</t>
        </is>
      </c>
      <c r="J64" s="43" t="inlineStr">
        <is>
          <t>财经类－FN</t>
        </is>
      </c>
      <c r="K64" s="43" t="inlineStr">
        <is>
          <t>风险管理</t>
        </is>
      </c>
      <c r="L64" s="46" t="n"/>
      <c r="M64" s="46" t="inlineStr">
        <is>
          <t>L3-3</t>
        </is>
      </c>
      <c r="N64" s="43" t="inlineStr">
        <is>
          <t>T1</t>
        </is>
      </c>
      <c r="O64" s="43" t="n"/>
      <c r="P64" s="180" t="n"/>
      <c r="Q64" s="44" t="inlineStr">
        <is>
          <t>U,G</t>
        </is>
      </c>
      <c r="R64" s="44" t="n"/>
      <c r="S64" s="43" t="n"/>
      <c r="T64" s="180" t="n"/>
      <c r="U64" s="1" t="n">
        <v>80887.8</v>
      </c>
      <c r="V64" s="108" t="n">
        <v>0.083333</v>
      </c>
      <c r="W64" s="46" t="inlineStr">
        <is>
          <t>CNY</t>
        </is>
      </c>
      <c r="X64" s="181" t="n">
        <v>1</v>
      </c>
      <c r="Y64" s="1" t="n">
        <v>79263.77</v>
      </c>
      <c r="Z64" s="1" t="n">
        <v>0</v>
      </c>
      <c r="AA64" s="1" t="n">
        <v>80887.8</v>
      </c>
      <c r="AB64" s="1" t="n">
        <v>173290</v>
      </c>
      <c r="AC64" s="48" t="n">
        <v>0</v>
      </c>
      <c r="AD64" s="1" t="n"/>
      <c r="AE64" s="48" t="n"/>
      <c r="AF64" s="1" t="n">
        <v>8835</v>
      </c>
      <c r="AG64" s="1" t="n">
        <v>254177.8</v>
      </c>
      <c r="AH64" s="182" t="n">
        <v>3.206733669115158</v>
      </c>
      <c r="AI64" s="1" t="n">
        <v>263012.8</v>
      </c>
      <c r="AJ64" s="183" t="n">
        <v>3.318196951772543</v>
      </c>
      <c r="AK64" s="183" t="n">
        <v>3.318196951772543</v>
      </c>
      <c r="AL64" s="108" t="n"/>
      <c r="AM64" s="183" t="n"/>
      <c r="AN64" s="183" t="n"/>
      <c r="AO64" s="1" t="n"/>
      <c r="AP64" s="48" t="n"/>
      <c r="AQ64" s="1" t="n">
        <v>263012.8</v>
      </c>
      <c r="AR64" s="183" t="n">
        <v>3.318196951772543</v>
      </c>
      <c r="AS64" s="98" t="n">
        <v>1.700972029102668</v>
      </c>
      <c r="AT64" s="183" t="n"/>
      <c r="AU64" s="1" t="n"/>
      <c r="AV64" s="48" t="n"/>
      <c r="AW64" s="1" t="n"/>
      <c r="AX64" s="48" t="n"/>
      <c r="AY64" s="1" t="n"/>
      <c r="AZ64" s="48" t="n"/>
      <c r="BA64" s="51" t="n"/>
      <c r="BB64" s="180" t="n"/>
      <c r="BC64" s="1" t="n"/>
      <c r="BD64" s="1" t="n"/>
      <c r="BE64" s="180" t="n"/>
      <c r="BF64" s="1" t="n"/>
      <c r="BG64" s="1" t="n"/>
      <c r="BH64" s="1" t="n"/>
      <c r="BI64" s="1" t="n"/>
      <c r="BJ64" s="52" t="n"/>
      <c r="BK64" s="52" t="n"/>
      <c r="BL64" s="184" t="n">
        <v>1</v>
      </c>
      <c r="BM64" s="1" t="n">
        <v>70515</v>
      </c>
      <c r="BN64" s="1" t="n">
        <v>0</v>
      </c>
      <c r="BO64" s="1" t="n">
        <v>74150</v>
      </c>
      <c r="BP64" s="43" t="inlineStr">
        <is>
          <t>U,G</t>
        </is>
      </c>
      <c r="BQ64" s="43" t="inlineStr">
        <is>
          <t>T1</t>
        </is>
      </c>
      <c r="BR64" s="1" t="n">
        <v>154625</v>
      </c>
      <c r="BS64" s="185" t="n">
        <v>2.192795859037084</v>
      </c>
      <c r="BT64" s="1" t="n">
        <v>0</v>
      </c>
      <c r="BU64" s="1" t="n">
        <v>154625</v>
      </c>
      <c r="BV64" s="54" t="n">
        <v>2.192795859037084</v>
      </c>
      <c r="BW64" s="54" t="n"/>
      <c r="BX64" s="1" t="n"/>
      <c r="BY64" s="1" t="n">
        <v>154625</v>
      </c>
      <c r="BZ64" s="54" t="n">
        <v>2.192795859037084</v>
      </c>
      <c r="CA64" s="54" t="n"/>
      <c r="CB64" s="186" t="n"/>
      <c r="CC64" s="186" t="n"/>
      <c r="CD64" s="186" t="n"/>
      <c r="CE64" s="52" t="n"/>
      <c r="CF64" s="52" t="n"/>
      <c r="CG64" s="43" t="n"/>
      <c r="CH64" s="43" t="n"/>
      <c r="CI64" s="43" t="n"/>
      <c r="CJ64" s="43" t="n"/>
      <c r="CK64" s="43" t="n"/>
      <c r="CL64" s="43" t="n"/>
      <c r="CM64" s="43" t="n"/>
      <c r="CN64" s="43" t="n"/>
      <c r="CO64" s="43" t="n"/>
      <c r="CP64" s="43" t="inlineStr">
        <is>
          <t>风险管理和内部控制</t>
        </is>
      </c>
      <c r="CQ64" s="43" t="inlineStr">
        <is>
          <t>3,1</t>
        </is>
      </c>
      <c r="CR64" s="43" t="inlineStr">
        <is>
          <t>L3-3</t>
        </is>
      </c>
      <c r="CS64" s="43" t="inlineStr">
        <is>
          <t>T1</t>
        </is>
      </c>
      <c r="CT64" s="187" t="inlineStr">
        <is>
          <t>N</t>
        </is>
      </c>
      <c r="CU64" s="187" t="n"/>
      <c r="CV64" s="187" t="n"/>
      <c r="CW64" s="1" t="n"/>
      <c r="CX64" s="1" t="n"/>
      <c r="CY64" s="1" t="n"/>
      <c r="CZ64" s="1" t="n"/>
      <c r="DA64" s="1" t="n"/>
      <c r="DB64" s="1" t="n"/>
      <c r="DC64" s="1" t="n"/>
    </row>
    <row r="65" ht="15" customFormat="1" customHeight="1" s="42">
      <c r="A65" s="43" t="inlineStr">
        <is>
          <t>donaldXie(谢松)</t>
        </is>
      </c>
      <c r="B65" s="43" t="n"/>
      <c r="C65" s="43" t="n">
        <v>8849775</v>
      </c>
      <c r="D65" s="43" t="inlineStr">
        <is>
          <t>风险管理和内部控制</t>
        </is>
      </c>
      <c r="E65" s="43" t="inlineStr">
        <is>
          <t>CSIG风控中心</t>
        </is>
      </c>
      <c r="F65" s="43" t="n"/>
      <c r="G65" s="44" t="inlineStr">
        <is>
          <t>S2职能系统－财经线/风险管理和内部控制/CSIG风控中心</t>
        </is>
      </c>
      <c r="H65" s="179" t="n">
        <v>43768</v>
      </c>
      <c r="I65" s="43" t="inlineStr">
        <is>
          <t>社会招聘</t>
        </is>
      </c>
      <c r="J65" s="43" t="inlineStr">
        <is>
          <t>财经类－FN</t>
        </is>
      </c>
      <c r="K65" s="43" t="inlineStr">
        <is>
          <t>风险管理</t>
        </is>
      </c>
      <c r="L65" s="46" t="inlineStr">
        <is>
          <t>S6</t>
        </is>
      </c>
      <c r="M65" s="46" t="n"/>
      <c r="N65" s="43" t="inlineStr">
        <is>
          <t>T1</t>
        </is>
      </c>
      <c r="O65" s="43" t="n"/>
      <c r="P65" s="180" t="n"/>
      <c r="Q65" s="44" t="inlineStr">
        <is>
          <t>O,G</t>
        </is>
      </c>
      <c r="R65" s="44" t="n"/>
      <c r="S65" s="43" t="n"/>
      <c r="T65" s="180" t="n"/>
      <c r="U65" s="1" t="n">
        <v>26913.15</v>
      </c>
      <c r="V65" s="108" t="n">
        <v>0.083333</v>
      </c>
      <c r="W65" s="46" t="inlineStr">
        <is>
          <t>CNY</t>
        </is>
      </c>
      <c r="X65" s="181" t="n">
        <v>1</v>
      </c>
      <c r="Y65" s="1" t="n">
        <v>25049.76</v>
      </c>
      <c r="Z65" s="1" t="n">
        <v>0</v>
      </c>
      <c r="AA65" s="1" t="n">
        <v>80739.45</v>
      </c>
      <c r="AB65" s="1" t="n">
        <v>66765</v>
      </c>
      <c r="AC65" s="48" t="n">
        <v>47245</v>
      </c>
      <c r="AD65" s="1" t="n"/>
      <c r="AE65" s="48" t="n"/>
      <c r="AF65" s="1" t="n">
        <v>0</v>
      </c>
      <c r="AG65" s="1" t="n">
        <v>194749.45</v>
      </c>
      <c r="AH65" s="182" t="n">
        <v>7.774503627978872</v>
      </c>
      <c r="AI65" s="1" t="n">
        <v>194749.45</v>
      </c>
      <c r="AJ65" s="183" t="n">
        <v>7.774503627978872</v>
      </c>
      <c r="AK65" s="183" t="n">
        <v>5.888457613965165</v>
      </c>
      <c r="AL65" s="108" t="n"/>
      <c r="AM65" s="183" t="n"/>
      <c r="AN65" s="183" t="n"/>
      <c r="AO65" s="1" t="n"/>
      <c r="AP65" s="48" t="n"/>
      <c r="AQ65" s="1" t="n">
        <v>194749.45</v>
      </c>
      <c r="AR65" s="183" t="n">
        <v>7.774503627978872</v>
      </c>
      <c r="AS65" s="98" t="n">
        <v>1.447736024382992</v>
      </c>
      <c r="AT65" s="183" t="n"/>
      <c r="AU65" s="1" t="n"/>
      <c r="AV65" s="48" t="n"/>
      <c r="AW65" s="1" t="n"/>
      <c r="AX65" s="48" t="n"/>
      <c r="AY65" s="1" t="n"/>
      <c r="AZ65" s="48" t="n"/>
      <c r="BA65" s="51" t="n"/>
      <c r="BB65" s="180" t="n"/>
      <c r="BC65" s="1" t="n"/>
      <c r="BD65" s="1" t="n"/>
      <c r="BE65" s="180" t="n"/>
      <c r="BF65" s="1" t="n"/>
      <c r="BG65" s="1" t="n"/>
      <c r="BH65" s="1" t="n"/>
      <c r="BI65" s="1" t="n"/>
      <c r="BJ65" s="52" t="n"/>
      <c r="BK65" s="52" t="n"/>
      <c r="BL65" s="184" t="n">
        <v>1</v>
      </c>
      <c r="BM65" s="1" t="n">
        <v>24180</v>
      </c>
      <c r="BN65" s="1" t="n">
        <v>0</v>
      </c>
      <c r="BO65" s="1" t="n">
        <v>25655</v>
      </c>
      <c r="BP65" s="43" t="inlineStr">
        <is>
          <t>G,G</t>
        </is>
      </c>
      <c r="BQ65" s="43" t="inlineStr">
        <is>
          <t>T1</t>
        </is>
      </c>
      <c r="BR65" s="1" t="n">
        <v>83565</v>
      </c>
      <c r="BS65" s="185" t="n">
        <v>3.455955334987593</v>
      </c>
      <c r="BT65" s="1" t="n">
        <v>50955</v>
      </c>
      <c r="BU65" s="1" t="n">
        <v>134520</v>
      </c>
      <c r="BV65" s="54" t="n">
        <v>5.563275434243176</v>
      </c>
      <c r="BW65" s="54" t="n"/>
      <c r="BX65" s="1" t="n"/>
      <c r="BY65" s="1" t="n">
        <v>134520</v>
      </c>
      <c r="BZ65" s="54" t="n">
        <v>5.563275434243176</v>
      </c>
      <c r="CA65" s="54" t="n"/>
      <c r="CB65" s="186" t="n"/>
      <c r="CC65" s="186" t="n"/>
      <c r="CD65" s="186" t="n"/>
      <c r="CE65" s="52" t="n"/>
      <c r="CF65" s="52" t="n"/>
      <c r="CG65" s="43" t="n"/>
      <c r="CH65" s="43" t="n"/>
      <c r="CI65" s="43" t="n"/>
      <c r="CJ65" s="43" t="n"/>
      <c r="CK65" s="43" t="n"/>
      <c r="CL65" s="43" t="n"/>
      <c r="CM65" s="43" t="n"/>
      <c r="CN65" s="43" t="n"/>
      <c r="CO65" s="43" t="n"/>
      <c r="CP65" s="43" t="inlineStr">
        <is>
          <t>风险管理和内部控制</t>
        </is>
      </c>
      <c r="CQ65" s="43" t="inlineStr">
        <is>
          <t>5,3</t>
        </is>
      </c>
      <c r="CR65" s="43" t="n">
        <v>6</v>
      </c>
      <c r="CS65" s="43" t="inlineStr">
        <is>
          <t>T1</t>
        </is>
      </c>
      <c r="CT65" s="187" t="inlineStr">
        <is>
          <t>N</t>
        </is>
      </c>
      <c r="CU65" s="187" t="n"/>
      <c r="CV65" s="187" t="n"/>
      <c r="CW65" s="1" t="n"/>
      <c r="CX65" s="1" t="n"/>
      <c r="CY65" s="1" t="n"/>
      <c r="CZ65" s="1" t="n"/>
      <c r="DA65" s="1" t="n"/>
      <c r="DB65" s="1" t="n"/>
      <c r="DC65" s="1" t="n"/>
    </row>
    <row r="66" ht="15" customFormat="1" customHeight="1" s="42">
      <c r="A66" s="43" t="inlineStr">
        <is>
          <t>sophieYe(叶姗)</t>
        </is>
      </c>
      <c r="B66" s="43" t="n"/>
      <c r="C66" s="43" t="n">
        <v>21898482</v>
      </c>
      <c r="D66" s="43" t="inlineStr">
        <is>
          <t>CDG财务管理</t>
        </is>
      </c>
      <c r="E66" s="43" t="inlineStr">
        <is>
          <t>AMS客户管理中心</t>
        </is>
      </c>
      <c r="F66" s="43" t="n"/>
      <c r="G66" s="44" t="inlineStr">
        <is>
          <t>S2职能系统－财经线/CDG财务管理/AMS客户管理中心</t>
        </is>
      </c>
      <c r="H66" s="179" t="n">
        <v>41959</v>
      </c>
      <c r="I66" s="43" t="inlineStr">
        <is>
          <t>社会招聘</t>
        </is>
      </c>
      <c r="J66" s="43" t="inlineStr">
        <is>
          <t>财经类－FN</t>
        </is>
      </c>
      <c r="K66" s="43" t="inlineStr">
        <is>
          <t>财务管理</t>
        </is>
      </c>
      <c r="L66" s="46" t="inlineStr">
        <is>
          <t>S7</t>
        </is>
      </c>
      <c r="M66" s="46" t="n"/>
      <c r="N66" s="43" t="inlineStr">
        <is>
          <t>T1#</t>
        </is>
      </c>
      <c r="O66" s="43" t="n"/>
      <c r="P66" s="180" t="n"/>
      <c r="Q66" s="44" t="inlineStr">
        <is>
          <t>G,G</t>
        </is>
      </c>
      <c r="R66" s="44" t="n"/>
      <c r="S66" s="43" t="n"/>
      <c r="T66" s="180" t="n"/>
      <c r="U66" s="1" t="n">
        <v>32295.85</v>
      </c>
      <c r="V66" s="108" t="n">
        <v>0.083333</v>
      </c>
      <c r="W66" s="46" t="inlineStr">
        <is>
          <t>CNY</t>
        </is>
      </c>
      <c r="X66" s="181" t="n">
        <v>1</v>
      </c>
      <c r="Y66" s="1" t="n">
        <v>29479.95</v>
      </c>
      <c r="Z66" s="1" t="n">
        <v>0</v>
      </c>
      <c r="AA66" s="1" t="n">
        <v>64591.7</v>
      </c>
      <c r="AB66" s="1" t="n">
        <v>106095</v>
      </c>
      <c r="AC66" s="48" t="n">
        <v>35870</v>
      </c>
      <c r="AD66" s="1" t="n"/>
      <c r="AE66" s="48" t="n"/>
      <c r="AF66" s="1" t="n">
        <v>0</v>
      </c>
      <c r="AG66" s="1" t="n">
        <v>206556.7</v>
      </c>
      <c r="AH66" s="182" t="n">
        <v>7.006684204009844</v>
      </c>
      <c r="AI66" s="1" t="n">
        <v>206556.7</v>
      </c>
      <c r="AJ66" s="183" t="n">
        <v>7.006684204009844</v>
      </c>
      <c r="AK66" s="183" t="n">
        <v>5.789925016833475</v>
      </c>
      <c r="AL66" s="108" t="n"/>
      <c r="AM66" s="183" t="n"/>
      <c r="AN66" s="183" t="n"/>
      <c r="AO66" s="1" t="n"/>
      <c r="AP66" s="48" t="n"/>
      <c r="AQ66" s="1" t="n">
        <v>206556.7</v>
      </c>
      <c r="AR66" s="183" t="n">
        <v>7.006684204009844</v>
      </c>
      <c r="AS66" s="98" t="n">
        <v>1.511906748645879</v>
      </c>
      <c r="AT66" s="183" t="n"/>
      <c r="AU66" s="1" t="n"/>
      <c r="AV66" s="48" t="n"/>
      <c r="AW66" s="1" t="n"/>
      <c r="AX66" s="48" t="n"/>
      <c r="AY66" s="1" t="n"/>
      <c r="AZ66" s="48" t="n"/>
      <c r="BA66" s="51" t="n"/>
      <c r="BB66" s="180" t="n"/>
      <c r="BC66" s="1" t="n"/>
      <c r="BD66" s="1" t="n"/>
      <c r="BE66" s="180" t="n"/>
      <c r="BF66" s="1" t="n"/>
      <c r="BG66" s="1" t="n"/>
      <c r="BH66" s="1" t="n"/>
      <c r="BI66" s="1" t="n"/>
      <c r="BJ66" s="52" t="n"/>
      <c r="BK66" s="52" t="n"/>
      <c r="BL66" s="184" t="n">
        <v>1</v>
      </c>
      <c r="BM66" s="1" t="n">
        <v>26030</v>
      </c>
      <c r="BN66" s="1" t="n">
        <v>0</v>
      </c>
      <c r="BO66" s="1" t="n">
        <v>28275</v>
      </c>
      <c r="BP66" s="43" t="inlineStr">
        <is>
          <t>G,G</t>
        </is>
      </c>
      <c r="BQ66" s="43" t="inlineStr">
        <is>
          <t>T1</t>
        </is>
      </c>
      <c r="BR66" s="1" t="n">
        <v>90870</v>
      </c>
      <c r="BS66" s="185" t="n">
        <v>3.490971955436035</v>
      </c>
      <c r="BT66" s="1" t="n">
        <v>45750</v>
      </c>
      <c r="BU66" s="1" t="n">
        <v>136620</v>
      </c>
      <c r="BV66" s="54" t="n">
        <v>5.248559354590856</v>
      </c>
      <c r="BW66" s="54" t="n"/>
      <c r="BX66" s="1" t="n"/>
      <c r="BY66" s="1" t="n">
        <v>136620</v>
      </c>
      <c r="BZ66" s="54" t="n">
        <v>5.248559354590856</v>
      </c>
      <c r="CA66" s="54" t="n"/>
      <c r="CB66" s="186" t="n"/>
      <c r="CC66" s="186" t="n"/>
      <c r="CD66" s="186" t="n"/>
      <c r="CE66" s="52" t="n"/>
      <c r="CF66" s="52" t="n"/>
      <c r="CG66" s="43" t="n"/>
      <c r="CH66" s="43" t="n"/>
      <c r="CI66" s="43" t="n"/>
      <c r="CJ66" s="43" t="n"/>
      <c r="CK66" s="43" t="n"/>
      <c r="CL66" s="43" t="n"/>
      <c r="CM66" s="43" t="n"/>
      <c r="CN66" s="43" t="n"/>
      <c r="CO66" s="43" t="n"/>
      <c r="CP66" s="43" t="inlineStr">
        <is>
          <t>CDG财务管理</t>
        </is>
      </c>
      <c r="CQ66" s="43" t="inlineStr">
        <is>
          <t>3,3</t>
        </is>
      </c>
      <c r="CR66" s="43" t="n">
        <v>7</v>
      </c>
      <c r="CS66" s="43" t="inlineStr">
        <is>
          <t>T1#</t>
        </is>
      </c>
      <c r="CT66" s="187" t="inlineStr">
        <is>
          <t>N</t>
        </is>
      </c>
      <c r="CU66" s="187" t="n"/>
      <c r="CV66" s="187" t="n"/>
      <c r="CW66" s="1" t="n"/>
      <c r="CX66" s="1" t="n"/>
      <c r="CY66" s="1" t="n"/>
      <c r="CZ66" s="1" t="n"/>
      <c r="DA66" s="1" t="n"/>
      <c r="DB66" s="1" t="n"/>
      <c r="DC66" s="1" t="n"/>
    </row>
    <row r="67" ht="15" customFormat="1" customHeight="1" s="42">
      <c r="A67" s="43" t="inlineStr">
        <is>
          <t>teresaQin(秦娜姗)</t>
        </is>
      </c>
      <c r="B67" s="43" t="n"/>
      <c r="C67" s="43" t="n">
        <v>56287234</v>
      </c>
      <c r="D67" s="43" t="inlineStr">
        <is>
          <t>财经IT管理部</t>
        </is>
      </c>
      <c r="E67" s="43" t="inlineStr">
        <is>
          <t>国际业务支持中心</t>
        </is>
      </c>
      <c r="F67" s="43" t="n"/>
      <c r="G67" s="44" t="inlineStr">
        <is>
          <t>S2职能系统－财经线/财经IT管理部/国际业务支持中心</t>
        </is>
      </c>
      <c r="H67" s="179" t="n">
        <v>43578</v>
      </c>
      <c r="I67" s="43" t="inlineStr">
        <is>
          <t>社会招聘</t>
        </is>
      </c>
      <c r="J67" s="43" t="inlineStr">
        <is>
          <t>技术研发类－TRD</t>
        </is>
      </c>
      <c r="K67" s="43" t="inlineStr">
        <is>
          <t>应用开发</t>
        </is>
      </c>
      <c r="L67" s="46" t="inlineStr">
        <is>
          <t>T8</t>
        </is>
      </c>
      <c r="M67" s="46" t="n"/>
      <c r="N67" s="43" t="inlineStr">
        <is>
          <t>T2</t>
        </is>
      </c>
      <c r="O67" s="43" t="n"/>
      <c r="P67" s="180" t="n"/>
      <c r="Q67" s="44" t="inlineStr">
        <is>
          <t>G,G</t>
        </is>
      </c>
      <c r="R67" s="44" t="n"/>
      <c r="S67" s="43" t="n"/>
      <c r="T67" s="180" t="n"/>
      <c r="U67" s="1" t="n">
        <v>40851.95</v>
      </c>
      <c r="V67" s="108" t="n">
        <v>0.083333</v>
      </c>
      <c r="W67" s="46" t="inlineStr">
        <is>
          <t>CNY</t>
        </is>
      </c>
      <c r="X67" s="181" t="n">
        <v>1</v>
      </c>
      <c r="Y67" s="1" t="n">
        <v>38290.87</v>
      </c>
      <c r="Z67" s="1" t="n">
        <v>0</v>
      </c>
      <c r="AA67" s="1" t="n">
        <v>81703.89999999999</v>
      </c>
      <c r="AB67" s="1" t="n">
        <v>41250</v>
      </c>
      <c r="AC67" s="48" t="n">
        <v>0</v>
      </c>
      <c r="AD67" s="1" t="n"/>
      <c r="AE67" s="48" t="n"/>
      <c r="AF67" s="1" t="n">
        <v>0</v>
      </c>
      <c r="AG67" s="1" t="n">
        <v>122953.9</v>
      </c>
      <c r="AH67" s="182" t="n">
        <v>3.211050049267619</v>
      </c>
      <c r="AI67" s="1" t="n">
        <v>122953.9</v>
      </c>
      <c r="AJ67" s="183" t="n">
        <v>3.211050049267619</v>
      </c>
      <c r="AK67" s="183" t="n">
        <v>3.211050049267619</v>
      </c>
      <c r="AL67" s="108" t="n"/>
      <c r="AM67" s="183" t="n"/>
      <c r="AN67" s="183" t="n"/>
      <c r="AO67" s="1" t="n"/>
      <c r="AP67" s="48" t="n"/>
      <c r="AQ67" s="1" t="n">
        <v>122953.9</v>
      </c>
      <c r="AR67" s="183" t="n">
        <v>3.211050049267619</v>
      </c>
      <c r="AS67" s="98" t="n">
        <v>1.139200407671639</v>
      </c>
      <c r="AT67" s="183" t="n"/>
      <c r="AU67" s="1" t="n"/>
      <c r="AV67" s="48" t="n"/>
      <c r="AW67" s="1" t="n"/>
      <c r="AX67" s="48" t="n"/>
      <c r="AY67" s="1" t="n"/>
      <c r="AZ67" s="48" t="n"/>
      <c r="BA67" s="51" t="n"/>
      <c r="BB67" s="180" t="n"/>
      <c r="BC67" s="1" t="n"/>
      <c r="BD67" s="1" t="n"/>
      <c r="BE67" s="180" t="n"/>
      <c r="BF67" s="1" t="n"/>
      <c r="BG67" s="1" t="n"/>
      <c r="BH67" s="1" t="n"/>
      <c r="BI67" s="1" t="n"/>
      <c r="BJ67" s="52" t="n"/>
      <c r="BK67" s="52" t="n"/>
      <c r="BL67" s="184" t="n">
        <v>1</v>
      </c>
      <c r="BM67" s="1" t="n">
        <v>32710</v>
      </c>
      <c r="BN67" s="1" t="n">
        <v>0</v>
      </c>
      <c r="BO67" s="1" t="n">
        <v>32735</v>
      </c>
      <c r="BP67" s="43" t="inlineStr">
        <is>
          <t>G,G</t>
        </is>
      </c>
      <c r="BQ67" s="43" t="inlineStr">
        <is>
          <t>T2</t>
        </is>
      </c>
      <c r="BR67" s="1" t="n">
        <v>107930</v>
      </c>
      <c r="BS67" s="185" t="n">
        <v>3.299602568022012</v>
      </c>
      <c r="BT67" s="1" t="n">
        <v>0</v>
      </c>
      <c r="BU67" s="1" t="n">
        <v>107930</v>
      </c>
      <c r="BV67" s="54" t="n">
        <v>3.299602568022012</v>
      </c>
      <c r="BW67" s="54" t="n"/>
      <c r="BX67" s="1" t="n"/>
      <c r="BY67" s="1" t="n">
        <v>107930</v>
      </c>
      <c r="BZ67" s="54" t="n">
        <v>3.299602568022012</v>
      </c>
      <c r="CA67" s="54" t="n"/>
      <c r="CB67" s="186" t="n"/>
      <c r="CC67" s="186" t="n"/>
      <c r="CD67" s="186" t="n"/>
      <c r="CE67" s="52" t="n"/>
      <c r="CF67" s="52" t="n"/>
      <c r="CG67" s="43" t="n"/>
      <c r="CH67" s="43" t="n"/>
      <c r="CI67" s="43" t="n"/>
      <c r="CJ67" s="43" t="n"/>
      <c r="CK67" s="43" t="n"/>
      <c r="CL67" s="43" t="n"/>
      <c r="CM67" s="43" t="n"/>
      <c r="CN67" s="43" t="n"/>
      <c r="CO67" s="43" t="n"/>
      <c r="CP67" s="43" t="inlineStr">
        <is>
          <t>财经IT管理部</t>
        </is>
      </c>
      <c r="CQ67" s="43" t="inlineStr">
        <is>
          <t>3,3</t>
        </is>
      </c>
      <c r="CR67" s="43" t="n">
        <v>8</v>
      </c>
      <c r="CS67" s="43" t="inlineStr">
        <is>
          <t>T2</t>
        </is>
      </c>
      <c r="CT67" s="187" t="inlineStr">
        <is>
          <t>N</t>
        </is>
      </c>
      <c r="CU67" s="187" t="n"/>
      <c r="CV67" s="187" t="n"/>
      <c r="CW67" s="1" t="n"/>
      <c r="CX67" s="1" t="n"/>
      <c r="CY67" s="1" t="n"/>
      <c r="CZ67" s="1" t="n"/>
      <c r="DA67" s="1" t="n"/>
      <c r="DB67" s="1" t="n"/>
      <c r="DC67" s="1" t="n"/>
    </row>
    <row r="68" ht="15" customFormat="1" customHeight="1" s="42">
      <c r="A68" s="43" t="inlineStr">
        <is>
          <t>ellieCao(曹珊)</t>
        </is>
      </c>
      <c r="B68" s="43" t="n"/>
      <c r="C68" s="43" t="n">
        <v>232081</v>
      </c>
      <c r="D68" s="43" t="inlineStr">
        <is>
          <t>CDG财务管理</t>
        </is>
      </c>
      <c r="E68" s="43" t="inlineStr">
        <is>
          <t>CDG财务管理</t>
        </is>
      </c>
      <c r="F68" s="43" t="n"/>
      <c r="G68" s="44" t="inlineStr">
        <is>
          <t>S2职能系统－财经线/CDG财务管理</t>
        </is>
      </c>
      <c r="H68" s="179" t="n">
        <v>38861</v>
      </c>
      <c r="I68" s="43" t="inlineStr">
        <is>
          <t>高校招聘</t>
        </is>
      </c>
      <c r="J68" s="43" t="inlineStr">
        <is>
          <t>财经类－FN</t>
        </is>
      </c>
      <c r="K68" s="43" t="inlineStr">
        <is>
          <t>财务管理</t>
        </is>
      </c>
      <c r="L68" s="46" t="inlineStr">
        <is>
          <t>S6</t>
        </is>
      </c>
      <c r="M68" s="46" t="n"/>
      <c r="N68" s="43" t="inlineStr">
        <is>
          <t>T2</t>
        </is>
      </c>
      <c r="O68" s="43" t="n"/>
      <c r="P68" s="180" t="n"/>
      <c r="Q68" s="44" t="inlineStr">
        <is>
          <t>G,G</t>
        </is>
      </c>
      <c r="R68" s="44" t="n"/>
      <c r="S68" s="43" t="n"/>
      <c r="T68" s="180" t="n"/>
      <c r="U68" s="1" t="n">
        <v>26240.85</v>
      </c>
      <c r="V68" s="108" t="n">
        <v>0.083333</v>
      </c>
      <c r="W68" s="46" t="inlineStr">
        <is>
          <t>CNY</t>
        </is>
      </c>
      <c r="X68" s="181" t="n">
        <v>1</v>
      </c>
      <c r="Y68" s="1" t="n">
        <v>24685.06</v>
      </c>
      <c r="Z68" s="1" t="n">
        <v>0</v>
      </c>
      <c r="AA68" s="1" t="n">
        <v>52481.7</v>
      </c>
      <c r="AB68" s="1" t="n">
        <v>26755</v>
      </c>
      <c r="AC68" s="48" t="n">
        <v>0</v>
      </c>
      <c r="AD68" s="1" t="n"/>
      <c r="AE68" s="48" t="n"/>
      <c r="AF68" s="1" t="n">
        <v>0</v>
      </c>
      <c r="AG68" s="1" t="n">
        <v>79236.7</v>
      </c>
      <c r="AH68" s="182" t="n">
        <v>3.209905100493983</v>
      </c>
      <c r="AI68" s="1" t="n">
        <v>79236.7</v>
      </c>
      <c r="AJ68" s="183" t="n">
        <v>3.209905100493983</v>
      </c>
      <c r="AK68" s="183" t="n">
        <v>3.209905100493983</v>
      </c>
      <c r="AL68" s="108" t="n"/>
      <c r="AM68" s="183" t="n"/>
      <c r="AN68" s="183" t="n"/>
      <c r="AO68" s="1" t="n"/>
      <c r="AP68" s="48" t="n"/>
      <c r="AQ68" s="1" t="n">
        <v>79236.7</v>
      </c>
      <c r="AR68" s="183" t="n">
        <v>3.209905100493983</v>
      </c>
      <c r="AS68" s="98" t="n">
        <v>0.7930410849221838</v>
      </c>
      <c r="AT68" s="183" t="n"/>
      <c r="AU68" s="1" t="n"/>
      <c r="AV68" s="48" t="n"/>
      <c r="AW68" s="1" t="n"/>
      <c r="AX68" s="48" t="n"/>
      <c r="AY68" s="1" t="n"/>
      <c r="AZ68" s="48" t="n"/>
      <c r="BA68" s="51" t="n"/>
      <c r="BB68" s="180" t="n"/>
      <c r="BC68" s="1" t="n"/>
      <c r="BD68" s="1" t="n"/>
      <c r="BE68" s="180" t="n"/>
      <c r="BF68" s="1" t="n"/>
      <c r="BG68" s="1" t="n"/>
      <c r="BH68" s="1" t="n"/>
      <c r="BI68" s="1" t="n"/>
      <c r="BJ68" s="52" t="n"/>
      <c r="BK68" s="52" t="n"/>
      <c r="BL68" s="184" t="n">
        <v>1</v>
      </c>
      <c r="BM68" s="1" t="n">
        <v>23075</v>
      </c>
      <c r="BN68" s="1" t="n">
        <v>0</v>
      </c>
      <c r="BO68" s="1" t="n">
        <v>24045</v>
      </c>
      <c r="BP68" s="43" t="inlineStr">
        <is>
          <t>O,G</t>
        </is>
      </c>
      <c r="BQ68" s="43" t="inlineStr">
        <is>
          <t>T2</t>
        </is>
      </c>
      <c r="BR68" s="1" t="n">
        <v>99915</v>
      </c>
      <c r="BS68" s="185" t="n">
        <v>4.330010834236186</v>
      </c>
      <c r="BT68" s="1" t="n">
        <v>0</v>
      </c>
      <c r="BU68" s="1" t="n">
        <v>99915</v>
      </c>
      <c r="BV68" s="54" t="n">
        <v>4.330010834236186</v>
      </c>
      <c r="BW68" s="54" t="n"/>
      <c r="BX68" s="1" t="n"/>
      <c r="BY68" s="1" t="n">
        <v>99915</v>
      </c>
      <c r="BZ68" s="54" t="n">
        <v>4.330010834236186</v>
      </c>
      <c r="CA68" s="54" t="n"/>
      <c r="CB68" s="186" t="n"/>
      <c r="CC68" s="186" t="n"/>
      <c r="CD68" s="186" t="n"/>
      <c r="CE68" s="52" t="n"/>
      <c r="CF68" s="52" t="n"/>
      <c r="CG68" s="43" t="n"/>
      <c r="CH68" s="43" t="n"/>
      <c r="CI68" s="43" t="n"/>
      <c r="CJ68" s="43" t="n"/>
      <c r="CK68" s="43" t="n"/>
      <c r="CL68" s="43" t="n"/>
      <c r="CM68" s="43" t="n"/>
      <c r="CN68" s="43" t="n"/>
      <c r="CO68" s="43" t="n"/>
      <c r="CP68" s="43" t="inlineStr">
        <is>
          <t>CDG财务管理</t>
        </is>
      </c>
      <c r="CQ68" s="43" t="inlineStr">
        <is>
          <t>3,3</t>
        </is>
      </c>
      <c r="CR68" s="43" t="n">
        <v>6</v>
      </c>
      <c r="CS68" s="43" t="inlineStr">
        <is>
          <t>T2</t>
        </is>
      </c>
      <c r="CT68" s="187" t="inlineStr">
        <is>
          <t>N</t>
        </is>
      </c>
      <c r="CU68" s="187" t="n"/>
      <c r="CV68" s="187" t="n"/>
      <c r="CW68" s="1" t="n"/>
      <c r="CX68" s="1" t="n"/>
      <c r="CY68" s="1" t="n"/>
      <c r="CZ68" s="1" t="n"/>
      <c r="DA68" s="1" t="n"/>
      <c r="DB68" s="1" t="n"/>
      <c r="DC68" s="1" t="n"/>
    </row>
    <row r="69" ht="15" customFormat="1" customHeight="1" s="42">
      <c r="A69" s="43" t="inlineStr">
        <is>
          <t>aaliyahJia(贾静)</t>
        </is>
      </c>
      <c r="B69" s="43" t="n"/>
      <c r="C69" s="43" t="n">
        <v>6715894</v>
      </c>
      <c r="D69" s="43" t="inlineStr">
        <is>
          <t>风险管理和内部控制</t>
        </is>
      </c>
      <c r="E69" s="43" t="inlineStr">
        <is>
          <t>WXG风控中心</t>
        </is>
      </c>
      <c r="F69" s="43" t="n"/>
      <c r="G69" s="44" t="inlineStr">
        <is>
          <t>S2职能系统－财经线/风险管理和内部控制/WXG风控中心</t>
        </is>
      </c>
      <c r="H69" s="179" t="n">
        <v>44509</v>
      </c>
      <c r="I69" s="43" t="inlineStr">
        <is>
          <t>社会招聘</t>
        </is>
      </c>
      <c r="J69" s="43" t="inlineStr">
        <is>
          <t>财经类－FN</t>
        </is>
      </c>
      <c r="K69" s="43" t="inlineStr">
        <is>
          <t>风险管理</t>
        </is>
      </c>
      <c r="L69" s="46" t="inlineStr">
        <is>
          <t>S7</t>
        </is>
      </c>
      <c r="M69" s="46" t="n"/>
      <c r="N69" s="43" t="inlineStr">
        <is>
          <t>T1#</t>
        </is>
      </c>
      <c r="O69" s="43" t="n"/>
      <c r="P69" s="180" t="n"/>
      <c r="Q69" s="44" t="inlineStr">
        <is>
          <t>G,G</t>
        </is>
      </c>
      <c r="R69" s="44" t="n"/>
      <c r="S69" s="43" t="n"/>
      <c r="T69" s="180" t="n"/>
      <c r="U69" s="1" t="n">
        <v>27998.8</v>
      </c>
      <c r="V69" s="108" t="n">
        <v>0.083333</v>
      </c>
      <c r="W69" s="46" t="inlineStr">
        <is>
          <t>CNY</t>
        </is>
      </c>
      <c r="X69" s="181" t="n">
        <v>1</v>
      </c>
      <c r="Y69" s="1" t="n">
        <v>27506.56</v>
      </c>
      <c r="Z69" s="1" t="n">
        <v>0</v>
      </c>
      <c r="AA69" s="1" t="n">
        <v>55997.6</v>
      </c>
      <c r="AB69" s="1" t="n">
        <v>95960</v>
      </c>
      <c r="AC69" s="48" t="n">
        <v>36150</v>
      </c>
      <c r="AD69" s="1" t="n"/>
      <c r="AE69" s="48" t="n"/>
      <c r="AF69" s="1" t="n">
        <v>0</v>
      </c>
      <c r="AG69" s="1" t="n">
        <v>188107.6</v>
      </c>
      <c r="AH69" s="182" t="n">
        <v>6.838645035947788</v>
      </c>
      <c r="AI69" s="1" t="n">
        <v>188107.6</v>
      </c>
      <c r="AJ69" s="183" t="n">
        <v>6.838645035947788</v>
      </c>
      <c r="AK69" s="183" t="n">
        <v>5.524413085460341</v>
      </c>
      <c r="AL69" s="108" t="n"/>
      <c r="AM69" s="183" t="n"/>
      <c r="AN69" s="183" t="n"/>
      <c r="AO69" s="1" t="n"/>
      <c r="AP69" s="48" t="n"/>
      <c r="AQ69" s="1" t="n">
        <v>188107.6</v>
      </c>
      <c r="AR69" s="183" t="n">
        <v>6.838645035947788</v>
      </c>
      <c r="AS69" s="98" t="n">
        <v>1.726946063805371</v>
      </c>
      <c r="AT69" s="183" t="n"/>
      <c r="AU69" s="1" t="n"/>
      <c r="AV69" s="48" t="n"/>
      <c r="AW69" s="1" t="n"/>
      <c r="AX69" s="48" t="n"/>
      <c r="AY69" s="1" t="n"/>
      <c r="AZ69" s="48" t="n"/>
      <c r="BA69" s="51" t="n"/>
      <c r="BB69" s="180" t="n"/>
      <c r="BC69" s="1" t="n"/>
      <c r="BD69" s="1" t="n"/>
      <c r="BE69" s="180" t="n"/>
      <c r="BF69" s="1" t="n"/>
      <c r="BG69" s="1" t="n"/>
      <c r="BH69" s="1" t="n"/>
      <c r="BI69" s="1" t="n"/>
      <c r="BJ69" s="52" t="n"/>
      <c r="BK69" s="52" t="n"/>
      <c r="BL69" s="184" t="n">
        <v>1</v>
      </c>
      <c r="BM69" s="1" t="n">
        <v>23675</v>
      </c>
      <c r="BN69" s="1" t="n">
        <v>0</v>
      </c>
      <c r="BO69" s="1" t="n">
        <v>24345</v>
      </c>
      <c r="BP69" s="43" t="inlineStr">
        <is>
          <t>G,O</t>
        </is>
      </c>
      <c r="BQ69" s="43" t="inlineStr">
        <is>
          <t>T2</t>
        </is>
      </c>
      <c r="BR69" s="1" t="n">
        <v>108925</v>
      </c>
      <c r="BS69" s="185" t="n">
        <v>4.600844772967265</v>
      </c>
      <c r="BT69" s="1" t="n">
        <v>0</v>
      </c>
      <c r="BU69" s="1" t="n">
        <v>108925</v>
      </c>
      <c r="BV69" s="54" t="n">
        <v>4.600844772967265</v>
      </c>
      <c r="BW69" s="54" t="n"/>
      <c r="BX69" s="1" t="n"/>
      <c r="BY69" s="1" t="n">
        <v>108925</v>
      </c>
      <c r="BZ69" s="54" t="n">
        <v>4.600844772967265</v>
      </c>
      <c r="CA69" s="54" t="n"/>
      <c r="CB69" s="186" t="n"/>
      <c r="CC69" s="186" t="n"/>
      <c r="CD69" s="186" t="n"/>
      <c r="CE69" s="52" t="n"/>
      <c r="CF69" s="52" t="n"/>
      <c r="CG69" s="43" t="n"/>
      <c r="CH69" s="43" t="n"/>
      <c r="CI69" s="43" t="n"/>
      <c r="CJ69" s="43" t="n"/>
      <c r="CK69" s="43" t="n"/>
      <c r="CL69" s="43" t="n"/>
      <c r="CM69" s="43" t="n"/>
      <c r="CN69" s="43" t="n"/>
      <c r="CO69" s="43" t="n"/>
      <c r="CP69" s="43" t="inlineStr">
        <is>
          <t>风险管理和内部控制</t>
        </is>
      </c>
      <c r="CQ69" s="43" t="inlineStr">
        <is>
          <t>3,3</t>
        </is>
      </c>
      <c r="CR69" s="43" t="n">
        <v>7</v>
      </c>
      <c r="CS69" s="43" t="inlineStr">
        <is>
          <t>T1#</t>
        </is>
      </c>
      <c r="CT69" s="187" t="inlineStr">
        <is>
          <t>N</t>
        </is>
      </c>
      <c r="CU69" s="187" t="n"/>
      <c r="CV69" s="187" t="n"/>
      <c r="CW69" s="1" t="n"/>
      <c r="CX69" s="1" t="n"/>
      <c r="CY69" s="1" t="n"/>
      <c r="CZ69" s="1" t="n"/>
      <c r="DA69" s="1" t="n"/>
      <c r="DB69" s="1" t="n"/>
      <c r="DC69" s="1" t="n"/>
    </row>
    <row r="70" ht="15" customFormat="1" customHeight="1" s="42">
      <c r="A70" s="43" t="inlineStr">
        <is>
          <t>judithShi(石茜青)</t>
        </is>
      </c>
      <c r="B70" s="43" t="n"/>
      <c r="C70" s="43" t="n">
        <v>87007219</v>
      </c>
      <c r="D70" s="43" t="inlineStr">
        <is>
          <t>财经投资并购及管理部</t>
        </is>
      </c>
      <c r="E70" s="43" t="inlineStr">
        <is>
          <t>行业及项目管理中心</t>
        </is>
      </c>
      <c r="F70" s="43" t="n"/>
      <c r="G70" s="44" t="inlineStr">
        <is>
          <t>S2职能系统－财经线/财经投资并购及管理部/行业及项目管理中心</t>
        </is>
      </c>
      <c r="H70" s="179" t="n">
        <v>36341</v>
      </c>
      <c r="I70" s="43" t="inlineStr">
        <is>
          <t>社会招聘</t>
        </is>
      </c>
      <c r="J70" s="43" t="inlineStr">
        <is>
          <t>财经类－FN</t>
        </is>
      </c>
      <c r="K70" s="43" t="inlineStr">
        <is>
          <t>投资并购</t>
        </is>
      </c>
      <c r="L70" s="46" t="inlineStr">
        <is>
          <t>S8</t>
        </is>
      </c>
      <c r="M70" s="46" t="n"/>
      <c r="N70" s="43" t="inlineStr">
        <is>
          <t>Others</t>
        </is>
      </c>
      <c r="O70" s="43" t="n"/>
      <c r="P70" s="180" t="n"/>
      <c r="Q70" s="44" t="inlineStr">
        <is>
          <t>G,G</t>
        </is>
      </c>
      <c r="R70" s="44" t="n"/>
      <c r="S70" s="43" t="n"/>
      <c r="T70" s="180" t="n"/>
      <c r="U70" s="1" t="n">
        <v>50342.95</v>
      </c>
      <c r="V70" s="108" t="n">
        <v>0.083333</v>
      </c>
      <c r="W70" s="46" t="inlineStr">
        <is>
          <t>CNY</t>
        </is>
      </c>
      <c r="X70" s="181" t="n">
        <v>1</v>
      </c>
      <c r="Y70" s="1" t="n">
        <v>46146.18</v>
      </c>
      <c r="Z70" s="1" t="n">
        <v>0</v>
      </c>
      <c r="AA70" s="1" t="n">
        <v>100685.9</v>
      </c>
      <c r="AB70" s="1" t="n">
        <v>46320</v>
      </c>
      <c r="AC70" s="48" t="n">
        <v>0</v>
      </c>
      <c r="AD70" s="1" t="n"/>
      <c r="AE70" s="48" t="n"/>
      <c r="AF70" s="1" t="n">
        <v>0</v>
      </c>
      <c r="AG70" s="1" t="n">
        <v>147005.9</v>
      </c>
      <c r="AH70" s="182" t="n">
        <v>3.185656970956209</v>
      </c>
      <c r="AI70" s="1" t="n">
        <v>147005.9</v>
      </c>
      <c r="AJ70" s="183" t="n">
        <v>3.185656970956209</v>
      </c>
      <c r="AK70" s="183" t="n">
        <v>3.185656970956209</v>
      </c>
      <c r="AL70" s="108" t="n"/>
      <c r="AM70" s="183" t="n"/>
      <c r="AN70" s="183" t="n"/>
      <c r="AO70" s="1" t="n"/>
      <c r="AP70" s="48" t="n"/>
      <c r="AQ70" s="1" t="n">
        <v>147005.9</v>
      </c>
      <c r="AR70" s="183" t="n">
        <v>3.185656970956209</v>
      </c>
      <c r="AS70" s="98" t="n">
        <v>0.7673943570067601</v>
      </c>
      <c r="AT70" s="183" t="n"/>
      <c r="AU70" s="1" t="n"/>
      <c r="AV70" s="48" t="n"/>
      <c r="AW70" s="1" t="n"/>
      <c r="AX70" s="48" t="n"/>
      <c r="AY70" s="1" t="n"/>
      <c r="AZ70" s="48" t="n"/>
      <c r="BA70" s="51" t="n"/>
      <c r="BB70" s="180" t="n"/>
      <c r="BC70" s="1" t="n"/>
      <c r="BD70" s="1" t="n"/>
      <c r="BE70" s="180" t="n"/>
      <c r="BF70" s="1" t="n"/>
      <c r="BG70" s="1" t="n"/>
      <c r="BH70" s="1" t="n"/>
      <c r="BI70" s="1" t="n"/>
      <c r="BJ70" s="52" t="n"/>
      <c r="BK70" s="52" t="n"/>
      <c r="BL70" s="184" t="n">
        <v>1</v>
      </c>
      <c r="BM70" s="1" t="n">
        <v>43800</v>
      </c>
      <c r="BN70" s="1" t="n">
        <v>0</v>
      </c>
      <c r="BO70" s="1" t="n">
        <v>47740</v>
      </c>
      <c r="BP70" s="43" t="inlineStr">
        <is>
          <t>G,O</t>
        </is>
      </c>
      <c r="BQ70" s="43" t="inlineStr">
        <is>
          <t>Others</t>
        </is>
      </c>
      <c r="BR70" s="1" t="n">
        <v>191565</v>
      </c>
      <c r="BS70" s="185" t="n">
        <v>4.373630136986302</v>
      </c>
      <c r="BT70" s="1" t="n">
        <v>0</v>
      </c>
      <c r="BU70" s="1" t="n">
        <v>191565</v>
      </c>
      <c r="BV70" s="54" t="n">
        <v>4.373630136986302</v>
      </c>
      <c r="BW70" s="54" t="n"/>
      <c r="BX70" s="1" t="n"/>
      <c r="BY70" s="1" t="n">
        <v>191565</v>
      </c>
      <c r="BZ70" s="54" t="n">
        <v>4.373630136986302</v>
      </c>
      <c r="CA70" s="54" t="n"/>
      <c r="CB70" s="186" t="n"/>
      <c r="CC70" s="186" t="n"/>
      <c r="CD70" s="186" t="n"/>
      <c r="CE70" s="52" t="n"/>
      <c r="CF70" s="52" t="n"/>
      <c r="CG70" s="43" t="n"/>
      <c r="CH70" s="43" t="n"/>
      <c r="CI70" s="43" t="n"/>
      <c r="CJ70" s="43" t="n"/>
      <c r="CK70" s="43" t="n"/>
      <c r="CL70" s="43" t="n"/>
      <c r="CM70" s="43" t="n"/>
      <c r="CN70" s="43" t="n"/>
      <c r="CO70" s="43" t="n"/>
      <c r="CP70" s="43" t="inlineStr">
        <is>
          <t>财经投资并购及管理部</t>
        </is>
      </c>
      <c r="CQ70" s="43" t="inlineStr">
        <is>
          <t>3,3</t>
        </is>
      </c>
      <c r="CR70" s="43" t="n">
        <v>8</v>
      </c>
      <c r="CS70" s="43" t="inlineStr">
        <is>
          <t>Others</t>
        </is>
      </c>
      <c r="CT70" s="187" t="inlineStr">
        <is>
          <t>N</t>
        </is>
      </c>
      <c r="CU70" s="187" t="n"/>
      <c r="CV70" s="187" t="n"/>
      <c r="CW70" s="1" t="n"/>
      <c r="CX70" s="1" t="n"/>
      <c r="CY70" s="1" t="n"/>
      <c r="CZ70" s="1" t="n"/>
      <c r="DA70" s="1" t="n"/>
      <c r="DB70" s="1" t="n"/>
      <c r="DC70" s="1" t="n"/>
    </row>
    <row r="71" ht="15" customFormat="1" customHeight="1" s="42">
      <c r="A71" s="43" t="inlineStr">
        <is>
          <t>dylanQin(秦宇胜)</t>
        </is>
      </c>
      <c r="B71" s="43" t="n"/>
      <c r="C71" s="43" t="n">
        <v>97156558</v>
      </c>
      <c r="D71" s="43" t="inlineStr">
        <is>
          <t>预算及职能系统财务管理部</t>
        </is>
      </c>
      <c r="E71" s="43" t="inlineStr">
        <is>
          <t>预算管理中心</t>
        </is>
      </c>
      <c r="F71" s="43" t="n"/>
      <c r="G71" s="44" t="inlineStr">
        <is>
          <t>S2职能系统－财经线/预算及职能系统财务管理部/预算管理中心</t>
        </is>
      </c>
      <c r="H71" s="179" t="n">
        <v>41411</v>
      </c>
      <c r="I71" s="43" t="inlineStr">
        <is>
          <t>社会招聘</t>
        </is>
      </c>
      <c r="J71" s="43" t="inlineStr">
        <is>
          <t>财经类－FN</t>
        </is>
      </c>
      <c r="K71" s="43" t="inlineStr">
        <is>
          <t>预算管理</t>
        </is>
      </c>
      <c r="L71" s="46" t="inlineStr">
        <is>
          <t>S5</t>
        </is>
      </c>
      <c r="M71" s="46" t="n"/>
      <c r="N71" s="43" t="inlineStr">
        <is>
          <t>T1</t>
        </is>
      </c>
      <c r="O71" s="43" t="n"/>
      <c r="P71" s="180" t="n"/>
      <c r="Q71" s="44" t="inlineStr">
        <is>
          <t>U,G</t>
        </is>
      </c>
      <c r="R71" s="44" t="n"/>
      <c r="S71" s="43" t="n"/>
      <c r="T71" s="180" t="n"/>
      <c r="U71" s="1" t="n">
        <v>19998.85</v>
      </c>
      <c r="V71" s="108" t="n">
        <v>0.083333</v>
      </c>
      <c r="W71" s="46" t="inlineStr">
        <is>
          <t>CNY</t>
        </is>
      </c>
      <c r="X71" s="181" t="n">
        <v>1</v>
      </c>
      <c r="Y71" s="1" t="n">
        <v>18479.36</v>
      </c>
      <c r="Z71" s="1" t="n">
        <v>0</v>
      </c>
      <c r="AA71" s="1" t="n">
        <v>19998.85</v>
      </c>
      <c r="AB71" s="1" t="n">
        <v>41360</v>
      </c>
      <c r="AC71" s="48" t="n">
        <v>0</v>
      </c>
      <c r="AD71" s="1" t="n"/>
      <c r="AE71" s="48" t="n"/>
      <c r="AF71" s="1" t="n">
        <v>0</v>
      </c>
      <c r="AG71" s="1" t="n">
        <v>61358.85</v>
      </c>
      <c r="AH71" s="182" t="n">
        <v>3.320399083085128</v>
      </c>
      <c r="AI71" s="1" t="n">
        <v>61358.85</v>
      </c>
      <c r="AJ71" s="183" t="n">
        <v>3.320399083085128</v>
      </c>
      <c r="AK71" s="183" t="n">
        <v>3.320399083085128</v>
      </c>
      <c r="AL71" s="108" t="n"/>
      <c r="AM71" s="183" t="n"/>
      <c r="AN71" s="183" t="n"/>
      <c r="AO71" s="1" t="n"/>
      <c r="AP71" s="48" t="n"/>
      <c r="AQ71" s="1" t="n">
        <v>61358.85</v>
      </c>
      <c r="AR71" s="183" t="n">
        <v>3.320399083085128</v>
      </c>
      <c r="AS71" s="98" t="n">
        <v>0.6713589364844904</v>
      </c>
      <c r="AT71" s="183" t="n"/>
      <c r="AU71" s="1" t="n"/>
      <c r="AV71" s="48" t="n"/>
      <c r="AW71" s="1" t="n"/>
      <c r="AX71" s="48" t="n"/>
      <c r="AY71" s="1" t="n"/>
      <c r="AZ71" s="48" t="n"/>
      <c r="BA71" s="51" t="n"/>
      <c r="BB71" s="180" t="n"/>
      <c r="BC71" s="1" t="n"/>
      <c r="BD71" s="1" t="n"/>
      <c r="BE71" s="180" t="n"/>
      <c r="BF71" s="1" t="n"/>
      <c r="BG71" s="1" t="n"/>
      <c r="BH71" s="1" t="n"/>
      <c r="BI71" s="1" t="n"/>
      <c r="BJ71" s="52" t="n"/>
      <c r="BK71" s="52" t="n"/>
      <c r="BL71" s="184" t="n">
        <v>1</v>
      </c>
      <c r="BM71" s="1" t="n">
        <v>17550</v>
      </c>
      <c r="BN71" s="1" t="n">
        <v>0</v>
      </c>
      <c r="BO71" s="1" t="n">
        <v>18850</v>
      </c>
      <c r="BP71" s="43" t="inlineStr">
        <is>
          <t>G,G</t>
        </is>
      </c>
      <c r="BQ71" s="43" t="inlineStr">
        <is>
          <t>T1</t>
        </is>
      </c>
      <c r="BR71" s="1" t="n">
        <v>60325</v>
      </c>
      <c r="BS71" s="185" t="n">
        <v>3.437321937321937</v>
      </c>
      <c r="BT71" s="1" t="n">
        <v>31070</v>
      </c>
      <c r="BU71" s="1" t="n">
        <v>91395</v>
      </c>
      <c r="BV71" s="54" t="n">
        <v>5.207692307692308</v>
      </c>
      <c r="BW71" s="54" t="n"/>
      <c r="BX71" s="1" t="n"/>
      <c r="BY71" s="1" t="n">
        <v>91395</v>
      </c>
      <c r="BZ71" s="54" t="n">
        <v>5.207692307692308</v>
      </c>
      <c r="CA71" s="54" t="n"/>
      <c r="CB71" s="186" t="n"/>
      <c r="CC71" s="186" t="n"/>
      <c r="CD71" s="186" t="n"/>
      <c r="CE71" s="52" t="n"/>
      <c r="CF71" s="52" t="n"/>
      <c r="CG71" s="43" t="n"/>
      <c r="CH71" s="43" t="n"/>
      <c r="CI71" s="43" t="n"/>
      <c r="CJ71" s="43" t="n"/>
      <c r="CK71" s="43" t="n"/>
      <c r="CL71" s="43" t="n"/>
      <c r="CM71" s="43" t="n"/>
      <c r="CN71" s="43" t="n"/>
      <c r="CO71" s="43" t="n"/>
      <c r="CP71" s="43" t="inlineStr">
        <is>
          <t>预算及职能系统财务管理部</t>
        </is>
      </c>
      <c r="CQ71" s="43" t="inlineStr">
        <is>
          <t>3,1</t>
        </is>
      </c>
      <c r="CR71" s="43" t="n">
        <v>5</v>
      </c>
      <c r="CS71" s="43" t="inlineStr">
        <is>
          <t>T1</t>
        </is>
      </c>
      <c r="CT71" s="187" t="inlineStr">
        <is>
          <t>N</t>
        </is>
      </c>
      <c r="CU71" s="187" t="n"/>
      <c r="CV71" s="187" t="n"/>
      <c r="CW71" s="1" t="n"/>
      <c r="CX71" s="1" t="n"/>
      <c r="CY71" s="1" t="n"/>
      <c r="CZ71" s="1" t="n"/>
      <c r="DA71" s="1" t="n"/>
      <c r="DB71" s="1" t="n"/>
      <c r="DC71" s="1" t="n"/>
    </row>
    <row r="72" ht="15" customFormat="1" customHeight="1" s="42">
      <c r="A72" s="43" t="inlineStr">
        <is>
          <t>bryanCai(蔡彤博)</t>
        </is>
      </c>
      <c r="B72" s="43" t="n"/>
      <c r="C72" s="43" t="n">
        <v>49464189</v>
      </c>
      <c r="D72" s="43" t="inlineStr">
        <is>
          <t>财会及报告管理部</t>
        </is>
      </c>
      <c r="E72" s="43" t="inlineStr">
        <is>
          <t>账务中心</t>
        </is>
      </c>
      <c r="F72" s="43" t="n"/>
      <c r="G72" s="44" t="inlineStr">
        <is>
          <t>S2职能系统－财经线/财会及报告管理部/账务中心</t>
        </is>
      </c>
      <c r="H72" s="179" t="n">
        <v>41280</v>
      </c>
      <c r="I72" s="43" t="inlineStr">
        <is>
          <t>高校招聘</t>
        </is>
      </c>
      <c r="J72" s="43" t="inlineStr">
        <is>
          <t>财经类－FN</t>
        </is>
      </c>
      <c r="K72" s="43" t="inlineStr">
        <is>
          <t>会计</t>
        </is>
      </c>
      <c r="L72" s="46" t="inlineStr">
        <is>
          <t>S10</t>
        </is>
      </c>
      <c r="M72" s="46" t="n"/>
      <c r="N72" s="43" t="inlineStr">
        <is>
          <t>T2</t>
        </is>
      </c>
      <c r="O72" s="43" t="n"/>
      <c r="P72" s="180" t="n"/>
      <c r="Q72" s="44" t="inlineStr">
        <is>
          <t>G,U</t>
        </is>
      </c>
      <c r="R72" s="44" t="n"/>
      <c r="S72" s="43" t="n"/>
      <c r="T72" s="180" t="n"/>
      <c r="U72" s="1" t="n">
        <v>64701.95</v>
      </c>
      <c r="V72" s="108" t="n">
        <v>0.083333</v>
      </c>
      <c r="W72" s="46" t="inlineStr">
        <is>
          <t>CNY</t>
        </is>
      </c>
      <c r="X72" s="181" t="n">
        <v>1</v>
      </c>
      <c r="Y72" s="1" t="n">
        <v>63132.21</v>
      </c>
      <c r="Z72" s="1" t="n">
        <v>0</v>
      </c>
      <c r="AA72" s="1" t="n">
        <v>64701.95</v>
      </c>
      <c r="AB72" s="1" t="n">
        <v>92650</v>
      </c>
      <c r="AC72" s="48" t="n">
        <v>0</v>
      </c>
      <c r="AD72" s="1" t="n"/>
      <c r="AE72" s="48" t="n"/>
      <c r="AF72" s="1" t="n">
        <v>0</v>
      </c>
      <c r="AG72" s="1" t="n">
        <v>157351.95</v>
      </c>
      <c r="AH72" s="182" t="n">
        <v>2.492419479691904</v>
      </c>
      <c r="AI72" s="1" t="n">
        <v>157351.95</v>
      </c>
      <c r="AJ72" s="183" t="n">
        <v>2.492419479691904</v>
      </c>
      <c r="AK72" s="183" t="n">
        <v>2.492419479691904</v>
      </c>
      <c r="AL72" s="108" t="n"/>
      <c r="AM72" s="183" t="n"/>
      <c r="AN72" s="183" t="n"/>
      <c r="AO72" s="1" t="n"/>
      <c r="AP72" s="48" t="n"/>
      <c r="AQ72" s="1" t="n">
        <v>157351.95</v>
      </c>
      <c r="AR72" s="183" t="n">
        <v>2.492419479691904</v>
      </c>
      <c r="AS72" s="98" t="n">
        <v>0.8273408170776593</v>
      </c>
      <c r="AT72" s="183" t="n"/>
      <c r="AU72" s="1" t="n"/>
      <c r="AV72" s="48" t="n"/>
      <c r="AW72" s="1" t="n"/>
      <c r="AX72" s="48" t="n"/>
      <c r="AY72" s="1" t="n"/>
      <c r="AZ72" s="48" t="n"/>
      <c r="BA72" s="51" t="n"/>
      <c r="BB72" s="180" t="n"/>
      <c r="BC72" s="1" t="n"/>
      <c r="BD72" s="1" t="n"/>
      <c r="BE72" s="180" t="n"/>
      <c r="BF72" s="1" t="n"/>
      <c r="BG72" s="1" t="n"/>
      <c r="BH72" s="1" t="n"/>
      <c r="BI72" s="1" t="n"/>
      <c r="BJ72" s="52" t="n"/>
      <c r="BK72" s="52" t="n"/>
      <c r="BL72" s="184" t="n">
        <v>1</v>
      </c>
      <c r="BM72" s="1" t="n">
        <v>57970</v>
      </c>
      <c r="BN72" s="1" t="n">
        <v>0</v>
      </c>
      <c r="BO72" s="1" t="n">
        <v>60340</v>
      </c>
      <c r="BP72" s="43" t="inlineStr">
        <is>
          <t>G,G</t>
        </is>
      </c>
      <c r="BQ72" s="43" t="inlineStr">
        <is>
          <t>T2</t>
        </is>
      </c>
      <c r="BR72" s="1" t="n">
        <v>190190</v>
      </c>
      <c r="BS72" s="185" t="n">
        <v>3.280834914611006</v>
      </c>
      <c r="BT72" s="1" t="n">
        <v>0</v>
      </c>
      <c r="BU72" s="1" t="n">
        <v>190190</v>
      </c>
      <c r="BV72" s="54" t="n">
        <v>3.280834914611006</v>
      </c>
      <c r="BW72" s="54" t="n"/>
      <c r="BX72" s="1" t="n"/>
      <c r="BY72" s="1" t="n">
        <v>190190</v>
      </c>
      <c r="BZ72" s="54" t="n">
        <v>3.280834914611006</v>
      </c>
      <c r="CA72" s="54" t="n"/>
      <c r="CB72" s="186" t="n"/>
      <c r="CC72" s="186" t="n"/>
      <c r="CD72" s="186" t="n"/>
      <c r="CE72" s="52" t="n"/>
      <c r="CF72" s="52" t="n"/>
      <c r="CG72" s="43" t="n"/>
      <c r="CH72" s="43" t="n"/>
      <c r="CI72" s="43" t="n"/>
      <c r="CJ72" s="43" t="n"/>
      <c r="CK72" s="43" t="n"/>
      <c r="CL72" s="43" t="n"/>
      <c r="CM72" s="43" t="n"/>
      <c r="CN72" s="43" t="n"/>
      <c r="CO72" s="43" t="n"/>
      <c r="CP72" s="43" t="inlineStr">
        <is>
          <t>财会及报告管理部</t>
        </is>
      </c>
      <c r="CQ72" s="43" t="inlineStr">
        <is>
          <t>3,1</t>
        </is>
      </c>
      <c r="CR72" s="43" t="n">
        <v>10</v>
      </c>
      <c r="CS72" s="43" t="inlineStr">
        <is>
          <t>T2</t>
        </is>
      </c>
      <c r="CT72" s="187" t="inlineStr">
        <is>
          <t>N</t>
        </is>
      </c>
      <c r="CU72" s="187" t="n"/>
      <c r="CV72" s="187" t="n"/>
      <c r="CW72" s="1" t="n"/>
      <c r="CX72" s="1" t="n"/>
      <c r="CY72" s="1" t="n"/>
      <c r="CZ72" s="1" t="n"/>
      <c r="DA72" s="1" t="n"/>
      <c r="DB72" s="1" t="n"/>
      <c r="DC72" s="1" t="n"/>
    </row>
    <row r="73" ht="15" customFormat="1" customHeight="1" s="42">
      <c r="A73" s="43" t="inlineStr">
        <is>
          <t>andrewSu(苏斌锋)</t>
        </is>
      </c>
      <c r="B73" s="43" t="n"/>
      <c r="C73" s="43" t="n">
        <v>18789816</v>
      </c>
      <c r="D73" s="43" t="inlineStr">
        <is>
          <t>FiT财务管理</t>
        </is>
      </c>
      <c r="E73" s="43" t="inlineStr">
        <is>
          <t>结算支持中心</t>
        </is>
      </c>
      <c r="F73" s="43" t="n"/>
      <c r="G73" s="44" t="inlineStr">
        <is>
          <t>S2职能系统－财经线/FiT财务管理/结算支持中心</t>
        </is>
      </c>
      <c r="H73" s="179" t="n">
        <v>41574</v>
      </c>
      <c r="I73" s="43" t="inlineStr">
        <is>
          <t>社会招聘</t>
        </is>
      </c>
      <c r="J73" s="43" t="inlineStr">
        <is>
          <t>财经类－FN</t>
        </is>
      </c>
      <c r="K73" s="43" t="inlineStr">
        <is>
          <t>财务管理</t>
        </is>
      </c>
      <c r="L73" s="46" t="inlineStr">
        <is>
          <t>S8</t>
        </is>
      </c>
      <c r="M73" s="46" t="n"/>
      <c r="N73" s="43" t="inlineStr">
        <is>
          <t>T1#</t>
        </is>
      </c>
      <c r="O73" s="43" t="n"/>
      <c r="P73" s="180" t="n"/>
      <c r="Q73" s="44" t="inlineStr">
        <is>
          <t>O,G</t>
        </is>
      </c>
      <c r="R73" s="44" t="n"/>
      <c r="S73" s="43" t="n"/>
      <c r="T73" s="180" t="n"/>
      <c r="U73" s="1" t="n">
        <v>45232.2</v>
      </c>
      <c r="V73" s="108" t="n">
        <v>0.083333</v>
      </c>
      <c r="W73" s="46" t="inlineStr">
        <is>
          <t>CNY</t>
        </is>
      </c>
      <c r="X73" s="181" t="n">
        <v>1</v>
      </c>
      <c r="Y73" s="1" t="n">
        <v>43458.61</v>
      </c>
      <c r="Z73" s="1" t="n">
        <v>0</v>
      </c>
      <c r="AA73" s="1" t="n">
        <v>135696.6</v>
      </c>
      <c r="AB73" s="1" t="n">
        <v>152910</v>
      </c>
      <c r="AC73" s="48" t="n">
        <v>89280</v>
      </c>
      <c r="AD73" s="1" t="n"/>
      <c r="AE73" s="48" t="n"/>
      <c r="AF73" s="1" t="n">
        <v>0</v>
      </c>
      <c r="AG73" s="1" t="n">
        <v>377886.6</v>
      </c>
      <c r="AH73" s="182" t="n">
        <v>8.695321824605067</v>
      </c>
      <c r="AI73" s="1" t="n">
        <v>377886.6</v>
      </c>
      <c r="AJ73" s="183" t="n">
        <v>8.695321824605067</v>
      </c>
      <c r="AK73" s="183" t="n">
        <v>6.640953311668274</v>
      </c>
      <c r="AL73" s="108" t="n"/>
      <c r="AM73" s="183" t="n"/>
      <c r="AN73" s="183" t="n"/>
      <c r="AO73" s="1" t="n"/>
      <c r="AP73" s="48" t="n"/>
      <c r="AQ73" s="1" t="n">
        <v>377886.6</v>
      </c>
      <c r="AR73" s="183" t="n">
        <v>8.695321824605067</v>
      </c>
      <c r="AS73" s="98" t="n">
        <v>4.385361494719739</v>
      </c>
      <c r="AT73" s="183" t="n"/>
      <c r="AU73" s="1" t="n"/>
      <c r="AV73" s="48" t="n"/>
      <c r="AW73" s="1" t="n"/>
      <c r="AX73" s="48" t="n"/>
      <c r="AY73" s="1" t="n"/>
      <c r="AZ73" s="48" t="n"/>
      <c r="BA73" s="51" t="n"/>
      <c r="BB73" s="180" t="n"/>
      <c r="BC73" s="1" t="n"/>
      <c r="BD73" s="1" t="n"/>
      <c r="BE73" s="180" t="n"/>
      <c r="BF73" s="1" t="n"/>
      <c r="BG73" s="1" t="n"/>
      <c r="BH73" s="1" t="n"/>
      <c r="BI73" s="1" t="n"/>
      <c r="BJ73" s="52" t="n"/>
      <c r="BK73" s="52" t="n"/>
      <c r="BL73" s="184" t="n">
        <v>1</v>
      </c>
      <c r="BM73" s="1" t="n">
        <v>36395</v>
      </c>
      <c r="BN73" s="1" t="n">
        <v>0</v>
      </c>
      <c r="BO73" s="1" t="n">
        <v>37115</v>
      </c>
      <c r="BP73" s="43" t="inlineStr">
        <is>
          <t>G,U</t>
        </is>
      </c>
      <c r="BQ73" s="43" t="inlineStr">
        <is>
          <t>T2</t>
        </is>
      </c>
      <c r="BR73" s="1" t="n">
        <v>86170</v>
      </c>
      <c r="BS73" s="185" t="n">
        <v>2.367632916609424</v>
      </c>
      <c r="BT73" s="1" t="n">
        <v>0</v>
      </c>
      <c r="BU73" s="1" t="n">
        <v>86170</v>
      </c>
      <c r="BV73" s="54" t="n">
        <v>2.367632916609424</v>
      </c>
      <c r="BW73" s="54" t="n"/>
      <c r="BX73" s="1" t="n"/>
      <c r="BY73" s="1" t="n">
        <v>86170</v>
      </c>
      <c r="BZ73" s="54" t="n">
        <v>2.367632916609424</v>
      </c>
      <c r="CA73" s="54" t="n"/>
      <c r="CB73" s="186" t="n"/>
      <c r="CC73" s="186" t="n"/>
      <c r="CD73" s="186" t="n"/>
      <c r="CE73" s="52" t="n"/>
      <c r="CF73" s="52" t="n"/>
      <c r="CG73" s="43" t="n"/>
      <c r="CH73" s="43" t="n"/>
      <c r="CI73" s="43" t="n"/>
      <c r="CJ73" s="43" t="n"/>
      <c r="CK73" s="43" t="n"/>
      <c r="CL73" s="43" t="n"/>
      <c r="CM73" s="43" t="n"/>
      <c r="CN73" s="43" t="n"/>
      <c r="CO73" s="43" t="n"/>
      <c r="CP73" s="43" t="inlineStr">
        <is>
          <t>FiT财务管理</t>
        </is>
      </c>
      <c r="CQ73" s="43" t="inlineStr">
        <is>
          <t>5,3</t>
        </is>
      </c>
      <c r="CR73" s="43" t="n">
        <v>8</v>
      </c>
      <c r="CS73" s="43" t="inlineStr">
        <is>
          <t>T1#</t>
        </is>
      </c>
      <c r="CT73" s="187" t="inlineStr">
        <is>
          <t>N</t>
        </is>
      </c>
      <c r="CU73" s="187" t="n"/>
      <c r="CV73" s="187" t="n"/>
      <c r="CW73" s="1" t="n"/>
      <c r="CX73" s="1" t="n"/>
      <c r="CY73" s="1" t="n"/>
      <c r="CZ73" s="1" t="n"/>
      <c r="DA73" s="1" t="n"/>
      <c r="DB73" s="1" t="n"/>
      <c r="DC73" s="1" t="n"/>
    </row>
    <row r="74" ht="15" customFormat="1" customHeight="1" s="42">
      <c r="A74" s="43" t="inlineStr">
        <is>
          <t>harryHe(何松浩)</t>
        </is>
      </c>
      <c r="B74" s="43" t="n"/>
      <c r="C74" s="43" t="n">
        <v>38943694</v>
      </c>
      <c r="D74" s="43" t="inlineStr">
        <is>
          <t>风险管理和内部控制</t>
        </is>
      </c>
      <c r="E74" s="43" t="inlineStr">
        <is>
          <t>IEG风控中心</t>
        </is>
      </c>
      <c r="F74" s="43" t="n"/>
      <c r="G74" s="44" t="inlineStr">
        <is>
          <t>S2职能系统－财经线/风险管理和内部控制/IEG风控中心</t>
        </is>
      </c>
      <c r="H74" s="179" t="n">
        <v>38512</v>
      </c>
      <c r="I74" s="43" t="inlineStr">
        <is>
          <t>高校招聘</t>
        </is>
      </c>
      <c r="J74" s="43" t="inlineStr">
        <is>
          <t>财经类－FN</t>
        </is>
      </c>
      <c r="K74" s="43" t="inlineStr">
        <is>
          <t>风险管理</t>
        </is>
      </c>
      <c r="L74" s="46" t="inlineStr">
        <is>
          <t>S7</t>
        </is>
      </c>
      <c r="M74" s="46" t="n"/>
      <c r="N74" s="43" t="inlineStr">
        <is>
          <t>Others</t>
        </is>
      </c>
      <c r="O74" s="43" t="n"/>
      <c r="P74" s="180" t="n"/>
      <c r="Q74" s="44" t="inlineStr">
        <is>
          <t>G,U</t>
        </is>
      </c>
      <c r="R74" s="44" t="n"/>
      <c r="S74" s="43" t="n"/>
      <c r="T74" s="180" t="n"/>
      <c r="U74" s="1" t="n">
        <v>44533.85</v>
      </c>
      <c r="V74" s="108" t="n">
        <v>0.083333</v>
      </c>
      <c r="W74" s="46" t="inlineStr">
        <is>
          <t>CNY</t>
        </is>
      </c>
      <c r="X74" s="181" t="n">
        <v>1</v>
      </c>
      <c r="Y74" s="1" t="n">
        <v>41356.88</v>
      </c>
      <c r="Z74" s="1" t="n">
        <v>0</v>
      </c>
      <c r="AA74" s="1" t="n">
        <v>44533.85</v>
      </c>
      <c r="AB74" s="1" t="n">
        <v>40920</v>
      </c>
      <c r="AC74" s="48" t="n">
        <v>0</v>
      </c>
      <c r="AD74" s="1" t="n"/>
      <c r="AE74" s="48" t="n"/>
      <c r="AF74" s="1" t="n">
        <v>0</v>
      </c>
      <c r="AG74" s="1" t="n">
        <v>85453.85000000001</v>
      </c>
      <c r="AH74" s="182" t="n">
        <v>2.06625475616149</v>
      </c>
      <c r="AI74" s="1" t="n">
        <v>85453.85000000001</v>
      </c>
      <c r="AJ74" s="183" t="n">
        <v>2.06625475616149</v>
      </c>
      <c r="AK74" s="183" t="n">
        <v>2.06625475616149</v>
      </c>
      <c r="AL74" s="108" t="n"/>
      <c r="AM74" s="183" t="n"/>
      <c r="AN74" s="183" t="n"/>
      <c r="AO74" s="1" t="n"/>
      <c r="AP74" s="48" t="n"/>
      <c r="AQ74" s="1" t="n">
        <v>85453.85000000001</v>
      </c>
      <c r="AR74" s="183" t="n">
        <v>2.06625475616149</v>
      </c>
      <c r="AS74" s="98" t="n">
        <v>0.4666294435646808</v>
      </c>
      <c r="AT74" s="183" t="n"/>
      <c r="AU74" s="1" t="n"/>
      <c r="AV74" s="48" t="n"/>
      <c r="AW74" s="1" t="n"/>
      <c r="AX74" s="48" t="n"/>
      <c r="AY74" s="1" t="n"/>
      <c r="AZ74" s="48" t="n"/>
      <c r="BA74" s="51" t="n"/>
      <c r="BB74" s="180" t="n"/>
      <c r="BC74" s="1" t="n"/>
      <c r="BD74" s="1" t="n"/>
      <c r="BE74" s="180" t="n"/>
      <c r="BF74" s="1" t="n"/>
      <c r="BG74" s="1" t="n"/>
      <c r="BH74" s="1" t="n"/>
      <c r="BI74" s="1" t="n"/>
      <c r="BJ74" s="52" t="n"/>
      <c r="BK74" s="52" t="n"/>
      <c r="BL74" s="184" t="n">
        <v>1</v>
      </c>
      <c r="BM74" s="1" t="n">
        <v>38455</v>
      </c>
      <c r="BN74" s="1" t="n">
        <v>0</v>
      </c>
      <c r="BO74" s="1" t="n">
        <v>40980</v>
      </c>
      <c r="BP74" s="43" t="inlineStr">
        <is>
          <t>G,O</t>
        </is>
      </c>
      <c r="BQ74" s="43" t="inlineStr">
        <is>
          <t>T2</t>
        </is>
      </c>
      <c r="BR74" s="1" t="n">
        <v>183130</v>
      </c>
      <c r="BS74" s="185" t="n">
        <v>4.762189572227278</v>
      </c>
      <c r="BT74" s="1" t="n">
        <v>0</v>
      </c>
      <c r="BU74" s="1" t="n">
        <v>183130</v>
      </c>
      <c r="BV74" s="54" t="n">
        <v>4.762189572227278</v>
      </c>
      <c r="BW74" s="54" t="n"/>
      <c r="BX74" s="1" t="n"/>
      <c r="BY74" s="1" t="n">
        <v>183130</v>
      </c>
      <c r="BZ74" s="54" t="n">
        <v>4.762189572227278</v>
      </c>
      <c r="CA74" s="54" t="n"/>
      <c r="CB74" s="186" t="n"/>
      <c r="CC74" s="186" t="n"/>
      <c r="CD74" s="186" t="n"/>
      <c r="CE74" s="52" t="n"/>
      <c r="CF74" s="52" t="n"/>
      <c r="CG74" s="43" t="n"/>
      <c r="CH74" s="43" t="n"/>
      <c r="CI74" s="43" t="n"/>
      <c r="CJ74" s="43" t="n"/>
      <c r="CK74" s="43" t="n"/>
      <c r="CL74" s="43" t="n"/>
      <c r="CM74" s="43" t="n"/>
      <c r="CN74" s="43" t="n"/>
      <c r="CO74" s="43" t="n"/>
      <c r="CP74" s="43" t="inlineStr">
        <is>
          <t>风险管理和内部控制</t>
        </is>
      </c>
      <c r="CQ74" s="43" t="inlineStr">
        <is>
          <t>3,1</t>
        </is>
      </c>
      <c r="CR74" s="43" t="n">
        <v>7</v>
      </c>
      <c r="CS74" s="43" t="inlineStr">
        <is>
          <t>Others</t>
        </is>
      </c>
      <c r="CT74" s="187" t="inlineStr">
        <is>
          <t>N</t>
        </is>
      </c>
      <c r="CU74" s="187" t="n"/>
      <c r="CV74" s="187" t="n"/>
      <c r="CW74" s="1" t="n"/>
      <c r="CX74" s="1" t="n"/>
      <c r="CY74" s="1" t="n"/>
      <c r="CZ74" s="1" t="n"/>
      <c r="DA74" s="1" t="n"/>
      <c r="DB74" s="1" t="n"/>
      <c r="DC74" s="1" t="n"/>
    </row>
    <row r="75" ht="15" customFormat="1" customHeight="1" s="42">
      <c r="A75" s="43" t="inlineStr">
        <is>
          <t>kyleJiang(江博宏)</t>
        </is>
      </c>
      <c r="B75" s="43" t="n"/>
      <c r="C75" s="43" t="n">
        <v>41583343</v>
      </c>
      <c r="D75" s="43" t="inlineStr">
        <is>
          <t>财经IT管理部</t>
        </is>
      </c>
      <c r="E75" s="43" t="inlineStr">
        <is>
          <t>公共支持中心</t>
        </is>
      </c>
      <c r="F75" s="43" t="n"/>
      <c r="G75" s="44" t="inlineStr">
        <is>
          <t>S2职能系统－财经线/财经IT管理部/公共支持中心</t>
        </is>
      </c>
      <c r="H75" s="179" t="n">
        <v>38081</v>
      </c>
      <c r="I75" s="43" t="inlineStr">
        <is>
          <t>社会招聘</t>
        </is>
      </c>
      <c r="J75" s="43" t="inlineStr">
        <is>
          <t>技术研发类－TRD</t>
        </is>
      </c>
      <c r="K75" s="43" t="inlineStr">
        <is>
          <t>应用开发</t>
        </is>
      </c>
      <c r="L75" s="46" t="inlineStr">
        <is>
          <t>T10</t>
        </is>
      </c>
      <c r="M75" s="46" t="n"/>
      <c r="N75" s="43" t="inlineStr">
        <is>
          <t>T1</t>
        </is>
      </c>
      <c r="O75" s="43" t="n"/>
      <c r="P75" s="180" t="n"/>
      <c r="Q75" s="44" t="inlineStr">
        <is>
          <t>G,G</t>
        </is>
      </c>
      <c r="R75" s="44" t="n"/>
      <c r="S75" s="43" t="n"/>
      <c r="T75" s="180" t="n"/>
      <c r="U75" s="1" t="n">
        <v>43452.1</v>
      </c>
      <c r="V75" s="108" t="n">
        <v>0.083333</v>
      </c>
      <c r="W75" s="46" t="inlineStr">
        <is>
          <t>CNY</t>
        </is>
      </c>
      <c r="X75" s="181" t="n">
        <v>1</v>
      </c>
      <c r="Y75" s="1" t="n">
        <v>41920.9</v>
      </c>
      <c r="Z75" s="1" t="n">
        <v>0</v>
      </c>
      <c r="AA75" s="1" t="n">
        <v>86904.2</v>
      </c>
      <c r="AB75" s="1" t="n">
        <v>94945</v>
      </c>
      <c r="AC75" s="48" t="n">
        <v>44970</v>
      </c>
      <c r="AD75" s="1" t="n"/>
      <c r="AE75" s="48" t="n"/>
      <c r="AF75" s="1" t="n">
        <v>0</v>
      </c>
      <c r="AG75" s="1" t="n">
        <v>226819.2</v>
      </c>
      <c r="AH75" s="182" t="n">
        <v>5.410647195074533</v>
      </c>
      <c r="AI75" s="1" t="n">
        <v>226819.2</v>
      </c>
      <c r="AJ75" s="183" t="n">
        <v>5.410647195074533</v>
      </c>
      <c r="AK75" s="183" t="n">
        <v>4.337912592525447</v>
      </c>
      <c r="AL75" s="108" t="n"/>
      <c r="AM75" s="183" t="n"/>
      <c r="AN75" s="183" t="n"/>
      <c r="AO75" s="1" t="n"/>
      <c r="AP75" s="48" t="n"/>
      <c r="AQ75" s="1" t="n">
        <v>226819.2</v>
      </c>
      <c r="AR75" s="183" t="n">
        <v>5.410647195074533</v>
      </c>
      <c r="AS75" s="98" t="n">
        <v>1.484418848167539</v>
      </c>
      <c r="AT75" s="183" t="n"/>
      <c r="AU75" s="1" t="n"/>
      <c r="AV75" s="48" t="n"/>
      <c r="AW75" s="1" t="n"/>
      <c r="AX75" s="48" t="n"/>
      <c r="AY75" s="1" t="n"/>
      <c r="AZ75" s="48" t="n"/>
      <c r="BA75" s="51" t="n"/>
      <c r="BB75" s="180" t="n"/>
      <c r="BC75" s="1" t="n"/>
      <c r="BD75" s="1" t="n"/>
      <c r="BE75" s="180" t="n"/>
      <c r="BF75" s="1" t="n"/>
      <c r="BG75" s="1" t="n"/>
      <c r="BH75" s="1" t="n"/>
      <c r="BI75" s="1" t="n"/>
      <c r="BJ75" s="52" t="n"/>
      <c r="BK75" s="52" t="n"/>
      <c r="BL75" s="184" t="n">
        <v>1</v>
      </c>
      <c r="BM75" s="1" t="n">
        <v>35860</v>
      </c>
      <c r="BN75" s="1" t="n">
        <v>0</v>
      </c>
      <c r="BO75" s="1" t="n">
        <v>37275</v>
      </c>
      <c r="BP75" s="43" t="inlineStr">
        <is>
          <t>G,O</t>
        </is>
      </c>
      <c r="BQ75" s="43" t="inlineStr">
        <is>
          <t>Others</t>
        </is>
      </c>
      <c r="BR75" s="1" t="n">
        <v>152800</v>
      </c>
      <c r="BS75" s="185" t="n">
        <v>4.261015058561071</v>
      </c>
      <c r="BT75" s="1" t="n">
        <v>0</v>
      </c>
      <c r="BU75" s="1" t="n">
        <v>152800</v>
      </c>
      <c r="BV75" s="54" t="n">
        <v>4.261015058561071</v>
      </c>
      <c r="BW75" s="54" t="n"/>
      <c r="BX75" s="1" t="n"/>
      <c r="BY75" s="1" t="n">
        <v>152800</v>
      </c>
      <c r="BZ75" s="54" t="n">
        <v>4.261015058561071</v>
      </c>
      <c r="CA75" s="54" t="n"/>
      <c r="CB75" s="186" t="n"/>
      <c r="CC75" s="186" t="n"/>
      <c r="CD75" s="186" t="n"/>
      <c r="CE75" s="52" t="n"/>
      <c r="CF75" s="52" t="n"/>
      <c r="CG75" s="43" t="n"/>
      <c r="CH75" s="43" t="n"/>
      <c r="CI75" s="43" t="n"/>
      <c r="CJ75" s="43" t="n"/>
      <c r="CK75" s="43" t="n"/>
      <c r="CL75" s="43" t="n"/>
      <c r="CM75" s="43" t="n"/>
      <c r="CN75" s="43" t="n"/>
      <c r="CO75" s="43" t="n"/>
      <c r="CP75" s="43" t="inlineStr">
        <is>
          <t>财经IT管理部</t>
        </is>
      </c>
      <c r="CQ75" s="43" t="inlineStr">
        <is>
          <t>3,3</t>
        </is>
      </c>
      <c r="CR75" s="43" t="n">
        <v>10</v>
      </c>
      <c r="CS75" s="43" t="inlineStr">
        <is>
          <t>T1</t>
        </is>
      </c>
      <c r="CT75" s="187" t="inlineStr">
        <is>
          <t>N</t>
        </is>
      </c>
      <c r="CU75" s="187" t="n"/>
      <c r="CV75" s="187" t="n"/>
      <c r="CW75" s="1" t="n"/>
      <c r="CX75" s="1" t="n"/>
      <c r="CY75" s="1" t="n"/>
      <c r="CZ75" s="1" t="n"/>
      <c r="DA75" s="1" t="n"/>
      <c r="DB75" s="1" t="n"/>
      <c r="DC75" s="1" t="n"/>
    </row>
    <row r="76" ht="15" customFormat="1" customHeight="1" s="42">
      <c r="A76" s="43" t="inlineStr">
        <is>
          <t>brooklynHu(胡青茹)</t>
        </is>
      </c>
      <c r="B76" s="43" t="n"/>
      <c r="C76" s="43" t="n">
        <v>96303989</v>
      </c>
      <c r="D76" s="43" t="inlineStr">
        <is>
          <t>CFO办公室</t>
        </is>
      </c>
      <c r="E76" s="43" t="inlineStr">
        <is>
          <t>财经专业通道委员会</t>
        </is>
      </c>
      <c r="F76" s="43" t="n"/>
      <c r="G76" s="44" t="inlineStr">
        <is>
          <t>S2职能系统－财经线/CFO办公室/财经专业通道委员会</t>
        </is>
      </c>
      <c r="H76" s="179" t="n">
        <v>37496</v>
      </c>
      <c r="I76" s="43" t="inlineStr">
        <is>
          <t>社会招聘</t>
        </is>
      </c>
      <c r="J76" s="43" t="inlineStr">
        <is>
          <t>财经类－FN</t>
        </is>
      </c>
      <c r="K76" s="43" t="inlineStr">
        <is>
          <t>投资者关系</t>
        </is>
      </c>
      <c r="L76" s="46" t="inlineStr">
        <is>
          <t>S9</t>
        </is>
      </c>
      <c r="M76" s="46" t="n"/>
      <c r="N76" s="43" t="inlineStr">
        <is>
          <t>Others</t>
        </is>
      </c>
      <c r="O76" s="43" t="n"/>
      <c r="P76" s="180" t="n"/>
      <c r="Q76" s="44" t="inlineStr">
        <is>
          <t>G,O</t>
        </is>
      </c>
      <c r="R76" s="44" t="n"/>
      <c r="S76" s="43" t="n"/>
      <c r="T76" s="180" t="n"/>
      <c r="U76" s="1" t="n">
        <v>40525.65</v>
      </c>
      <c r="V76" s="108" t="n">
        <v>0.083333</v>
      </c>
      <c r="W76" s="46" t="inlineStr">
        <is>
          <t>CNY</t>
        </is>
      </c>
      <c r="X76" s="181" t="n">
        <v>1</v>
      </c>
      <c r="Y76" s="1" t="n">
        <v>39383.95</v>
      </c>
      <c r="Z76" s="1" t="n">
        <v>0</v>
      </c>
      <c r="AA76" s="1" t="n">
        <v>121576.95</v>
      </c>
      <c r="AB76" s="1" t="n">
        <v>25660</v>
      </c>
      <c r="AC76" s="48" t="n">
        <v>0</v>
      </c>
      <c r="AD76" s="1" t="n"/>
      <c r="AE76" s="48" t="n"/>
      <c r="AF76" s="1" t="n">
        <v>0</v>
      </c>
      <c r="AG76" s="1" t="n">
        <v>147236.95</v>
      </c>
      <c r="AH76" s="182" t="n">
        <v>3.738501343821532</v>
      </c>
      <c r="AI76" s="1" t="n">
        <v>147236.95</v>
      </c>
      <c r="AJ76" s="183" t="n">
        <v>3.738501343821532</v>
      </c>
      <c r="AK76" s="183" t="n">
        <v>3.738501343821532</v>
      </c>
      <c r="AL76" s="108" t="n"/>
      <c r="AM76" s="183" t="n"/>
      <c r="AN76" s="183" t="n"/>
      <c r="AO76" s="1" t="n"/>
      <c r="AP76" s="48" t="n"/>
      <c r="AQ76" s="1" t="n">
        <v>147236.95</v>
      </c>
      <c r="AR76" s="183" t="n">
        <v>3.738501343821532</v>
      </c>
      <c r="AS76" s="98" t="n">
        <v>1.189120901308351</v>
      </c>
      <c r="AT76" s="183" t="n"/>
      <c r="AU76" s="1" t="n"/>
      <c r="AV76" s="48" t="n"/>
      <c r="AW76" s="1" t="n"/>
      <c r="AX76" s="48" t="n"/>
      <c r="AY76" s="1" t="n"/>
      <c r="AZ76" s="48" t="n"/>
      <c r="BA76" s="51" t="n"/>
      <c r="BB76" s="180" t="n"/>
      <c r="BC76" s="1" t="n"/>
      <c r="BD76" s="1" t="n"/>
      <c r="BE76" s="180" t="n"/>
      <c r="BF76" s="1" t="n"/>
      <c r="BG76" s="1" t="n"/>
      <c r="BH76" s="1" t="n"/>
      <c r="BI76" s="1" t="n"/>
      <c r="BJ76" s="52" t="n"/>
      <c r="BK76" s="52" t="n"/>
      <c r="BL76" s="184" t="n">
        <v>1</v>
      </c>
      <c r="BM76" s="1" t="n">
        <v>35100</v>
      </c>
      <c r="BN76" s="1" t="n">
        <v>0</v>
      </c>
      <c r="BO76" s="1" t="n">
        <v>36800</v>
      </c>
      <c r="BP76" s="43" t="inlineStr">
        <is>
          <t>G,G</t>
        </is>
      </c>
      <c r="BQ76" s="43" t="inlineStr">
        <is>
          <t>Others</t>
        </is>
      </c>
      <c r="BR76" s="1" t="n">
        <v>123820</v>
      </c>
      <c r="BS76" s="185" t="n">
        <v>3.527635327635328</v>
      </c>
      <c r="BT76" s="1" t="n">
        <v>0</v>
      </c>
      <c r="BU76" s="1" t="n">
        <v>123820</v>
      </c>
      <c r="BV76" s="54" t="n">
        <v>3.527635327635328</v>
      </c>
      <c r="BW76" s="54" t="n"/>
      <c r="BX76" s="1" t="n"/>
      <c r="BY76" s="1" t="n">
        <v>123820</v>
      </c>
      <c r="BZ76" s="54" t="n">
        <v>3.527635327635328</v>
      </c>
      <c r="CA76" s="54" t="n"/>
      <c r="CB76" s="186" t="n"/>
      <c r="CC76" s="186" t="n"/>
      <c r="CD76" s="186" t="n"/>
      <c r="CE76" s="52" t="n"/>
      <c r="CF76" s="52" t="n"/>
      <c r="CG76" s="43" t="n"/>
      <c r="CH76" s="43" t="n"/>
      <c r="CI76" s="43" t="n"/>
      <c r="CJ76" s="43" t="n"/>
      <c r="CK76" s="43" t="n"/>
      <c r="CL76" s="43" t="n"/>
      <c r="CM76" s="43" t="n"/>
      <c r="CN76" s="43" t="n"/>
      <c r="CO76" s="43" t="n"/>
      <c r="CP76" s="43" t="inlineStr">
        <is>
          <t>CFO办公室</t>
        </is>
      </c>
      <c r="CQ76" s="43" t="inlineStr">
        <is>
          <t>5,3</t>
        </is>
      </c>
      <c r="CR76" s="43" t="n">
        <v>9</v>
      </c>
      <c r="CS76" s="43" t="inlineStr">
        <is>
          <t>Others</t>
        </is>
      </c>
      <c r="CT76" s="187" t="inlineStr">
        <is>
          <t>N</t>
        </is>
      </c>
      <c r="CU76" s="187" t="n"/>
      <c r="CV76" s="187" t="n"/>
      <c r="CW76" s="1" t="n"/>
      <c r="CX76" s="1" t="n"/>
      <c r="CY76" s="1" t="n"/>
      <c r="CZ76" s="1" t="n"/>
      <c r="DA76" s="1" t="n"/>
      <c r="DB76" s="1" t="n"/>
      <c r="DC76" s="1" t="n"/>
    </row>
    <row r="77" ht="15" customFormat="1" customHeight="1" s="42">
      <c r="A77" s="43" t="inlineStr">
        <is>
          <t>zoeHuang(黄苑琴)</t>
        </is>
      </c>
      <c r="B77" s="43" t="n"/>
      <c r="C77" s="43" t="n">
        <v>74444298</v>
      </c>
      <c r="D77" s="43" t="inlineStr">
        <is>
          <t>CDG财务管理</t>
        </is>
      </c>
      <c r="E77" s="43" t="inlineStr">
        <is>
          <t>综合财务管理中心</t>
        </is>
      </c>
      <c r="F77" s="43" t="n"/>
      <c r="G77" s="44" t="inlineStr">
        <is>
          <t>S2职能系统－财经线/CDG财务管理/综合财务管理中心</t>
        </is>
      </c>
      <c r="H77" s="179" t="n">
        <v>37475</v>
      </c>
      <c r="I77" s="43" t="inlineStr">
        <is>
          <t>社会招聘</t>
        </is>
      </c>
      <c r="J77" s="43" t="inlineStr">
        <is>
          <t>财经类－FN</t>
        </is>
      </c>
      <c r="K77" s="43" t="inlineStr">
        <is>
          <t>财务管理</t>
        </is>
      </c>
      <c r="L77" s="46" t="inlineStr">
        <is>
          <t>S10</t>
        </is>
      </c>
      <c r="M77" s="46" t="n"/>
      <c r="N77" s="43" t="inlineStr">
        <is>
          <t>T1</t>
        </is>
      </c>
      <c r="O77" s="43" t="n"/>
      <c r="P77" s="180" t="n"/>
      <c r="Q77" s="44" t="inlineStr">
        <is>
          <t>G,G</t>
        </is>
      </c>
      <c r="R77" s="44" t="n"/>
      <c r="S77" s="43" t="n"/>
      <c r="T77" s="180" t="n"/>
      <c r="U77" s="1" t="n">
        <v>45087.7</v>
      </c>
      <c r="V77" s="108" t="n">
        <v>0.083333</v>
      </c>
      <c r="W77" s="46" t="inlineStr">
        <is>
          <t>CNY</t>
        </is>
      </c>
      <c r="X77" s="181" t="n">
        <v>1</v>
      </c>
      <c r="Y77" s="1" t="n">
        <v>44445.99</v>
      </c>
      <c r="Z77" s="1" t="n">
        <v>0</v>
      </c>
      <c r="AA77" s="1" t="n">
        <v>90175.39999999999</v>
      </c>
      <c r="AB77" s="1" t="n">
        <v>99505</v>
      </c>
      <c r="AC77" s="48" t="n">
        <v>53285</v>
      </c>
      <c r="AD77" s="1" t="n"/>
      <c r="AE77" s="48" t="n"/>
      <c r="AF77" s="1" t="n">
        <v>0</v>
      </c>
      <c r="AG77" s="1" t="n">
        <v>242965.4</v>
      </c>
      <c r="AH77" s="182" t="n">
        <v>5.466531401370517</v>
      </c>
      <c r="AI77" s="1" t="n">
        <v>242965.4</v>
      </c>
      <c r="AJ77" s="183" t="n">
        <v>5.466531401370517</v>
      </c>
      <c r="AK77" s="183" t="n">
        <v>4.26766059210291</v>
      </c>
      <c r="AL77" s="108" t="n"/>
      <c r="AM77" s="183" t="n"/>
      <c r="AN77" s="183" t="n"/>
      <c r="AO77" s="1" t="n"/>
      <c r="AP77" s="48" t="n"/>
      <c r="AQ77" s="1" t="n">
        <v>242965.4</v>
      </c>
      <c r="AR77" s="183" t="n">
        <v>5.466531401370517</v>
      </c>
      <c r="AS77" s="98" t="n">
        <v>2.66453254372978</v>
      </c>
      <c r="AT77" s="183" t="n"/>
      <c r="AU77" s="1" t="n"/>
      <c r="AV77" s="48" t="n"/>
      <c r="AW77" s="1" t="n"/>
      <c r="AX77" s="48" t="n"/>
      <c r="AY77" s="1" t="n"/>
      <c r="AZ77" s="48" t="n"/>
      <c r="BA77" s="51" t="n"/>
      <c r="BB77" s="180" t="n"/>
      <c r="BC77" s="1" t="n"/>
      <c r="BD77" s="1" t="n"/>
      <c r="BE77" s="180" t="n"/>
      <c r="BF77" s="1" t="n"/>
      <c r="BG77" s="1" t="n"/>
      <c r="BH77" s="1" t="n"/>
      <c r="BI77" s="1" t="n"/>
      <c r="BJ77" s="52" t="n"/>
      <c r="BK77" s="52" t="n"/>
      <c r="BL77" s="184" t="n">
        <v>1</v>
      </c>
      <c r="BM77" s="1" t="n">
        <v>38540</v>
      </c>
      <c r="BN77" s="1" t="n">
        <v>0</v>
      </c>
      <c r="BO77" s="1" t="n">
        <v>40785</v>
      </c>
      <c r="BP77" s="43" t="inlineStr">
        <is>
          <t>U,G</t>
        </is>
      </c>
      <c r="BQ77" s="43" t="inlineStr">
        <is>
          <t>T1</t>
        </is>
      </c>
      <c r="BR77" s="1" t="n">
        <v>91185</v>
      </c>
      <c r="BS77" s="185" t="n">
        <v>2.365983393876492</v>
      </c>
      <c r="BT77" s="1" t="n">
        <v>0</v>
      </c>
      <c r="BU77" s="1" t="n">
        <v>91185</v>
      </c>
      <c r="BV77" s="54" t="n">
        <v>2.365983393876492</v>
      </c>
      <c r="BW77" s="54" t="n"/>
      <c r="BX77" s="1" t="n"/>
      <c r="BY77" s="1" t="n">
        <v>91185</v>
      </c>
      <c r="BZ77" s="54" t="n">
        <v>2.365983393876492</v>
      </c>
      <c r="CA77" s="54" t="n"/>
      <c r="CB77" s="186" t="n"/>
      <c r="CC77" s="186" t="n"/>
      <c r="CD77" s="186" t="n"/>
      <c r="CE77" s="52" t="n"/>
      <c r="CF77" s="52" t="n"/>
      <c r="CG77" s="43" t="n"/>
      <c r="CH77" s="43" t="n"/>
      <c r="CI77" s="43" t="n"/>
      <c r="CJ77" s="43" t="n"/>
      <c r="CK77" s="43" t="n"/>
      <c r="CL77" s="43" t="n"/>
      <c r="CM77" s="43" t="n"/>
      <c r="CN77" s="43" t="n"/>
      <c r="CO77" s="43" t="n"/>
      <c r="CP77" s="43" t="inlineStr">
        <is>
          <t>CDG财务管理</t>
        </is>
      </c>
      <c r="CQ77" s="43" t="inlineStr">
        <is>
          <t>3,3</t>
        </is>
      </c>
      <c r="CR77" s="43" t="n">
        <v>10</v>
      </c>
      <c r="CS77" s="43" t="inlineStr">
        <is>
          <t>T1</t>
        </is>
      </c>
      <c r="CT77" s="187" t="inlineStr">
        <is>
          <t>N</t>
        </is>
      </c>
      <c r="CU77" s="187" t="n"/>
      <c r="CV77" s="187" t="n"/>
      <c r="CW77" s="1" t="n"/>
      <c r="CX77" s="1" t="n"/>
      <c r="CY77" s="1" t="n"/>
      <c r="CZ77" s="1" t="n"/>
      <c r="DA77" s="1" t="n"/>
      <c r="DB77" s="1" t="n"/>
      <c r="DC77" s="1" t="n"/>
    </row>
    <row r="78" ht="15" customFormat="1" customHeight="1" s="42">
      <c r="A78" s="43" t="inlineStr">
        <is>
          <t>bettyDu(杜晴)</t>
        </is>
      </c>
      <c r="B78" s="43" t="n"/>
      <c r="C78" s="43" t="n">
        <v>24734751</v>
      </c>
      <c r="D78" s="43" t="inlineStr">
        <is>
          <t>财会及报告管理部</t>
        </is>
      </c>
      <c r="E78" s="43" t="inlineStr">
        <is>
          <t>应收管理中心</t>
        </is>
      </c>
      <c r="F78" s="43" t="n"/>
      <c r="G78" s="44" t="inlineStr">
        <is>
          <t>S2职能系统－财经线/财会及报告管理部/应收管理中心</t>
        </is>
      </c>
      <c r="H78" s="179" t="n">
        <v>44013</v>
      </c>
      <c r="I78" s="43" t="inlineStr">
        <is>
          <t>高校招聘</t>
        </is>
      </c>
      <c r="J78" s="43" t="inlineStr">
        <is>
          <t>财经类－FN</t>
        </is>
      </c>
      <c r="K78" s="43" t="inlineStr">
        <is>
          <t>会计</t>
        </is>
      </c>
      <c r="L78" s="46" t="inlineStr">
        <is>
          <t>S6</t>
        </is>
      </c>
      <c r="M78" s="46" t="n"/>
      <c r="N78" s="43" t="inlineStr">
        <is>
          <t>T1#</t>
        </is>
      </c>
      <c r="O78" s="43" t="n"/>
      <c r="P78" s="180" t="n"/>
      <c r="Q78" s="44" t="inlineStr">
        <is>
          <t>G,G</t>
        </is>
      </c>
      <c r="R78" s="44" t="n"/>
      <c r="S78" s="43" t="n"/>
      <c r="T78" s="180" t="n"/>
      <c r="U78" s="1" t="n">
        <v>29824.6</v>
      </c>
      <c r="V78" s="108" t="n">
        <v>0.083333</v>
      </c>
      <c r="W78" s="46" t="inlineStr">
        <is>
          <t>CNY</t>
        </is>
      </c>
      <c r="X78" s="181" t="n">
        <v>1</v>
      </c>
      <c r="Y78" s="1" t="n">
        <v>28241.92</v>
      </c>
      <c r="Z78" s="1" t="n">
        <v>0</v>
      </c>
      <c r="AA78" s="1" t="n">
        <v>59649.2</v>
      </c>
      <c r="AB78" s="1" t="n">
        <v>97805</v>
      </c>
      <c r="AC78" s="48" t="n">
        <v>44935</v>
      </c>
      <c r="AD78" s="1" t="n"/>
      <c r="AE78" s="48" t="n"/>
      <c r="AF78" s="1" t="n">
        <v>0</v>
      </c>
      <c r="AG78" s="1" t="n">
        <v>202389.2</v>
      </c>
      <c r="AH78" s="182" t="n">
        <v>7.166269148839739</v>
      </c>
      <c r="AI78" s="1" t="n">
        <v>202389.2</v>
      </c>
      <c r="AJ78" s="183" t="n">
        <v>7.166269148839739</v>
      </c>
      <c r="AK78" s="183" t="n">
        <v>5.575194604332851</v>
      </c>
      <c r="AL78" s="108" t="n"/>
      <c r="AM78" s="183" t="n"/>
      <c r="AN78" s="183" t="n"/>
      <c r="AO78" s="1" t="n"/>
      <c r="AP78" s="48" t="n"/>
      <c r="AQ78" s="1" t="n">
        <v>202389.2</v>
      </c>
      <c r="AR78" s="183" t="n">
        <v>7.166269148839739</v>
      </c>
      <c r="AS78" s="98" t="n">
        <v>0.9188441195832293</v>
      </c>
      <c r="AT78" s="183" t="n"/>
      <c r="AU78" s="1" t="n"/>
      <c r="AV78" s="48" t="n"/>
      <c r="AW78" s="1" t="n"/>
      <c r="AX78" s="48" t="n"/>
      <c r="AY78" s="1" t="n"/>
      <c r="AZ78" s="48" t="n"/>
      <c r="BA78" s="51" t="n"/>
      <c r="BB78" s="180" t="n"/>
      <c r="BC78" s="1" t="n"/>
      <c r="BD78" s="1" t="n"/>
      <c r="BE78" s="180" t="n"/>
      <c r="BF78" s="1" t="n"/>
      <c r="BG78" s="1" t="n"/>
      <c r="BH78" s="1" t="n"/>
      <c r="BI78" s="1" t="n"/>
      <c r="BJ78" s="52" t="n"/>
      <c r="BK78" s="52" t="n"/>
      <c r="BL78" s="184" t="n">
        <v>1</v>
      </c>
      <c r="BM78" s="1" t="n">
        <v>26380</v>
      </c>
      <c r="BN78" s="1" t="n">
        <v>0</v>
      </c>
      <c r="BO78" s="1" t="n">
        <v>27625</v>
      </c>
      <c r="BP78" s="43" t="inlineStr">
        <is>
          <t>G,O</t>
        </is>
      </c>
      <c r="BQ78" s="43" t="inlineStr">
        <is>
          <t>T1#</t>
        </is>
      </c>
      <c r="BR78" s="1" t="n">
        <v>166095</v>
      </c>
      <c r="BS78" s="185" t="n">
        <v>6.296247156937073</v>
      </c>
      <c r="BT78" s="1" t="n">
        <v>54170</v>
      </c>
      <c r="BU78" s="1" t="n">
        <v>220265</v>
      </c>
      <c r="BV78" s="54" t="n">
        <v>8.349696739954512</v>
      </c>
      <c r="BW78" s="54" t="n"/>
      <c r="BX78" s="1" t="n"/>
      <c r="BY78" s="1" t="n">
        <v>220265</v>
      </c>
      <c r="BZ78" s="54" t="n">
        <v>8.349696739954512</v>
      </c>
      <c r="CA78" s="54" t="n"/>
      <c r="CB78" s="186" t="n"/>
      <c r="CC78" s="186" t="n"/>
      <c r="CD78" s="186" t="n"/>
      <c r="CE78" s="52" t="n"/>
      <c r="CF78" s="52" t="n"/>
      <c r="CG78" s="43" t="n"/>
      <c r="CH78" s="43" t="n"/>
      <c r="CI78" s="43" t="n"/>
      <c r="CJ78" s="43" t="n"/>
      <c r="CK78" s="43" t="n"/>
      <c r="CL78" s="43" t="n"/>
      <c r="CM78" s="43" t="n"/>
      <c r="CN78" s="43" t="n"/>
      <c r="CO78" s="43" t="n"/>
      <c r="CP78" s="43" t="inlineStr">
        <is>
          <t>财会及报告管理部</t>
        </is>
      </c>
      <c r="CQ78" s="43" t="inlineStr">
        <is>
          <t>3,3</t>
        </is>
      </c>
      <c r="CR78" s="43" t="n">
        <v>6</v>
      </c>
      <c r="CS78" s="43" t="inlineStr">
        <is>
          <t>T1#</t>
        </is>
      </c>
      <c r="CT78" s="187" t="inlineStr">
        <is>
          <t>N</t>
        </is>
      </c>
      <c r="CU78" s="187" t="n"/>
      <c r="CV78" s="187" t="n"/>
      <c r="CW78" s="1" t="n"/>
      <c r="CX78" s="1" t="n"/>
      <c r="CY78" s="1" t="n"/>
      <c r="CZ78" s="1" t="n"/>
      <c r="DA78" s="1" t="n"/>
      <c r="DB78" s="1" t="n"/>
      <c r="DC78" s="1" t="n"/>
    </row>
    <row r="79" ht="15" customFormat="1" customHeight="1" s="42">
      <c r="A79" s="43" t="inlineStr">
        <is>
          <t>larryYin(尹杰)</t>
        </is>
      </c>
      <c r="B79" s="43" t="n"/>
      <c r="C79" s="43" t="n">
        <v>8382817</v>
      </c>
      <c r="D79" s="43" t="inlineStr">
        <is>
          <t>CDG财务管理</t>
        </is>
      </c>
      <c r="E79" s="43" t="inlineStr">
        <is>
          <t>AMS收入支持中心</t>
        </is>
      </c>
      <c r="F79" s="43" t="n"/>
      <c r="G79" s="44" t="inlineStr">
        <is>
          <t>S2职能系统－财经线/CDG财务管理/AMS收入支持中心</t>
        </is>
      </c>
      <c r="H79" s="179" t="n">
        <v>42952</v>
      </c>
      <c r="I79" s="43" t="inlineStr">
        <is>
          <t>高校招聘</t>
        </is>
      </c>
      <c r="J79" s="43" t="inlineStr">
        <is>
          <t>财经类－FN</t>
        </is>
      </c>
      <c r="K79" s="43" t="inlineStr">
        <is>
          <t>财务管理</t>
        </is>
      </c>
      <c r="L79" s="46" t="inlineStr">
        <is>
          <t>S7</t>
        </is>
      </c>
      <c r="M79" s="46" t="n"/>
      <c r="N79" s="43" t="inlineStr">
        <is>
          <t>T1</t>
        </is>
      </c>
      <c r="O79" s="43" t="n"/>
      <c r="P79" s="180" t="n"/>
      <c r="Q79" s="44" t="inlineStr">
        <is>
          <t>G,G</t>
        </is>
      </c>
      <c r="R79" s="44" t="n"/>
      <c r="S79" s="43" t="n"/>
      <c r="T79" s="180" t="n"/>
      <c r="U79" s="1" t="n">
        <v>28687.45</v>
      </c>
      <c r="V79" s="108" t="n">
        <v>0.083333</v>
      </c>
      <c r="W79" s="46" t="inlineStr">
        <is>
          <t>CNY</t>
        </is>
      </c>
      <c r="X79" s="181" t="n">
        <v>1</v>
      </c>
      <c r="Y79" s="1" t="n">
        <v>28276.73</v>
      </c>
      <c r="Z79" s="1" t="n">
        <v>0</v>
      </c>
      <c r="AA79" s="1" t="n">
        <v>57374.9</v>
      </c>
      <c r="AB79" s="1" t="n">
        <v>58100</v>
      </c>
      <c r="AC79" s="48" t="n">
        <v>30800</v>
      </c>
      <c r="AD79" s="1" t="n"/>
      <c r="AE79" s="48" t="n"/>
      <c r="AF79" s="1" t="n">
        <v>0</v>
      </c>
      <c r="AG79" s="1" t="n">
        <v>146274.9</v>
      </c>
      <c r="AH79" s="182" t="n">
        <v>5.172977922128903</v>
      </c>
      <c r="AI79" s="1" t="n">
        <v>146274.9</v>
      </c>
      <c r="AJ79" s="183" t="n">
        <v>5.172977922128903</v>
      </c>
      <c r="AK79" s="183" t="n">
        <v>4.08374306364279</v>
      </c>
      <c r="AL79" s="108" t="n"/>
      <c r="AM79" s="183" t="n"/>
      <c r="AN79" s="183" t="n"/>
      <c r="AO79" s="1" t="n"/>
      <c r="AP79" s="48" t="n"/>
      <c r="AQ79" s="1" t="n">
        <v>146274.9</v>
      </c>
      <c r="AR79" s="183" t="n">
        <v>5.172977922128903</v>
      </c>
      <c r="AS79" s="98" t="n">
        <v>1.371863071512309</v>
      </c>
      <c r="AT79" s="183" t="n"/>
      <c r="AU79" s="1" t="n"/>
      <c r="AV79" s="48" t="n"/>
      <c r="AW79" s="1" t="n"/>
      <c r="AX79" s="48" t="n"/>
      <c r="AY79" s="1" t="n"/>
      <c r="AZ79" s="48" t="n"/>
      <c r="BA79" s="51" t="n"/>
      <c r="BB79" s="180" t="n"/>
      <c r="BC79" s="1" t="n"/>
      <c r="BD79" s="1" t="n"/>
      <c r="BE79" s="180" t="n"/>
      <c r="BF79" s="1" t="n"/>
      <c r="BG79" s="1" t="n"/>
      <c r="BH79" s="1" t="n"/>
      <c r="BI79" s="1" t="n"/>
      <c r="BJ79" s="52" t="n"/>
      <c r="BK79" s="52" t="n"/>
      <c r="BL79" s="184" t="n">
        <v>1</v>
      </c>
      <c r="BM79" s="1" t="n">
        <v>25155</v>
      </c>
      <c r="BN79" s="1" t="n">
        <v>0</v>
      </c>
      <c r="BO79" s="1" t="n">
        <v>25500</v>
      </c>
      <c r="BP79" s="43" t="inlineStr">
        <is>
          <t>G,O</t>
        </is>
      </c>
      <c r="BQ79" s="43" t="inlineStr">
        <is>
          <t>Others</t>
        </is>
      </c>
      <c r="BR79" s="1" t="n">
        <v>106625</v>
      </c>
      <c r="BS79" s="185" t="n">
        <v>4.238719936394355</v>
      </c>
      <c r="BT79" s="1" t="n">
        <v>0</v>
      </c>
      <c r="BU79" s="1" t="n">
        <v>106625</v>
      </c>
      <c r="BV79" s="54" t="n">
        <v>4.238719936394355</v>
      </c>
      <c r="BW79" s="54" t="n"/>
      <c r="BX79" s="1" t="n"/>
      <c r="BY79" s="1" t="n">
        <v>106625</v>
      </c>
      <c r="BZ79" s="54" t="n">
        <v>4.238719936394355</v>
      </c>
      <c r="CA79" s="54" t="n"/>
      <c r="CB79" s="186" t="n"/>
      <c r="CC79" s="186" t="n"/>
      <c r="CD79" s="186" t="n"/>
      <c r="CE79" s="52" t="n"/>
      <c r="CF79" s="52" t="n"/>
      <c r="CG79" s="43" t="n"/>
      <c r="CH79" s="43" t="n"/>
      <c r="CI79" s="43" t="n"/>
      <c r="CJ79" s="43" t="n"/>
      <c r="CK79" s="43" t="n"/>
      <c r="CL79" s="43" t="n"/>
      <c r="CM79" s="43" t="n"/>
      <c r="CN79" s="43" t="n"/>
      <c r="CO79" s="43" t="n"/>
      <c r="CP79" s="43" t="inlineStr">
        <is>
          <t>CDG财务管理</t>
        </is>
      </c>
      <c r="CQ79" s="43" t="inlineStr">
        <is>
          <t>3,3</t>
        </is>
      </c>
      <c r="CR79" s="43" t="n">
        <v>7</v>
      </c>
      <c r="CS79" s="43" t="inlineStr">
        <is>
          <t>T1</t>
        </is>
      </c>
      <c r="CT79" s="187" t="inlineStr">
        <is>
          <t>N</t>
        </is>
      </c>
      <c r="CU79" s="187" t="n"/>
      <c r="CV79" s="187" t="n"/>
      <c r="CW79" s="1" t="n"/>
      <c r="CX79" s="1" t="n"/>
      <c r="CY79" s="1" t="n"/>
      <c r="CZ79" s="1" t="n"/>
      <c r="DA79" s="1" t="n"/>
      <c r="DB79" s="1" t="n"/>
      <c r="DC79" s="1" t="n"/>
    </row>
    <row r="80" ht="15" customFormat="1" customHeight="1" s="42">
      <c r="A80" s="43" t="inlineStr">
        <is>
          <t>ashleyJiang(蒋青娇)</t>
        </is>
      </c>
      <c r="B80" s="43" t="n"/>
      <c r="C80" s="43" t="n">
        <v>24380026</v>
      </c>
      <c r="D80" s="43" t="inlineStr">
        <is>
          <t>财经线-公共</t>
        </is>
      </c>
      <c r="E80" s="43" t="inlineStr">
        <is>
          <t>财经线-公共</t>
        </is>
      </c>
      <c r="F80" s="43" t="n"/>
      <c r="G80" s="44" t="inlineStr">
        <is>
          <t>S2职能系统－财经线/财经线-公共</t>
        </is>
      </c>
      <c r="H80" s="179" t="n">
        <v>43175</v>
      </c>
      <c r="I80" s="43" t="inlineStr">
        <is>
          <t>高校招聘</t>
        </is>
      </c>
      <c r="J80" s="43" t="inlineStr">
        <is>
          <t>财经类－FN</t>
        </is>
      </c>
      <c r="K80" s="43" t="inlineStr">
        <is>
          <t>财务管理</t>
        </is>
      </c>
      <c r="L80" s="46" t="inlineStr">
        <is>
          <t>S6</t>
        </is>
      </c>
      <c r="M80" s="46" t="n"/>
      <c r="N80" s="43" t="inlineStr">
        <is>
          <t>Others</t>
        </is>
      </c>
      <c r="O80" s="43" t="n"/>
      <c r="P80" s="180" t="n"/>
      <c r="Q80" s="44" t="inlineStr">
        <is>
          <t>G,G</t>
        </is>
      </c>
      <c r="R80" s="44" t="n"/>
      <c r="S80" s="43" t="n"/>
      <c r="T80" s="180" t="n"/>
      <c r="U80" s="1" t="n">
        <v>27130.75</v>
      </c>
      <c r="V80" s="108" t="n">
        <v>0.083333</v>
      </c>
      <c r="W80" s="46" t="inlineStr">
        <is>
          <t>CNY</t>
        </is>
      </c>
      <c r="X80" s="181" t="n">
        <v>1</v>
      </c>
      <c r="Y80" s="1" t="n">
        <v>25449.03</v>
      </c>
      <c r="Z80" s="1" t="n">
        <v>0</v>
      </c>
      <c r="AA80" s="1" t="n">
        <v>54261.5</v>
      </c>
      <c r="AB80" s="1" t="n">
        <v>21670</v>
      </c>
      <c r="AC80" s="48" t="n">
        <v>0</v>
      </c>
      <c r="AD80" s="1" t="n"/>
      <c r="AE80" s="48" t="n"/>
      <c r="AF80" s="1" t="n">
        <v>0</v>
      </c>
      <c r="AG80" s="1" t="n">
        <v>75931.5</v>
      </c>
      <c r="AH80" s="182" t="n">
        <v>2.983669711576434</v>
      </c>
      <c r="AI80" s="1" t="n">
        <v>75931.5</v>
      </c>
      <c r="AJ80" s="183" t="n">
        <v>2.983669711576434</v>
      </c>
      <c r="AK80" s="183" t="n">
        <v>2.983669711576434</v>
      </c>
      <c r="AL80" s="108" t="n"/>
      <c r="AM80" s="183" t="n"/>
      <c r="AN80" s="183" t="n"/>
      <c r="AO80" s="1" t="n"/>
      <c r="AP80" s="48" t="n"/>
      <c r="AQ80" s="1" t="n">
        <v>75931.5</v>
      </c>
      <c r="AR80" s="183" t="n">
        <v>2.983669711576434</v>
      </c>
      <c r="AS80" s="98" t="n">
        <v>0.7047006960556844</v>
      </c>
      <c r="AT80" s="183" t="n"/>
      <c r="AU80" s="1" t="n"/>
      <c r="AV80" s="48" t="n"/>
      <c r="AW80" s="1" t="n"/>
      <c r="AX80" s="48" t="n"/>
      <c r="AY80" s="1" t="n"/>
      <c r="AZ80" s="48" t="n"/>
      <c r="BA80" s="51" t="n"/>
      <c r="BB80" s="180" t="n"/>
      <c r="BC80" s="1" t="n"/>
      <c r="BD80" s="1" t="n"/>
      <c r="BE80" s="180" t="n"/>
      <c r="BF80" s="1" t="n"/>
      <c r="BG80" s="1" t="n"/>
      <c r="BH80" s="1" t="n"/>
      <c r="BI80" s="1" t="n"/>
      <c r="BJ80" s="52" t="n"/>
      <c r="BK80" s="52" t="n"/>
      <c r="BL80" s="184" t="n">
        <v>1</v>
      </c>
      <c r="BM80" s="1" t="n">
        <v>22210</v>
      </c>
      <c r="BN80" s="1" t="n">
        <v>0</v>
      </c>
      <c r="BO80" s="1" t="n">
        <v>24180</v>
      </c>
      <c r="BP80" s="43" t="inlineStr">
        <is>
          <t>G,O</t>
        </is>
      </c>
      <c r="BQ80" s="43" t="inlineStr">
        <is>
          <t>Others</t>
        </is>
      </c>
      <c r="BR80" s="1" t="n">
        <v>107750</v>
      </c>
      <c r="BS80" s="185" t="n">
        <v>4.85141828005403</v>
      </c>
      <c r="BT80" s="1" t="n">
        <v>0</v>
      </c>
      <c r="BU80" s="1" t="n">
        <v>107750</v>
      </c>
      <c r="BV80" s="54" t="n">
        <v>4.85141828005403</v>
      </c>
      <c r="BW80" s="54" t="n"/>
      <c r="BX80" s="1" t="n"/>
      <c r="BY80" s="1" t="n">
        <v>107750</v>
      </c>
      <c r="BZ80" s="54" t="n">
        <v>4.85141828005403</v>
      </c>
      <c r="CA80" s="54" t="n"/>
      <c r="CB80" s="186" t="n"/>
      <c r="CC80" s="186" t="n"/>
      <c r="CD80" s="186" t="n"/>
      <c r="CE80" s="52" t="n"/>
      <c r="CF80" s="52" t="n"/>
      <c r="CG80" s="43" t="n"/>
      <c r="CH80" s="43" t="n"/>
      <c r="CI80" s="43" t="n"/>
      <c r="CJ80" s="43" t="n"/>
      <c r="CK80" s="43" t="n"/>
      <c r="CL80" s="43" t="n"/>
      <c r="CM80" s="43" t="n"/>
      <c r="CN80" s="43" t="n"/>
      <c r="CO80" s="43" t="n"/>
      <c r="CP80" s="43" t="inlineStr">
        <is>
          <t>财经线-公共</t>
        </is>
      </c>
      <c r="CQ80" s="43" t="inlineStr">
        <is>
          <t>3,3</t>
        </is>
      </c>
      <c r="CR80" s="43" t="n">
        <v>6</v>
      </c>
      <c r="CS80" s="43" t="inlineStr">
        <is>
          <t>Others</t>
        </is>
      </c>
      <c r="CT80" s="187" t="inlineStr">
        <is>
          <t>N</t>
        </is>
      </c>
      <c r="CU80" s="187" t="n"/>
      <c r="CV80" s="187" t="n"/>
      <c r="CW80" s="1" t="n"/>
      <c r="CX80" s="1" t="n"/>
      <c r="CY80" s="1" t="n"/>
      <c r="CZ80" s="1" t="n"/>
      <c r="DA80" s="1" t="n"/>
      <c r="DB80" s="1" t="n"/>
      <c r="DC80" s="1" t="n"/>
    </row>
    <row r="81" ht="15" customFormat="1" customHeight="1" s="42">
      <c r="A81" s="43" t="inlineStr">
        <is>
          <t>lucyShao(邵嫦)</t>
        </is>
      </c>
      <c r="B81" s="43" t="n"/>
      <c r="C81" s="43" t="n">
        <v>54376916</v>
      </c>
      <c r="D81" s="43" t="inlineStr">
        <is>
          <t>风险管理和内部控制</t>
        </is>
      </c>
      <c r="E81" s="43" t="inlineStr">
        <is>
          <t>S系统风控组</t>
        </is>
      </c>
      <c r="F81" s="43" t="n"/>
      <c r="G81" s="44" t="inlineStr">
        <is>
          <t>S2职能系统－财经线/风险管理和内部控制/S系统风控组</t>
        </is>
      </c>
      <c r="H81" s="179" t="n">
        <v>40452</v>
      </c>
      <c r="I81" s="43" t="inlineStr">
        <is>
          <t>社会招聘</t>
        </is>
      </c>
      <c r="J81" s="43" t="inlineStr">
        <is>
          <t>财经类－FN</t>
        </is>
      </c>
      <c r="K81" s="43" t="inlineStr">
        <is>
          <t>风险管理</t>
        </is>
      </c>
      <c r="L81" s="46" t="inlineStr">
        <is>
          <t>S9</t>
        </is>
      </c>
      <c r="M81" s="46" t="n"/>
      <c r="N81" s="43" t="inlineStr">
        <is>
          <t>T1</t>
        </is>
      </c>
      <c r="O81" s="43" t="n"/>
      <c r="P81" s="180" t="n"/>
      <c r="Q81" s="44" t="inlineStr">
        <is>
          <t>G,G</t>
        </is>
      </c>
      <c r="R81" s="44" t="n"/>
      <c r="S81" s="43" t="n"/>
      <c r="T81" s="180" t="n"/>
      <c r="U81" s="1" t="n">
        <v>52711.35</v>
      </c>
      <c r="V81" s="108" t="n">
        <v>0.083333</v>
      </c>
      <c r="W81" s="46" t="inlineStr">
        <is>
          <t>CNY</t>
        </is>
      </c>
      <c r="X81" s="181" t="n">
        <v>1</v>
      </c>
      <c r="Y81" s="1" t="n">
        <v>48742.41</v>
      </c>
      <c r="Z81" s="1" t="n">
        <v>0</v>
      </c>
      <c r="AA81" s="1" t="n">
        <v>105422.7</v>
      </c>
      <c r="AB81" s="1" t="n">
        <v>107095</v>
      </c>
      <c r="AC81" s="48" t="n">
        <v>84355</v>
      </c>
      <c r="AD81" s="1" t="n"/>
      <c r="AE81" s="48" t="n"/>
      <c r="AF81" s="1" t="n">
        <v>0</v>
      </c>
      <c r="AG81" s="1" t="n">
        <v>296872.7</v>
      </c>
      <c r="AH81" s="182" t="n">
        <v>6.090644676781472</v>
      </c>
      <c r="AI81" s="1" t="n">
        <v>296872.7</v>
      </c>
      <c r="AJ81" s="183" t="n">
        <v>6.090644676781472</v>
      </c>
      <c r="AK81" s="183" t="n">
        <v>4.360016256890047</v>
      </c>
      <c r="AL81" s="108" t="n"/>
      <c r="AM81" s="183" t="n"/>
      <c r="AN81" s="183" t="n"/>
      <c r="AO81" s="1" t="n"/>
      <c r="AP81" s="48" t="n"/>
      <c r="AQ81" s="1" t="n">
        <v>296872.7</v>
      </c>
      <c r="AR81" s="183" t="n">
        <v>6.090644676781472</v>
      </c>
      <c r="AS81" s="98" t="n">
        <v>1.522658357696056</v>
      </c>
      <c r="AT81" s="183" t="n"/>
      <c r="AU81" s="1" t="n"/>
      <c r="AV81" s="48" t="n"/>
      <c r="AW81" s="1" t="n"/>
      <c r="AX81" s="48" t="n"/>
      <c r="AY81" s="1" t="n"/>
      <c r="AZ81" s="48" t="n"/>
      <c r="BA81" s="51" t="n"/>
      <c r="BB81" s="180" t="n"/>
      <c r="BC81" s="1" t="n"/>
      <c r="BD81" s="1" t="n"/>
      <c r="BE81" s="180" t="n"/>
      <c r="BF81" s="1" t="n"/>
      <c r="BG81" s="1" t="n"/>
      <c r="BH81" s="1" t="n"/>
      <c r="BI81" s="1" t="n"/>
      <c r="BJ81" s="52" t="n"/>
      <c r="BK81" s="52" t="n"/>
      <c r="BL81" s="184" t="n">
        <v>1</v>
      </c>
      <c r="BM81" s="1" t="n">
        <v>43850</v>
      </c>
      <c r="BN81" s="1" t="n">
        <v>0</v>
      </c>
      <c r="BO81" s="1" t="n">
        <v>45160</v>
      </c>
      <c r="BP81" s="43" t="inlineStr">
        <is>
          <t>G,G</t>
        </is>
      </c>
      <c r="BQ81" s="43" t="inlineStr">
        <is>
          <t>T1</t>
        </is>
      </c>
      <c r="BR81" s="1" t="n">
        <v>136570</v>
      </c>
      <c r="BS81" s="185" t="n">
        <v>3.114481185860889</v>
      </c>
      <c r="BT81" s="1" t="n">
        <v>58400</v>
      </c>
      <c r="BU81" s="1" t="n">
        <v>194970</v>
      </c>
      <c r="BV81" s="54" t="n">
        <v>4.446294184720639</v>
      </c>
      <c r="BW81" s="54" t="n"/>
      <c r="BX81" s="1" t="n"/>
      <c r="BY81" s="1" t="n">
        <v>194970</v>
      </c>
      <c r="BZ81" s="54" t="n">
        <v>4.446294184720639</v>
      </c>
      <c r="CA81" s="54" t="n"/>
      <c r="CB81" s="186" t="n"/>
      <c r="CC81" s="186" t="n"/>
      <c r="CD81" s="186" t="n"/>
      <c r="CE81" s="52" t="n"/>
      <c r="CF81" s="52" t="n"/>
      <c r="CG81" s="43" t="n"/>
      <c r="CH81" s="43" t="n"/>
      <c r="CI81" s="43" t="n"/>
      <c r="CJ81" s="43" t="n"/>
      <c r="CK81" s="43" t="n"/>
      <c r="CL81" s="43" t="n"/>
      <c r="CM81" s="43" t="n"/>
      <c r="CN81" s="43" t="n"/>
      <c r="CO81" s="43" t="n"/>
      <c r="CP81" s="43" t="inlineStr">
        <is>
          <t>风险管理和内部控制</t>
        </is>
      </c>
      <c r="CQ81" s="43" t="inlineStr">
        <is>
          <t>3,3</t>
        </is>
      </c>
      <c r="CR81" s="43" t="n">
        <v>9</v>
      </c>
      <c r="CS81" s="43" t="inlineStr">
        <is>
          <t>T1</t>
        </is>
      </c>
      <c r="CT81" s="187" t="inlineStr">
        <is>
          <t>N</t>
        </is>
      </c>
      <c r="CU81" s="187" t="n"/>
      <c r="CV81" s="187" t="n"/>
      <c r="CW81" s="1" t="n"/>
      <c r="CX81" s="1" t="n"/>
      <c r="CY81" s="1" t="n"/>
      <c r="CZ81" s="1" t="n"/>
      <c r="DA81" s="1" t="n"/>
      <c r="DB81" s="1" t="n"/>
      <c r="DC81" s="1" t="n"/>
    </row>
    <row r="82" ht="15" customFormat="1" customHeight="1" s="42">
      <c r="A82" s="43" t="inlineStr">
        <is>
          <t>vincentFeng(冯宏立)</t>
        </is>
      </c>
      <c r="B82" s="43" t="n"/>
      <c r="C82" s="43" t="n">
        <v>96232628</v>
      </c>
      <c r="D82" s="43" t="inlineStr">
        <is>
          <t>在线视频财务管理中心</t>
        </is>
      </c>
      <c r="E82" s="43" t="inlineStr">
        <is>
          <t>OVB长视频财务管理组</t>
        </is>
      </c>
      <c r="F82" s="43" t="n"/>
      <c r="G82" s="44" t="inlineStr">
        <is>
          <t>S2职能系统－财经线/在线视频财务管理中心/OVB长视频财务管理组</t>
        </is>
      </c>
      <c r="H82" s="179" t="n">
        <v>40758</v>
      </c>
      <c r="I82" s="43" t="inlineStr">
        <is>
          <t>社会招聘</t>
        </is>
      </c>
      <c r="J82" s="43" t="inlineStr">
        <is>
          <t>财经类－FN</t>
        </is>
      </c>
      <c r="K82" s="43" t="inlineStr">
        <is>
          <t>财务管理</t>
        </is>
      </c>
      <c r="L82" s="46" t="inlineStr">
        <is>
          <t>S10</t>
        </is>
      </c>
      <c r="M82" s="46" t="n"/>
      <c r="N82" s="43" t="inlineStr">
        <is>
          <t>T1#</t>
        </is>
      </c>
      <c r="O82" s="43" t="n"/>
      <c r="P82" s="180" t="n"/>
      <c r="Q82" s="44" t="inlineStr">
        <is>
          <t>G,G</t>
        </is>
      </c>
      <c r="R82" s="44" t="n"/>
      <c r="S82" s="43" t="n"/>
      <c r="T82" s="180" t="n"/>
      <c r="U82" s="1" t="n">
        <v>62901.4</v>
      </c>
      <c r="V82" s="108" t="n">
        <v>0.083333</v>
      </c>
      <c r="W82" s="46" t="inlineStr">
        <is>
          <t>CNY</t>
        </is>
      </c>
      <c r="X82" s="181" t="n">
        <v>1</v>
      </c>
      <c r="Y82" s="1" t="n">
        <v>58633.01</v>
      </c>
      <c r="Z82" s="1" t="n">
        <v>0</v>
      </c>
      <c r="AA82" s="1" t="n">
        <v>125802.8</v>
      </c>
      <c r="AB82" s="1" t="n">
        <v>216460</v>
      </c>
      <c r="AC82" s="48" t="n">
        <v>121635</v>
      </c>
      <c r="AD82" s="1" t="n"/>
      <c r="AE82" s="48" t="n"/>
      <c r="AF82" s="1" t="n">
        <v>0</v>
      </c>
      <c r="AG82" s="1" t="n">
        <v>463897.8</v>
      </c>
      <c r="AH82" s="182" t="n">
        <v>7.911887859756816</v>
      </c>
      <c r="AI82" s="1" t="n">
        <v>463897.8</v>
      </c>
      <c r="AJ82" s="183" t="n">
        <v>7.911887859756816</v>
      </c>
      <c r="AK82" s="183" t="n">
        <v>5.837373861584114</v>
      </c>
      <c r="AL82" s="108" t="n"/>
      <c r="AM82" s="183" t="n"/>
      <c r="AN82" s="183" t="n"/>
      <c r="AO82" s="1" t="n"/>
      <c r="AP82" s="48" t="n"/>
      <c r="AQ82" s="1" t="n">
        <v>463897.8</v>
      </c>
      <c r="AR82" s="183" t="n">
        <v>7.911887859756816</v>
      </c>
      <c r="AS82" s="98" t="n">
        <v>1.025301801304011</v>
      </c>
      <c r="AT82" s="183" t="n"/>
      <c r="AU82" s="1" t="n"/>
      <c r="AV82" s="48" t="n"/>
      <c r="AW82" s="1" t="n"/>
      <c r="AX82" s="48" t="n"/>
      <c r="AY82" s="1" t="n"/>
      <c r="AZ82" s="48" t="n"/>
      <c r="BA82" s="51" t="n"/>
      <c r="BB82" s="180" t="n"/>
      <c r="BC82" s="1" t="n"/>
      <c r="BD82" s="1" t="n"/>
      <c r="BE82" s="180" t="n"/>
      <c r="BF82" s="1" t="n"/>
      <c r="BG82" s="1" t="n"/>
      <c r="BH82" s="1" t="n"/>
      <c r="BI82" s="1" t="n"/>
      <c r="BJ82" s="52" t="n"/>
      <c r="BK82" s="52" t="n"/>
      <c r="BL82" s="184" t="n">
        <v>1</v>
      </c>
      <c r="BM82" s="1" t="n">
        <v>54350</v>
      </c>
      <c r="BN82" s="1" t="n">
        <v>0</v>
      </c>
      <c r="BO82" s="1" t="n">
        <v>56760</v>
      </c>
      <c r="BP82" s="43" t="inlineStr">
        <is>
          <t>O,G</t>
        </is>
      </c>
      <c r="BQ82" s="43" t="inlineStr">
        <is>
          <t>T1#</t>
        </is>
      </c>
      <c r="BR82" s="1" t="n">
        <v>356855</v>
      </c>
      <c r="BS82" s="185" t="n">
        <v>6.565869365225391</v>
      </c>
      <c r="BT82" s="1" t="n">
        <v>95595</v>
      </c>
      <c r="BU82" s="1" t="n">
        <v>452450</v>
      </c>
      <c r="BV82" s="54" t="n">
        <v>8.324747010119594</v>
      </c>
      <c r="BW82" s="54" t="n"/>
      <c r="BX82" s="1" t="n"/>
      <c r="BY82" s="1" t="n">
        <v>452450</v>
      </c>
      <c r="BZ82" s="54" t="n">
        <v>8.324747010119594</v>
      </c>
      <c r="CA82" s="54" t="n"/>
      <c r="CB82" s="186" t="n"/>
      <c r="CC82" s="186" t="n"/>
      <c r="CD82" s="186" t="n"/>
      <c r="CE82" s="52" t="n"/>
      <c r="CF82" s="52" t="n"/>
      <c r="CG82" s="43" t="n"/>
      <c r="CH82" s="43" t="n"/>
      <c r="CI82" s="43" t="n"/>
      <c r="CJ82" s="43" t="n"/>
      <c r="CK82" s="43" t="n"/>
      <c r="CL82" s="43" t="n"/>
      <c r="CM82" s="43" t="n"/>
      <c r="CN82" s="43" t="n"/>
      <c r="CO82" s="43" t="n"/>
      <c r="CP82" s="43" t="inlineStr">
        <is>
          <t>在线视频财务管理中心</t>
        </is>
      </c>
      <c r="CQ82" s="43" t="inlineStr">
        <is>
          <t>3,3</t>
        </is>
      </c>
      <c r="CR82" s="43" t="n">
        <v>10</v>
      </c>
      <c r="CS82" s="43" t="inlineStr">
        <is>
          <t>T1#</t>
        </is>
      </c>
      <c r="CT82" s="187" t="inlineStr">
        <is>
          <t>N</t>
        </is>
      </c>
      <c r="CU82" s="187" t="n"/>
      <c r="CV82" s="187" t="n"/>
      <c r="CW82" s="1" t="n"/>
      <c r="CX82" s="1" t="n"/>
      <c r="CY82" s="1" t="n"/>
      <c r="CZ82" s="1" t="n"/>
      <c r="DA82" s="1" t="n"/>
      <c r="DB82" s="1" t="n"/>
      <c r="DC82" s="1" t="n"/>
    </row>
    <row r="83" ht="15" customFormat="1" customHeight="1" s="42">
      <c r="A83" s="43" t="inlineStr">
        <is>
          <t>jerryLu(卢胜豪)</t>
        </is>
      </c>
      <c r="B83" s="43" t="n"/>
      <c r="C83" s="43" t="n">
        <v>7073907</v>
      </c>
      <c r="D83" s="43" t="inlineStr">
        <is>
          <t>财会及报告管理部</t>
        </is>
      </c>
      <c r="E83" s="43" t="inlineStr">
        <is>
          <t>海外财会管理中心</t>
        </is>
      </c>
      <c r="F83" s="43" t="n"/>
      <c r="G83" s="44" t="inlineStr">
        <is>
          <t>S2职能系统－财经线/财会及报告管理部/海外财会管理中心</t>
        </is>
      </c>
      <c r="H83" s="179" t="n">
        <v>44866</v>
      </c>
      <c r="I83" s="43" t="inlineStr">
        <is>
          <t>社会招聘</t>
        </is>
      </c>
      <c r="J83" s="43" t="inlineStr">
        <is>
          <t>财经类－FN</t>
        </is>
      </c>
      <c r="K83" s="43" t="inlineStr">
        <is>
          <t>会计</t>
        </is>
      </c>
      <c r="L83" s="46" t="inlineStr">
        <is>
          <t>S10</t>
        </is>
      </c>
      <c r="M83" s="46" t="n"/>
      <c r="N83" s="43" t="inlineStr">
        <is>
          <t>T2</t>
        </is>
      </c>
      <c r="O83" s="43" t="n"/>
      <c r="P83" s="180" t="n"/>
      <c r="Q83" s="44" t="inlineStr">
        <is>
          <t>G,U</t>
        </is>
      </c>
      <c r="R83" s="44" t="n"/>
      <c r="S83" s="43" t="n"/>
      <c r="T83" s="180" t="n"/>
      <c r="U83" s="1" t="n">
        <v>42599.6</v>
      </c>
      <c r="V83" s="108" t="n">
        <v>0.083333</v>
      </c>
      <c r="W83" s="46" t="inlineStr">
        <is>
          <t>CNY</t>
        </is>
      </c>
      <c r="X83" s="181" t="n">
        <v>1</v>
      </c>
      <c r="Y83" s="1" t="n">
        <v>38719.09</v>
      </c>
      <c r="Z83" s="1" t="n">
        <v>0</v>
      </c>
      <c r="AA83" s="1" t="n">
        <v>42599.6</v>
      </c>
      <c r="AB83" s="1" t="n">
        <v>63395</v>
      </c>
      <c r="AC83" s="48" t="n">
        <v>0</v>
      </c>
      <c r="AD83" s="1" t="n"/>
      <c r="AE83" s="48" t="n"/>
      <c r="AF83" s="1" t="n">
        <v>0</v>
      </c>
      <c r="AG83" s="1" t="n">
        <v>105994.6</v>
      </c>
      <c r="AH83" s="182" t="n">
        <v>2.7375281805435</v>
      </c>
      <c r="AI83" s="1" t="n">
        <v>105994.6</v>
      </c>
      <c r="AJ83" s="183" t="n">
        <v>2.7375281805435</v>
      </c>
      <c r="AK83" s="183" t="n">
        <v>2.7375281805435</v>
      </c>
      <c r="AL83" s="108" t="n"/>
      <c r="AM83" s="183" t="n"/>
      <c r="AN83" s="183" t="n"/>
      <c r="AO83" s="1" t="n"/>
      <c r="AP83" s="48" t="n"/>
      <c r="AQ83" s="1" t="n">
        <v>105994.6</v>
      </c>
      <c r="AR83" s="183" t="n">
        <v>2.7375281805435</v>
      </c>
      <c r="AS83" s="98" t="n">
        <v>0.6126501358302988</v>
      </c>
      <c r="AT83" s="183" t="n"/>
      <c r="AU83" s="1" t="n"/>
      <c r="AV83" s="48" t="n"/>
      <c r="AW83" s="1" t="n"/>
      <c r="AX83" s="48" t="n"/>
      <c r="AY83" s="1" t="n"/>
      <c r="AZ83" s="48" t="n"/>
      <c r="BA83" s="51" t="n"/>
      <c r="BB83" s="180" t="n"/>
      <c r="BC83" s="1" t="n"/>
      <c r="BD83" s="1" t="n"/>
      <c r="BE83" s="180" t="n"/>
      <c r="BF83" s="1" t="n"/>
      <c r="BG83" s="1" t="n"/>
      <c r="BH83" s="1" t="n"/>
      <c r="BI83" s="1" t="n"/>
      <c r="BJ83" s="52" t="n"/>
      <c r="BK83" s="52" t="n"/>
      <c r="BL83" s="184" t="n">
        <v>1</v>
      </c>
      <c r="BM83" s="1" t="n">
        <v>36690</v>
      </c>
      <c r="BN83" s="1" t="n">
        <v>0</v>
      </c>
      <c r="BO83" s="1" t="n">
        <v>39795</v>
      </c>
      <c r="BP83" s="43" t="inlineStr">
        <is>
          <t>O,G</t>
        </is>
      </c>
      <c r="BQ83" s="43" t="inlineStr">
        <is>
          <t>T2</t>
        </is>
      </c>
      <c r="BR83" s="1" t="n">
        <v>173010</v>
      </c>
      <c r="BS83" s="185" t="n">
        <v>4.71545380212592</v>
      </c>
      <c r="BT83" s="1" t="n">
        <v>0</v>
      </c>
      <c r="BU83" s="1" t="n">
        <v>173010</v>
      </c>
      <c r="BV83" s="54" t="n">
        <v>4.71545380212592</v>
      </c>
      <c r="BW83" s="54" t="n"/>
      <c r="BX83" s="1" t="n"/>
      <c r="BY83" s="1" t="n">
        <v>173010</v>
      </c>
      <c r="BZ83" s="54" t="n">
        <v>4.71545380212592</v>
      </c>
      <c r="CA83" s="54" t="n"/>
      <c r="CB83" s="186" t="n"/>
      <c r="CC83" s="186" t="n"/>
      <c r="CD83" s="186" t="n"/>
      <c r="CE83" s="52" t="n"/>
      <c r="CF83" s="52" t="n"/>
      <c r="CG83" s="43" t="n"/>
      <c r="CH83" s="43" t="n"/>
      <c r="CI83" s="43" t="n"/>
      <c r="CJ83" s="43" t="n"/>
      <c r="CK83" s="43" t="n"/>
      <c r="CL83" s="43" t="n"/>
      <c r="CM83" s="43" t="n"/>
      <c r="CN83" s="43" t="n"/>
      <c r="CO83" s="43" t="n"/>
      <c r="CP83" s="43" t="inlineStr">
        <is>
          <t>财会及报告管理部</t>
        </is>
      </c>
      <c r="CQ83" s="43" t="inlineStr">
        <is>
          <t>3,1</t>
        </is>
      </c>
      <c r="CR83" s="43" t="n">
        <v>10</v>
      </c>
      <c r="CS83" s="43" t="inlineStr">
        <is>
          <t>T2</t>
        </is>
      </c>
      <c r="CT83" s="187" t="inlineStr">
        <is>
          <t>N</t>
        </is>
      </c>
      <c r="CU83" s="187" t="n"/>
      <c r="CV83" s="187" t="n"/>
      <c r="CW83" s="1" t="n"/>
      <c r="CX83" s="1" t="n"/>
      <c r="CY83" s="1" t="n"/>
      <c r="CZ83" s="1" t="n"/>
      <c r="DA83" s="1" t="n"/>
      <c r="DB83" s="1" t="n"/>
      <c r="DC83" s="1" t="n"/>
    </row>
    <row r="84" ht="15" customFormat="1" customHeight="1" s="42">
      <c r="A84" s="43" t="inlineStr">
        <is>
          <t>aaronRen(任海)</t>
        </is>
      </c>
      <c r="B84" s="43" t="n"/>
      <c r="C84" s="43" t="n">
        <v>43822646</v>
      </c>
      <c r="D84" s="43" t="inlineStr">
        <is>
          <t>预算及职能系统财务管理部</t>
        </is>
      </c>
      <c r="E84" s="43" t="inlineStr">
        <is>
          <t>预算管理中心</t>
        </is>
      </c>
      <c r="F84" s="43" t="n"/>
      <c r="G84" s="44" t="inlineStr">
        <is>
          <t>S2职能系统－财经线/预算及职能系统财务管理部/预算管理中心</t>
        </is>
      </c>
      <c r="H84" s="179" t="n">
        <v>41982</v>
      </c>
      <c r="I84" s="43" t="inlineStr">
        <is>
          <t>社会招聘</t>
        </is>
      </c>
      <c r="J84" s="43" t="inlineStr">
        <is>
          <t>财经类－FN</t>
        </is>
      </c>
      <c r="K84" s="43" t="inlineStr">
        <is>
          <t>预算管理</t>
        </is>
      </c>
      <c r="L84" s="46" t="inlineStr">
        <is>
          <t>S10</t>
        </is>
      </c>
      <c r="M84" s="46" t="n"/>
      <c r="N84" s="43" t="inlineStr">
        <is>
          <t>T2</t>
        </is>
      </c>
      <c r="O84" s="43" t="n"/>
      <c r="P84" s="180" t="n"/>
      <c r="Q84" s="44" t="inlineStr">
        <is>
          <t>G,G</t>
        </is>
      </c>
      <c r="R84" s="44" t="n"/>
      <c r="S84" s="43" t="n"/>
      <c r="T84" s="180" t="n"/>
      <c r="U84" s="1" t="n">
        <v>57232.15</v>
      </c>
      <c r="V84" s="108" t="n">
        <v>0.083333</v>
      </c>
      <c r="W84" s="46" t="inlineStr">
        <is>
          <t>CNY</t>
        </is>
      </c>
      <c r="X84" s="181" t="n">
        <v>1</v>
      </c>
      <c r="Y84" s="1" t="n">
        <v>54638.82</v>
      </c>
      <c r="Z84" s="1" t="n">
        <v>0</v>
      </c>
      <c r="AA84" s="1" t="n">
        <v>114464.3</v>
      </c>
      <c r="AB84" s="1" t="n">
        <v>69335</v>
      </c>
      <c r="AC84" s="48" t="n">
        <v>0</v>
      </c>
      <c r="AD84" s="1" t="n"/>
      <c r="AE84" s="48" t="n"/>
      <c r="AF84" s="1" t="n">
        <v>0</v>
      </c>
      <c r="AG84" s="1" t="n">
        <v>183799.3</v>
      </c>
      <c r="AH84" s="182" t="n">
        <v>3.363895852802092</v>
      </c>
      <c r="AI84" s="1" t="n">
        <v>183799.3</v>
      </c>
      <c r="AJ84" s="183" t="n">
        <v>3.363895852802092</v>
      </c>
      <c r="AK84" s="183" t="n">
        <v>3.363895852802092</v>
      </c>
      <c r="AL84" s="108" t="n"/>
      <c r="AM84" s="183" t="n"/>
      <c r="AN84" s="183" t="n"/>
      <c r="AO84" s="1" t="n"/>
      <c r="AP84" s="48" t="n"/>
      <c r="AQ84" s="1" t="n">
        <v>183799.3</v>
      </c>
      <c r="AR84" s="183" t="n">
        <v>3.363895852802092</v>
      </c>
      <c r="AS84" s="98" t="n">
        <v>1.11030143771898</v>
      </c>
      <c r="AT84" s="183" t="n"/>
      <c r="AU84" s="1" t="n"/>
      <c r="AV84" s="48" t="n"/>
      <c r="AW84" s="1" t="n"/>
      <c r="AX84" s="48" t="n"/>
      <c r="AY84" s="1" t="n"/>
      <c r="AZ84" s="48" t="n"/>
      <c r="BA84" s="51" t="n"/>
      <c r="BB84" s="180" t="n"/>
      <c r="BC84" s="1" t="n"/>
      <c r="BD84" s="1" t="n"/>
      <c r="BE84" s="180" t="n"/>
      <c r="BF84" s="1" t="n"/>
      <c r="BG84" s="1" t="n"/>
      <c r="BH84" s="1" t="n"/>
      <c r="BI84" s="1" t="n"/>
      <c r="BJ84" s="52" t="n"/>
      <c r="BK84" s="52" t="n"/>
      <c r="BL84" s="184" t="n">
        <v>1</v>
      </c>
      <c r="BM84" s="1" t="n">
        <v>48810</v>
      </c>
      <c r="BN84" s="1" t="n">
        <v>0</v>
      </c>
      <c r="BO84" s="1" t="n">
        <v>52725</v>
      </c>
      <c r="BP84" s="43" t="inlineStr">
        <is>
          <t>G,G</t>
        </is>
      </c>
      <c r="BQ84" s="43" t="inlineStr">
        <is>
          <t>T2</t>
        </is>
      </c>
      <c r="BR84" s="1" t="n">
        <v>165540</v>
      </c>
      <c r="BS84" s="185" t="n">
        <v>3.391518131530424</v>
      </c>
      <c r="BT84" s="1" t="n">
        <v>0</v>
      </c>
      <c r="BU84" s="1" t="n">
        <v>165540</v>
      </c>
      <c r="BV84" s="54" t="n">
        <v>3.391518131530424</v>
      </c>
      <c r="BW84" s="54" t="n"/>
      <c r="BX84" s="1" t="n"/>
      <c r="BY84" s="1" t="n">
        <v>165540</v>
      </c>
      <c r="BZ84" s="54" t="n">
        <v>3.391518131530424</v>
      </c>
      <c r="CA84" s="54" t="n"/>
      <c r="CB84" s="186" t="n"/>
      <c r="CC84" s="186" t="n"/>
      <c r="CD84" s="186" t="n"/>
      <c r="CE84" s="52" t="n"/>
      <c r="CF84" s="52" t="n"/>
      <c r="CG84" s="43" t="n"/>
      <c r="CH84" s="43" t="n"/>
      <c r="CI84" s="43" t="n"/>
      <c r="CJ84" s="43" t="n"/>
      <c r="CK84" s="43" t="n"/>
      <c r="CL84" s="43" t="n"/>
      <c r="CM84" s="43" t="n"/>
      <c r="CN84" s="43" t="n"/>
      <c r="CO84" s="43" t="n"/>
      <c r="CP84" s="43" t="inlineStr">
        <is>
          <t>预算及职能系统财务管理部</t>
        </is>
      </c>
      <c r="CQ84" s="43" t="inlineStr">
        <is>
          <t>3,3</t>
        </is>
      </c>
      <c r="CR84" s="43" t="n">
        <v>10</v>
      </c>
      <c r="CS84" s="43" t="inlineStr">
        <is>
          <t>T2</t>
        </is>
      </c>
      <c r="CT84" s="187" t="inlineStr">
        <is>
          <t>N</t>
        </is>
      </c>
      <c r="CU84" s="187" t="n"/>
      <c r="CV84" s="187" t="n"/>
      <c r="CW84" s="1" t="n"/>
      <c r="CX84" s="1" t="n"/>
      <c r="CY84" s="1" t="n"/>
      <c r="CZ84" s="1" t="n"/>
      <c r="DA84" s="1" t="n"/>
      <c r="DB84" s="1" t="n"/>
      <c r="DC84" s="1" t="n"/>
    </row>
    <row r="85" ht="15" customFormat="1" customHeight="1" s="42">
      <c r="A85" s="43" t="inlineStr">
        <is>
          <t>sharonShao(邵红沁)</t>
        </is>
      </c>
      <c r="B85" s="43" t="n"/>
      <c r="C85" s="43" t="n">
        <v>95581555</v>
      </c>
      <c r="D85" s="43" t="inlineStr">
        <is>
          <t>财经IT管理部</t>
        </is>
      </c>
      <c r="E85" s="43" t="inlineStr">
        <is>
          <t>国际业务支持中心</t>
        </is>
      </c>
      <c r="F85" s="43" t="n"/>
      <c r="G85" s="44" t="inlineStr">
        <is>
          <t>S2职能系统－财经线/财经IT管理部/国际业务支持中心</t>
        </is>
      </c>
      <c r="H85" s="179" t="n">
        <v>41880</v>
      </c>
      <c r="I85" s="43" t="inlineStr">
        <is>
          <t>社会招聘</t>
        </is>
      </c>
      <c r="J85" s="43" t="inlineStr">
        <is>
          <t>技术研发类－TRD</t>
        </is>
      </c>
      <c r="K85" s="43" t="inlineStr">
        <is>
          <t>应用开发</t>
        </is>
      </c>
      <c r="L85" s="46" t="inlineStr">
        <is>
          <t>T11</t>
        </is>
      </c>
      <c r="M85" s="46" t="n"/>
      <c r="N85" s="43" t="inlineStr">
        <is>
          <t>T1</t>
        </is>
      </c>
      <c r="O85" s="43" t="n"/>
      <c r="P85" s="180" t="n"/>
      <c r="Q85" s="44" t="inlineStr">
        <is>
          <t>O,O</t>
        </is>
      </c>
      <c r="R85" s="44" t="n"/>
      <c r="S85" s="43" t="n"/>
      <c r="T85" s="180" t="n"/>
      <c r="U85" s="1" t="n">
        <v>51992.2</v>
      </c>
      <c r="V85" s="108" t="n">
        <v>0.083333</v>
      </c>
      <c r="W85" s="46" t="inlineStr">
        <is>
          <t>CNY</t>
        </is>
      </c>
      <c r="X85" s="181" t="n">
        <v>1</v>
      </c>
      <c r="Y85" s="1" t="n">
        <v>50755.01</v>
      </c>
      <c r="Z85" s="1" t="n">
        <v>0</v>
      </c>
      <c r="AA85" s="1" t="n">
        <v>207968.8</v>
      </c>
      <c r="AB85" s="1" t="n">
        <v>123280</v>
      </c>
      <c r="AC85" s="48" t="n">
        <v>75745</v>
      </c>
      <c r="AD85" s="1" t="n"/>
      <c r="AE85" s="48" t="n"/>
      <c r="AF85" s="1" t="n">
        <v>0</v>
      </c>
      <c r="AG85" s="1" t="n">
        <v>406993.8</v>
      </c>
      <c r="AH85" s="182" t="n">
        <v>8.018790657316391</v>
      </c>
      <c r="AI85" s="1" t="n">
        <v>406993.8</v>
      </c>
      <c r="AJ85" s="183" t="n">
        <v>8.018790657316391</v>
      </c>
      <c r="AK85" s="183" t="n">
        <v>6.526425667141036</v>
      </c>
      <c r="AL85" s="108" t="n"/>
      <c r="AM85" s="183" t="n"/>
      <c r="AN85" s="183" t="n"/>
      <c r="AO85" s="1" t="n"/>
      <c r="AP85" s="48" t="n"/>
      <c r="AQ85" s="1" t="n">
        <v>406993.8</v>
      </c>
      <c r="AR85" s="183" t="n">
        <v>8.018790657316391</v>
      </c>
      <c r="AS85" s="98" t="n">
        <v>1.455446564271282</v>
      </c>
      <c r="AT85" s="183" t="n"/>
      <c r="AU85" s="1" t="n"/>
      <c r="AV85" s="48" t="n"/>
      <c r="AW85" s="1" t="n"/>
      <c r="AX85" s="48" t="n"/>
      <c r="AY85" s="1" t="n"/>
      <c r="AZ85" s="48" t="n"/>
      <c r="BA85" s="51" t="n"/>
      <c r="BB85" s="180" t="n"/>
      <c r="BC85" s="1" t="n"/>
      <c r="BD85" s="1" t="n"/>
      <c r="BE85" s="180" t="n"/>
      <c r="BF85" s="1" t="n"/>
      <c r="BG85" s="1" t="n"/>
      <c r="BH85" s="1" t="n"/>
      <c r="BI85" s="1" t="n"/>
      <c r="BJ85" s="52" t="n"/>
      <c r="BK85" s="52" t="n"/>
      <c r="BL85" s="184" t="n">
        <v>1</v>
      </c>
      <c r="BM85" s="1" t="n">
        <v>43680</v>
      </c>
      <c r="BN85" s="1" t="n">
        <v>0</v>
      </c>
      <c r="BO85" s="1" t="n">
        <v>47510</v>
      </c>
      <c r="BP85" s="43" t="inlineStr">
        <is>
          <t>G,O</t>
        </is>
      </c>
      <c r="BQ85" s="43" t="inlineStr">
        <is>
          <t>T1</t>
        </is>
      </c>
      <c r="BR85" s="1" t="n">
        <v>196660</v>
      </c>
      <c r="BS85" s="185" t="n">
        <v>4.502289377289378</v>
      </c>
      <c r="BT85" s="1" t="n">
        <v>82975</v>
      </c>
      <c r="BU85" s="1" t="n">
        <v>279635</v>
      </c>
      <c r="BV85" s="54" t="n">
        <v>6.401900183150183</v>
      </c>
      <c r="BW85" s="54" t="n"/>
      <c r="BX85" s="1" t="n"/>
      <c r="BY85" s="1" t="n">
        <v>279635</v>
      </c>
      <c r="BZ85" s="54" t="n">
        <v>6.401900183150183</v>
      </c>
      <c r="CA85" s="54" t="n"/>
      <c r="CB85" s="186" t="n"/>
      <c r="CC85" s="186" t="n"/>
      <c r="CD85" s="186" t="n"/>
      <c r="CE85" s="52" t="n"/>
      <c r="CF85" s="52" t="n"/>
      <c r="CG85" s="43" t="n"/>
      <c r="CH85" s="43" t="n"/>
      <c r="CI85" s="43" t="n"/>
      <c r="CJ85" s="43" t="n"/>
      <c r="CK85" s="43" t="n"/>
      <c r="CL85" s="43" t="n"/>
      <c r="CM85" s="43" t="n"/>
      <c r="CN85" s="43" t="n"/>
      <c r="CO85" s="43" t="n"/>
      <c r="CP85" s="43" t="inlineStr">
        <is>
          <t>财经IT管理部</t>
        </is>
      </c>
      <c r="CQ85" s="43" t="inlineStr">
        <is>
          <t>5,5</t>
        </is>
      </c>
      <c r="CR85" s="43" t="n">
        <v>11</v>
      </c>
      <c r="CS85" s="43" t="inlineStr">
        <is>
          <t>T1</t>
        </is>
      </c>
      <c r="CT85" s="187" t="inlineStr">
        <is>
          <t>N</t>
        </is>
      </c>
      <c r="CU85" s="187" t="n"/>
      <c r="CV85" s="187" t="n"/>
      <c r="CW85" s="1" t="n"/>
      <c r="CX85" s="1" t="n"/>
      <c r="CY85" s="1" t="n"/>
      <c r="CZ85" s="1" t="n"/>
      <c r="DA85" s="1" t="n"/>
      <c r="DB85" s="1" t="n"/>
      <c r="DC85" s="1" t="n"/>
    </row>
    <row r="86" ht="15" customFormat="1" customHeight="1" s="42">
      <c r="A86" s="43" t="inlineStr">
        <is>
          <t>frankWan(万刚)</t>
        </is>
      </c>
      <c r="B86" s="43" t="n"/>
      <c r="C86" s="43" t="n">
        <v>70233595</v>
      </c>
      <c r="D86" s="43" t="inlineStr">
        <is>
          <t>PCG财务管理</t>
        </is>
      </c>
      <c r="E86" s="43" t="inlineStr">
        <is>
          <t>应用宝财务管理组</t>
        </is>
      </c>
      <c r="F86" s="43" t="n"/>
      <c r="G86" s="44" t="inlineStr">
        <is>
          <t>S2职能系统－财经线/PCG财务管理/应用宝财务管理组</t>
        </is>
      </c>
      <c r="H86" s="179" t="n">
        <v>38079</v>
      </c>
      <c r="I86" s="43" t="inlineStr">
        <is>
          <t>社会招聘</t>
        </is>
      </c>
      <c r="J86" s="43" t="inlineStr">
        <is>
          <t>财经类－FN</t>
        </is>
      </c>
      <c r="K86" s="43" t="inlineStr">
        <is>
          <t>财务管理</t>
        </is>
      </c>
      <c r="L86" s="46" t="n"/>
      <c r="M86" s="46" t="inlineStr">
        <is>
          <t>L2-2</t>
        </is>
      </c>
      <c r="N86" s="43" t="inlineStr">
        <is>
          <t>T1</t>
        </is>
      </c>
      <c r="O86" s="43" t="n"/>
      <c r="P86" s="180" t="n"/>
      <c r="Q86" s="44" t="inlineStr">
        <is>
          <t>U,G</t>
        </is>
      </c>
      <c r="R86" s="44" t="n"/>
      <c r="S86" s="43" t="n"/>
      <c r="T86" s="180" t="n"/>
      <c r="U86" s="1" t="n">
        <v>47380.1</v>
      </c>
      <c r="V86" s="108" t="n">
        <v>0.083333</v>
      </c>
      <c r="W86" s="46" t="inlineStr">
        <is>
          <t>CNY</t>
        </is>
      </c>
      <c r="X86" s="181" t="n">
        <v>1</v>
      </c>
      <c r="Y86" s="1" t="n">
        <v>44789.85</v>
      </c>
      <c r="Z86" s="1" t="n">
        <v>0</v>
      </c>
      <c r="AA86" s="1" t="n">
        <v>47380.1</v>
      </c>
      <c r="AB86" s="1" t="n">
        <v>109095</v>
      </c>
      <c r="AC86" s="48" t="n">
        <v>0</v>
      </c>
      <c r="AD86" s="1" t="n"/>
      <c r="AE86" s="48" t="n"/>
      <c r="AF86" s="1" t="n">
        <v>13215</v>
      </c>
      <c r="AG86" s="1" t="n">
        <v>156475.1</v>
      </c>
      <c r="AH86" s="182" t="n">
        <v>3.493539272848648</v>
      </c>
      <c r="AI86" s="1" t="n">
        <v>169690.1</v>
      </c>
      <c r="AJ86" s="183" t="n">
        <v>3.78858379744518</v>
      </c>
      <c r="AK86" s="183" t="n">
        <v>3.78858379744518</v>
      </c>
      <c r="AL86" s="108" t="n"/>
      <c r="AM86" s="183" t="n"/>
      <c r="AN86" s="183" t="n"/>
      <c r="AO86" s="1" t="n"/>
      <c r="AP86" s="48" t="n"/>
      <c r="AQ86" s="1" t="n">
        <v>169690.1</v>
      </c>
      <c r="AR86" s="183" t="n">
        <v>3.78858379744518</v>
      </c>
      <c r="AS86" s="98" t="n">
        <v>0.7206901531078126</v>
      </c>
      <c r="AT86" s="183" t="n"/>
      <c r="AU86" s="1" t="n"/>
      <c r="AV86" s="48" t="n"/>
      <c r="AW86" s="1" t="n"/>
      <c r="AX86" s="48" t="n"/>
      <c r="AY86" s="1" t="n"/>
      <c r="AZ86" s="48" t="n"/>
      <c r="BA86" s="51" t="n"/>
      <c r="BB86" s="180" t="n"/>
      <c r="BC86" s="1" t="n"/>
      <c r="BD86" s="1" t="n"/>
      <c r="BE86" s="180" t="n"/>
      <c r="BF86" s="1" t="n"/>
      <c r="BG86" s="1" t="n"/>
      <c r="BH86" s="1" t="n"/>
      <c r="BI86" s="1" t="n"/>
      <c r="BJ86" s="52" t="n"/>
      <c r="BK86" s="52" t="n"/>
      <c r="BL86" s="184" t="n">
        <v>1</v>
      </c>
      <c r="BM86" s="1" t="n">
        <v>40595</v>
      </c>
      <c r="BN86" s="1" t="n">
        <v>0</v>
      </c>
      <c r="BO86" s="1" t="n">
        <v>41025</v>
      </c>
      <c r="BP86" s="43" t="inlineStr">
        <is>
          <t>O,G</t>
        </is>
      </c>
      <c r="BQ86" s="43" t="inlineStr">
        <is>
          <t>T1</t>
        </is>
      </c>
      <c r="BR86" s="1" t="n">
        <v>181045</v>
      </c>
      <c r="BS86" s="185" t="n">
        <v>4.459785687892597</v>
      </c>
      <c r="BT86" s="1" t="n">
        <v>54410</v>
      </c>
      <c r="BU86" s="1" t="n">
        <v>235455</v>
      </c>
      <c r="BV86" s="54" t="n">
        <v>5.800098534302254</v>
      </c>
      <c r="BW86" s="54" t="n"/>
      <c r="BX86" s="1" t="n"/>
      <c r="BY86" s="1" t="n">
        <v>235455</v>
      </c>
      <c r="BZ86" s="54" t="n">
        <v>5.800098534302254</v>
      </c>
      <c r="CA86" s="54" t="n"/>
      <c r="CB86" s="186" t="n"/>
      <c r="CC86" s="186" t="n"/>
      <c r="CD86" s="186" t="n"/>
      <c r="CE86" s="52" t="n"/>
      <c r="CF86" s="52" t="n"/>
      <c r="CG86" s="43" t="n"/>
      <c r="CH86" s="43" t="n"/>
      <c r="CI86" s="43" t="n"/>
      <c r="CJ86" s="43" t="n"/>
      <c r="CK86" s="43" t="n"/>
      <c r="CL86" s="43" t="n"/>
      <c r="CM86" s="43" t="n"/>
      <c r="CN86" s="43" t="n"/>
      <c r="CO86" s="43" t="n"/>
      <c r="CP86" s="43" t="inlineStr">
        <is>
          <t>PCG财务管理</t>
        </is>
      </c>
      <c r="CQ86" s="43" t="inlineStr">
        <is>
          <t>3,1</t>
        </is>
      </c>
      <c r="CR86" s="43" t="inlineStr">
        <is>
          <t>L2-2</t>
        </is>
      </c>
      <c r="CS86" s="43" t="inlineStr">
        <is>
          <t>T1</t>
        </is>
      </c>
      <c r="CT86" s="187" t="inlineStr">
        <is>
          <t>N</t>
        </is>
      </c>
      <c r="CU86" s="187" t="n"/>
      <c r="CV86" s="187" t="n"/>
      <c r="CW86" s="1" t="n"/>
      <c r="CX86" s="1" t="n"/>
      <c r="CY86" s="1" t="n"/>
      <c r="CZ86" s="1" t="n"/>
      <c r="DA86" s="1" t="n"/>
      <c r="DB86" s="1" t="n"/>
      <c r="DC86" s="1" t="n"/>
    </row>
    <row r="87" ht="15" customFormat="1" customHeight="1" s="42">
      <c r="A87" s="43" t="inlineStr">
        <is>
          <t>gabrielHu(胡雄)</t>
        </is>
      </c>
      <c r="B87" s="43" t="n"/>
      <c r="C87" s="43" t="n">
        <v>24456997</v>
      </c>
      <c r="D87" s="43" t="inlineStr">
        <is>
          <t>预算及职能系统财务管理部</t>
        </is>
      </c>
      <c r="E87" s="43" t="inlineStr">
        <is>
          <t>S系统财务管理组</t>
        </is>
      </c>
      <c r="F87" s="43" t="n"/>
      <c r="G87" s="44" t="inlineStr">
        <is>
          <t>S2职能系统－财经线/预算及职能系统财务管理部/S系统财务管理组</t>
        </is>
      </c>
      <c r="H87" s="179" t="n">
        <v>37761</v>
      </c>
      <c r="I87" s="43" t="inlineStr">
        <is>
          <t>高校招聘</t>
        </is>
      </c>
      <c r="J87" s="43" t="inlineStr">
        <is>
          <t>财经类－FN</t>
        </is>
      </c>
      <c r="K87" s="43" t="inlineStr">
        <is>
          <t>预算管理</t>
        </is>
      </c>
      <c r="L87" s="46" t="inlineStr">
        <is>
          <t>S8</t>
        </is>
      </c>
      <c r="M87" s="46" t="n"/>
      <c r="N87" s="43" t="inlineStr">
        <is>
          <t>T2</t>
        </is>
      </c>
      <c r="O87" s="43" t="n"/>
      <c r="P87" s="180" t="n"/>
      <c r="Q87" s="44" t="inlineStr">
        <is>
          <t>G,G</t>
        </is>
      </c>
      <c r="R87" s="44" t="n"/>
      <c r="S87" s="43" t="n"/>
      <c r="T87" s="180" t="n"/>
      <c r="U87" s="1" t="n">
        <v>45698.5</v>
      </c>
      <c r="V87" s="108" t="n">
        <v>0.083333</v>
      </c>
      <c r="W87" s="46" t="inlineStr">
        <is>
          <t>CNY</t>
        </is>
      </c>
      <c r="X87" s="181" t="n">
        <v>1</v>
      </c>
      <c r="Y87" s="1" t="n">
        <v>44354.48</v>
      </c>
      <c r="Z87" s="1" t="n">
        <v>0</v>
      </c>
      <c r="AA87" s="1" t="n">
        <v>91397</v>
      </c>
      <c r="AB87" s="1" t="n">
        <v>59415</v>
      </c>
      <c r="AC87" s="48" t="n">
        <v>0</v>
      </c>
      <c r="AD87" s="1" t="n"/>
      <c r="AE87" s="48" t="n"/>
      <c r="AF87" s="1" t="n">
        <v>0</v>
      </c>
      <c r="AG87" s="1" t="n">
        <v>150812</v>
      </c>
      <c r="AH87" s="182" t="n">
        <v>3.400152588870391</v>
      </c>
      <c r="AI87" s="1" t="n">
        <v>150812</v>
      </c>
      <c r="AJ87" s="183" t="n">
        <v>3.400152588870391</v>
      </c>
      <c r="AK87" s="183" t="n">
        <v>3.400152588870391</v>
      </c>
      <c r="AL87" s="108" t="n"/>
      <c r="AM87" s="183" t="n"/>
      <c r="AN87" s="183" t="n"/>
      <c r="AO87" s="1" t="n"/>
      <c r="AP87" s="48" t="n"/>
      <c r="AQ87" s="1" t="n">
        <v>150812</v>
      </c>
      <c r="AR87" s="183" t="n">
        <v>3.400152588870391</v>
      </c>
      <c r="AS87" s="98" t="n">
        <v>1.22491877842755</v>
      </c>
      <c r="AT87" s="183" t="n"/>
      <c r="AU87" s="1" t="n"/>
      <c r="AV87" s="48" t="n"/>
      <c r="AW87" s="1" t="n"/>
      <c r="AX87" s="48" t="n"/>
      <c r="AY87" s="1" t="n"/>
      <c r="AZ87" s="48" t="n"/>
      <c r="BA87" s="51" t="n"/>
      <c r="BB87" s="180" t="n"/>
      <c r="BC87" s="1" t="n"/>
      <c r="BD87" s="1" t="n"/>
      <c r="BE87" s="180" t="n"/>
      <c r="BF87" s="1" t="n"/>
      <c r="BG87" s="1" t="n"/>
      <c r="BH87" s="1" t="n"/>
      <c r="BI87" s="1" t="n"/>
      <c r="BJ87" s="52" t="n"/>
      <c r="BK87" s="52" t="n"/>
      <c r="BL87" s="184" t="n">
        <v>1</v>
      </c>
      <c r="BM87" s="1" t="n">
        <v>36575</v>
      </c>
      <c r="BN87" s="1" t="n">
        <v>0</v>
      </c>
      <c r="BO87" s="1" t="n">
        <v>39985</v>
      </c>
      <c r="BP87" s="43" t="inlineStr">
        <is>
          <t>G,G</t>
        </is>
      </c>
      <c r="BQ87" s="43" t="inlineStr">
        <is>
          <t>Others</t>
        </is>
      </c>
      <c r="BR87" s="1" t="n">
        <v>123120</v>
      </c>
      <c r="BS87" s="185" t="n">
        <v>3.366233766233766</v>
      </c>
      <c r="BT87" s="1" t="n">
        <v>0</v>
      </c>
      <c r="BU87" s="1" t="n">
        <v>123120</v>
      </c>
      <c r="BV87" s="54" t="n">
        <v>3.366233766233766</v>
      </c>
      <c r="BW87" s="54" t="n"/>
      <c r="BX87" s="1" t="n"/>
      <c r="BY87" s="1" t="n">
        <v>123120</v>
      </c>
      <c r="BZ87" s="54" t="n">
        <v>3.366233766233766</v>
      </c>
      <c r="CA87" s="54" t="n"/>
      <c r="CB87" s="186" t="n"/>
      <c r="CC87" s="186" t="n"/>
      <c r="CD87" s="186" t="n"/>
      <c r="CE87" s="52" t="n"/>
      <c r="CF87" s="52" t="n"/>
      <c r="CG87" s="43" t="n"/>
      <c r="CH87" s="43" t="n"/>
      <c r="CI87" s="43" t="n"/>
      <c r="CJ87" s="43" t="n"/>
      <c r="CK87" s="43" t="n"/>
      <c r="CL87" s="43" t="n"/>
      <c r="CM87" s="43" t="n"/>
      <c r="CN87" s="43" t="n"/>
      <c r="CO87" s="43" t="n"/>
      <c r="CP87" s="43" t="inlineStr">
        <is>
          <t>预算及职能系统财务管理部</t>
        </is>
      </c>
      <c r="CQ87" s="43" t="inlineStr">
        <is>
          <t>3,3</t>
        </is>
      </c>
      <c r="CR87" s="43" t="n">
        <v>8</v>
      </c>
      <c r="CS87" s="43" t="inlineStr">
        <is>
          <t>T2</t>
        </is>
      </c>
      <c r="CT87" s="187" t="inlineStr">
        <is>
          <t>N</t>
        </is>
      </c>
      <c r="CU87" s="187" t="n"/>
      <c r="CV87" s="187" t="n"/>
      <c r="CW87" s="1" t="n"/>
      <c r="CX87" s="1" t="n"/>
      <c r="CY87" s="1" t="n"/>
      <c r="CZ87" s="1" t="n"/>
      <c r="DA87" s="1" t="n"/>
      <c r="DB87" s="1" t="n"/>
      <c r="DC87" s="1" t="n"/>
    </row>
    <row r="88" ht="15" customFormat="1" customHeight="1" s="42">
      <c r="A88" s="43" t="inlineStr">
        <is>
          <t>marthaJia(贾薇)</t>
        </is>
      </c>
      <c r="B88" s="43" t="n"/>
      <c r="C88" s="43" t="n">
        <v>16145259</v>
      </c>
      <c r="D88" s="43" t="inlineStr">
        <is>
          <t>预算及职能系统财务管理部</t>
        </is>
      </c>
      <c r="E88" s="43" t="inlineStr">
        <is>
          <t>预算管理中心</t>
        </is>
      </c>
      <c r="F88" s="43" t="n"/>
      <c r="G88" s="44" t="inlineStr">
        <is>
          <t>S2职能系统－财经线/预算及职能系统财务管理部/预算管理中心</t>
        </is>
      </c>
      <c r="H88" s="179" t="n">
        <v>37051</v>
      </c>
      <c r="I88" s="43" t="inlineStr">
        <is>
          <t>社会招聘</t>
        </is>
      </c>
      <c r="J88" s="43" t="inlineStr">
        <is>
          <t>财经类－FN</t>
        </is>
      </c>
      <c r="K88" s="43" t="inlineStr">
        <is>
          <t>预算管理</t>
        </is>
      </c>
      <c r="L88" s="46" t="inlineStr">
        <is>
          <t>S11</t>
        </is>
      </c>
      <c r="M88" s="46" t="n"/>
      <c r="N88" s="43" t="inlineStr">
        <is>
          <t>Others</t>
        </is>
      </c>
      <c r="O88" s="43" t="n"/>
      <c r="P88" s="180" t="n"/>
      <c r="Q88" s="44" t="inlineStr">
        <is>
          <t>G,O</t>
        </is>
      </c>
      <c r="R88" s="44" t="n"/>
      <c r="S88" s="43" t="n"/>
      <c r="T88" s="180" t="n"/>
      <c r="U88" s="1" t="n">
        <v>56930.05</v>
      </c>
      <c r="V88" s="108" t="n">
        <v>0.083333</v>
      </c>
      <c r="W88" s="46" t="inlineStr">
        <is>
          <t>CNY</t>
        </is>
      </c>
      <c r="X88" s="181" t="n">
        <v>1</v>
      </c>
      <c r="Y88" s="1" t="n">
        <v>51513.4</v>
      </c>
      <c r="Z88" s="1" t="n">
        <v>0</v>
      </c>
      <c r="AA88" s="1" t="n">
        <v>170790.15</v>
      </c>
      <c r="AB88" s="1" t="n">
        <v>38835</v>
      </c>
      <c r="AC88" s="48" t="n">
        <v>0</v>
      </c>
      <c r="AD88" s="1" t="n"/>
      <c r="AE88" s="48" t="n"/>
      <c r="AF88" s="1" t="n">
        <v>0</v>
      </c>
      <c r="AG88" s="1" t="n">
        <v>209625.15</v>
      </c>
      <c r="AH88" s="182" t="n">
        <v>4.069332445538442</v>
      </c>
      <c r="AI88" s="1" t="n">
        <v>209625.15</v>
      </c>
      <c r="AJ88" s="183" t="n">
        <v>4.069332445538442</v>
      </c>
      <c r="AK88" s="183" t="n">
        <v>4.069332445538442</v>
      </c>
      <c r="AL88" s="108" t="n"/>
      <c r="AM88" s="183" t="n"/>
      <c r="AN88" s="183" t="n"/>
      <c r="AO88" s="1" t="n"/>
      <c r="AP88" s="48" t="n"/>
      <c r="AQ88" s="1" t="n">
        <v>209625.15</v>
      </c>
      <c r="AR88" s="183" t="n">
        <v>4.069332445538442</v>
      </c>
      <c r="AS88" s="98" t="n">
        <v>1.215923143851508</v>
      </c>
      <c r="AT88" s="183" t="n"/>
      <c r="AU88" s="1" t="n"/>
      <c r="AV88" s="48" t="n"/>
      <c r="AW88" s="1" t="n"/>
      <c r="AX88" s="48" t="n"/>
      <c r="AY88" s="1" t="n"/>
      <c r="AZ88" s="48" t="n"/>
      <c r="BA88" s="51" t="n"/>
      <c r="BB88" s="180" t="n"/>
      <c r="BC88" s="1" t="n"/>
      <c r="BD88" s="1" t="n"/>
      <c r="BE88" s="180" t="n"/>
      <c r="BF88" s="1" t="n"/>
      <c r="BG88" s="1" t="n"/>
      <c r="BH88" s="1" t="n"/>
      <c r="BI88" s="1" t="n"/>
      <c r="BJ88" s="52" t="n"/>
      <c r="BK88" s="52" t="n"/>
      <c r="BL88" s="184" t="n">
        <v>1</v>
      </c>
      <c r="BM88" s="1" t="n">
        <v>46205</v>
      </c>
      <c r="BN88" s="1" t="n">
        <v>0</v>
      </c>
      <c r="BO88" s="1" t="n">
        <v>50070</v>
      </c>
      <c r="BP88" s="43" t="inlineStr">
        <is>
          <t>G,G</t>
        </is>
      </c>
      <c r="BQ88" s="43" t="inlineStr">
        <is>
          <t>Others</t>
        </is>
      </c>
      <c r="BR88" s="1" t="n">
        <v>172400</v>
      </c>
      <c r="BS88" s="185" t="n">
        <v>3.731197922302781</v>
      </c>
      <c r="BT88" s="1" t="n">
        <v>0</v>
      </c>
      <c r="BU88" s="1" t="n">
        <v>172400</v>
      </c>
      <c r="BV88" s="54" t="n">
        <v>3.731197922302781</v>
      </c>
      <c r="BW88" s="54" t="n"/>
      <c r="BX88" s="1" t="n"/>
      <c r="BY88" s="1" t="n">
        <v>172400</v>
      </c>
      <c r="BZ88" s="54" t="n">
        <v>3.731197922302781</v>
      </c>
      <c r="CA88" s="54" t="n"/>
      <c r="CB88" s="186" t="n"/>
      <c r="CC88" s="186" t="n"/>
      <c r="CD88" s="186" t="n"/>
      <c r="CE88" s="52" t="n"/>
      <c r="CF88" s="52" t="n"/>
      <c r="CG88" s="43" t="n"/>
      <c r="CH88" s="43" t="n"/>
      <c r="CI88" s="43" t="n"/>
      <c r="CJ88" s="43" t="n"/>
      <c r="CK88" s="43" t="n"/>
      <c r="CL88" s="43" t="n"/>
      <c r="CM88" s="43" t="n"/>
      <c r="CN88" s="43" t="n"/>
      <c r="CO88" s="43" t="n"/>
      <c r="CP88" s="43" t="inlineStr">
        <is>
          <t>预算及职能系统财务管理部</t>
        </is>
      </c>
      <c r="CQ88" s="43" t="inlineStr">
        <is>
          <t>5,3</t>
        </is>
      </c>
      <c r="CR88" s="43" t="n">
        <v>11</v>
      </c>
      <c r="CS88" s="43" t="inlineStr">
        <is>
          <t>Others</t>
        </is>
      </c>
      <c r="CT88" s="187" t="inlineStr">
        <is>
          <t>N</t>
        </is>
      </c>
      <c r="CU88" s="187" t="n"/>
      <c r="CV88" s="187" t="n"/>
      <c r="CW88" s="1" t="n"/>
      <c r="CX88" s="1" t="n"/>
      <c r="CY88" s="1" t="n"/>
      <c r="CZ88" s="1" t="n"/>
      <c r="DA88" s="1" t="n"/>
      <c r="DB88" s="1" t="n"/>
      <c r="DC88" s="1" t="n"/>
    </row>
    <row r="89" ht="15" customFormat="1" customHeight="1" s="42">
      <c r="A89" s="43" t="inlineStr">
        <is>
          <t>albertGong(龚炜骏)</t>
        </is>
      </c>
      <c r="B89" s="43" t="n"/>
      <c r="C89" s="43" t="n">
        <v>47206082</v>
      </c>
      <c r="D89" s="43" t="inlineStr">
        <is>
          <t>在线视频财务管理中心</t>
        </is>
      </c>
      <c r="E89" s="43" t="inlineStr">
        <is>
          <t>OVB长视频财务管理组</t>
        </is>
      </c>
      <c r="F89" s="43" t="n"/>
      <c r="G89" s="44" t="inlineStr">
        <is>
          <t>S2职能系统－财经线/在线视频财务管理中心/OVB长视频财务管理组</t>
        </is>
      </c>
      <c r="H89" s="179" t="n">
        <v>41079</v>
      </c>
      <c r="I89" s="43" t="inlineStr">
        <is>
          <t>社会招聘</t>
        </is>
      </c>
      <c r="J89" s="43" t="inlineStr">
        <is>
          <t>财经类－FN</t>
        </is>
      </c>
      <c r="K89" s="43" t="inlineStr">
        <is>
          <t>财务管理</t>
        </is>
      </c>
      <c r="L89" s="46" t="inlineStr">
        <is>
          <t>S7</t>
        </is>
      </c>
      <c r="M89" s="46" t="n"/>
      <c r="N89" s="43" t="inlineStr">
        <is>
          <t>T1#</t>
        </is>
      </c>
      <c r="O89" s="43" t="n"/>
      <c r="P89" s="180" t="n"/>
      <c r="Q89" s="44" t="inlineStr">
        <is>
          <t>O,G</t>
        </is>
      </c>
      <c r="R89" s="44" t="n"/>
      <c r="S89" s="43" t="n"/>
      <c r="T89" s="180" t="n"/>
      <c r="U89" s="1" t="n">
        <v>41942.2</v>
      </c>
      <c r="V89" s="108" t="n">
        <v>0.083333</v>
      </c>
      <c r="W89" s="46" t="inlineStr">
        <is>
          <t>CNY</t>
        </is>
      </c>
      <c r="X89" s="181" t="n">
        <v>1</v>
      </c>
      <c r="Y89" s="1" t="n">
        <v>41513.74</v>
      </c>
      <c r="Z89" s="1" t="n">
        <v>0</v>
      </c>
      <c r="AA89" s="1" t="n">
        <v>125826.6</v>
      </c>
      <c r="AB89" s="1" t="n">
        <v>138185</v>
      </c>
      <c r="AC89" s="48" t="n">
        <v>53050</v>
      </c>
      <c r="AD89" s="1" t="n"/>
      <c r="AE89" s="48" t="n"/>
      <c r="AF89" s="1" t="n">
        <v>0</v>
      </c>
      <c r="AG89" s="1" t="n">
        <v>317061.6</v>
      </c>
      <c r="AH89" s="182" t="n">
        <v>7.637509894314508</v>
      </c>
      <c r="AI89" s="1" t="n">
        <v>317061.6</v>
      </c>
      <c r="AJ89" s="183" t="n">
        <v>7.637509894314508</v>
      </c>
      <c r="AK89" s="183" t="n">
        <v>6.359619730720479</v>
      </c>
      <c r="AL89" s="108" t="n"/>
      <c r="AM89" s="183" t="n"/>
      <c r="AN89" s="183" t="n"/>
      <c r="AO89" s="1" t="n"/>
      <c r="AP89" s="48" t="n"/>
      <c r="AQ89" s="1" t="n">
        <v>317061.6</v>
      </c>
      <c r="AR89" s="183" t="n">
        <v>7.637509894314508</v>
      </c>
      <c r="AS89" s="98" t="n">
        <v>2.205185700375574</v>
      </c>
      <c r="AT89" s="183" t="n"/>
      <c r="AU89" s="1" t="n"/>
      <c r="AV89" s="48" t="n"/>
      <c r="AW89" s="1" t="n"/>
      <c r="AX89" s="48" t="n"/>
      <c r="AY89" s="1" t="n"/>
      <c r="AZ89" s="48" t="n"/>
      <c r="BA89" s="51" t="n"/>
      <c r="BB89" s="180" t="n"/>
      <c r="BC89" s="1" t="n"/>
      <c r="BD89" s="1" t="n"/>
      <c r="BE89" s="180" t="n"/>
      <c r="BF89" s="1" t="n"/>
      <c r="BG89" s="1" t="n"/>
      <c r="BH89" s="1" t="n"/>
      <c r="BI89" s="1" t="n"/>
      <c r="BJ89" s="52" t="n"/>
      <c r="BK89" s="52" t="n"/>
      <c r="BL89" s="184" t="n">
        <v>1</v>
      </c>
      <c r="BM89" s="1" t="n">
        <v>35500</v>
      </c>
      <c r="BN89" s="1" t="n">
        <v>0</v>
      </c>
      <c r="BO89" s="1" t="n">
        <v>35550</v>
      </c>
      <c r="BP89" s="43" t="inlineStr">
        <is>
          <t>U,G</t>
        </is>
      </c>
      <c r="BQ89" s="43" t="inlineStr">
        <is>
          <t>T1#</t>
        </is>
      </c>
      <c r="BR89" s="1" t="n">
        <v>143780</v>
      </c>
      <c r="BS89" s="185" t="n">
        <v>4.050140845070422</v>
      </c>
      <c r="BT89" s="1" t="n">
        <v>0</v>
      </c>
      <c r="BU89" s="1" t="n">
        <v>143780</v>
      </c>
      <c r="BV89" s="54" t="n">
        <v>4.050140845070422</v>
      </c>
      <c r="BW89" s="54" t="n"/>
      <c r="BX89" s="1" t="n"/>
      <c r="BY89" s="1" t="n">
        <v>143780</v>
      </c>
      <c r="BZ89" s="54" t="n">
        <v>4.050140845070422</v>
      </c>
      <c r="CA89" s="54" t="n"/>
      <c r="CB89" s="186" t="n"/>
      <c r="CC89" s="186" t="n"/>
      <c r="CD89" s="186" t="n"/>
      <c r="CE89" s="52" t="n"/>
      <c r="CF89" s="52" t="n"/>
      <c r="CG89" s="43" t="n"/>
      <c r="CH89" s="43" t="n"/>
      <c r="CI89" s="43" t="n"/>
      <c r="CJ89" s="43" t="n"/>
      <c r="CK89" s="43" t="n"/>
      <c r="CL89" s="43" t="n"/>
      <c r="CM89" s="43" t="n"/>
      <c r="CN89" s="43" t="n"/>
      <c r="CO89" s="43" t="n"/>
      <c r="CP89" s="43" t="inlineStr">
        <is>
          <t>在线视频财务管理中心</t>
        </is>
      </c>
      <c r="CQ89" s="43" t="inlineStr">
        <is>
          <t>5,3</t>
        </is>
      </c>
      <c r="CR89" s="43" t="n">
        <v>7</v>
      </c>
      <c r="CS89" s="43" t="inlineStr">
        <is>
          <t>T1#</t>
        </is>
      </c>
      <c r="CT89" s="187" t="inlineStr">
        <is>
          <t>N</t>
        </is>
      </c>
      <c r="CU89" s="187" t="n"/>
      <c r="CV89" s="187" t="n"/>
      <c r="CW89" s="1" t="n"/>
      <c r="CX89" s="1" t="n"/>
      <c r="CY89" s="1" t="n"/>
      <c r="CZ89" s="1" t="n"/>
      <c r="DA89" s="1" t="n"/>
      <c r="DB89" s="1" t="n"/>
      <c r="DC89" s="1" t="n"/>
    </row>
    <row r="90" ht="15" customFormat="1" customHeight="1" s="42">
      <c r="A90" s="43" t="inlineStr">
        <is>
          <t>ericZhang(张辉健)</t>
        </is>
      </c>
      <c r="B90" s="43" t="n"/>
      <c r="C90" s="43" t="n">
        <v>9332643</v>
      </c>
      <c r="D90" s="43" t="inlineStr">
        <is>
          <t>风险管理和内部控制</t>
        </is>
      </c>
      <c r="E90" s="43" t="inlineStr">
        <is>
          <t>CSIG风控中心</t>
        </is>
      </c>
      <c r="F90" s="43" t="n"/>
      <c r="G90" s="44" t="inlineStr">
        <is>
          <t>S2职能系统－财经线/风险管理和内部控制/CSIG风控中心</t>
        </is>
      </c>
      <c r="H90" s="179" t="n">
        <v>43781</v>
      </c>
      <c r="I90" s="43" t="inlineStr">
        <is>
          <t>社会招聘</t>
        </is>
      </c>
      <c r="J90" s="43" t="inlineStr">
        <is>
          <t>财经类－FN</t>
        </is>
      </c>
      <c r="K90" s="43" t="inlineStr">
        <is>
          <t>风险管理</t>
        </is>
      </c>
      <c r="L90" s="46" t="inlineStr">
        <is>
          <t>S8</t>
        </is>
      </c>
      <c r="M90" s="46" t="n"/>
      <c r="N90" s="43" t="inlineStr">
        <is>
          <t>T1</t>
        </is>
      </c>
      <c r="O90" s="43" t="n"/>
      <c r="P90" s="180" t="n"/>
      <c r="Q90" s="44" t="inlineStr">
        <is>
          <t>G,G</t>
        </is>
      </c>
      <c r="R90" s="44" t="n"/>
      <c r="S90" s="43" t="n"/>
      <c r="T90" s="180" t="n"/>
      <c r="U90" s="1" t="n">
        <v>29085.4</v>
      </c>
      <c r="V90" s="108" t="n">
        <v>0.083333</v>
      </c>
      <c r="W90" s="46" t="inlineStr">
        <is>
          <t>CNY</t>
        </is>
      </c>
      <c r="X90" s="181" t="n">
        <v>1</v>
      </c>
      <c r="Y90" s="1" t="n">
        <v>28255.85</v>
      </c>
      <c r="Z90" s="1" t="n">
        <v>0</v>
      </c>
      <c r="AA90" s="1" t="n">
        <v>58170.8</v>
      </c>
      <c r="AB90" s="1" t="n">
        <v>59200</v>
      </c>
      <c r="AC90" s="48" t="n">
        <v>39235</v>
      </c>
      <c r="AD90" s="1" t="n"/>
      <c r="AE90" s="48" t="n"/>
      <c r="AF90" s="1" t="n">
        <v>0</v>
      </c>
      <c r="AG90" s="1" t="n">
        <v>156605.8</v>
      </c>
      <c r="AH90" s="182" t="n">
        <v>5.542420419134444</v>
      </c>
      <c r="AI90" s="1" t="n">
        <v>156605.8</v>
      </c>
      <c r="AJ90" s="183" t="n">
        <v>5.542420419134444</v>
      </c>
      <c r="AK90" s="183" t="n">
        <v>4.153858404542777</v>
      </c>
      <c r="AL90" s="108" t="n"/>
      <c r="AM90" s="183" t="n"/>
      <c r="AN90" s="183" t="n"/>
      <c r="AO90" s="1" t="n"/>
      <c r="AP90" s="48" t="n"/>
      <c r="AQ90" s="1" t="n">
        <v>156605.8</v>
      </c>
      <c r="AR90" s="183" t="n">
        <v>5.542420419134444</v>
      </c>
      <c r="AS90" s="98" t="n">
        <v>1.274668728634218</v>
      </c>
      <c r="AT90" s="183" t="n"/>
      <c r="AU90" s="1" t="n"/>
      <c r="AV90" s="48" t="n"/>
      <c r="AW90" s="1" t="n"/>
      <c r="AX90" s="48" t="n"/>
      <c r="AY90" s="1" t="n"/>
      <c r="AZ90" s="48" t="n"/>
      <c r="BA90" s="51" t="n"/>
      <c r="BB90" s="180" t="n"/>
      <c r="BC90" s="1" t="n"/>
      <c r="BD90" s="1" t="n"/>
      <c r="BE90" s="180" t="n"/>
      <c r="BF90" s="1" t="n"/>
      <c r="BG90" s="1" t="n"/>
      <c r="BH90" s="1" t="n"/>
      <c r="BI90" s="1" t="n"/>
      <c r="BJ90" s="52" t="n"/>
      <c r="BK90" s="52" t="n"/>
      <c r="BL90" s="184" t="n">
        <v>1</v>
      </c>
      <c r="BM90" s="1" t="n">
        <v>24880</v>
      </c>
      <c r="BN90" s="1" t="n">
        <v>0</v>
      </c>
      <c r="BO90" s="1" t="n">
        <v>26045</v>
      </c>
      <c r="BP90" s="43" t="inlineStr">
        <is>
          <t>G,G</t>
        </is>
      </c>
      <c r="BQ90" s="43" t="inlineStr">
        <is>
          <t>T1</t>
        </is>
      </c>
      <c r="BR90" s="1" t="n">
        <v>83630</v>
      </c>
      <c r="BS90" s="185" t="n">
        <v>3.361334405144695</v>
      </c>
      <c r="BT90" s="1" t="n">
        <v>39230</v>
      </c>
      <c r="BU90" s="1" t="n">
        <v>122860</v>
      </c>
      <c r="BV90" s="54" t="n">
        <v>4.938102893890675</v>
      </c>
      <c r="BW90" s="54" t="n"/>
      <c r="BX90" s="1" t="n"/>
      <c r="BY90" s="1" t="n">
        <v>122860</v>
      </c>
      <c r="BZ90" s="54" t="n">
        <v>4.938102893890675</v>
      </c>
      <c r="CA90" s="54" t="n"/>
      <c r="CB90" s="186" t="n"/>
      <c r="CC90" s="186" t="n"/>
      <c r="CD90" s="186" t="n"/>
      <c r="CE90" s="52" t="n"/>
      <c r="CF90" s="52" t="n"/>
      <c r="CG90" s="43" t="n"/>
      <c r="CH90" s="43" t="n"/>
      <c r="CI90" s="43" t="n"/>
      <c r="CJ90" s="43" t="n"/>
      <c r="CK90" s="43" t="n"/>
      <c r="CL90" s="43" t="n"/>
      <c r="CM90" s="43" t="n"/>
      <c r="CN90" s="43" t="n"/>
      <c r="CO90" s="43" t="n"/>
      <c r="CP90" s="43" t="inlineStr">
        <is>
          <t>风险管理和内部控制</t>
        </is>
      </c>
      <c r="CQ90" s="43" t="inlineStr">
        <is>
          <t>3,3</t>
        </is>
      </c>
      <c r="CR90" s="43" t="n">
        <v>8</v>
      </c>
      <c r="CS90" s="43" t="inlineStr">
        <is>
          <t>T1</t>
        </is>
      </c>
      <c r="CT90" s="187" t="inlineStr">
        <is>
          <t>N</t>
        </is>
      </c>
      <c r="CU90" s="187" t="n"/>
      <c r="CV90" s="187" t="n"/>
      <c r="CW90" s="1" t="n"/>
      <c r="CX90" s="1" t="n"/>
      <c r="CY90" s="1" t="n"/>
      <c r="CZ90" s="1" t="n"/>
      <c r="DA90" s="1" t="n"/>
      <c r="DB90" s="1" t="n"/>
      <c r="DC90" s="1" t="n"/>
    </row>
    <row r="91" ht="15" customFormat="1" customHeight="1" s="42">
      <c r="A91" s="43" t="inlineStr">
        <is>
          <t>ellaQian(钱瑶)</t>
        </is>
      </c>
      <c r="B91" s="43" t="n"/>
      <c r="C91" s="43" t="n">
        <v>83816533</v>
      </c>
      <c r="D91" s="43" t="inlineStr">
        <is>
          <t>风险管理和内部控制</t>
        </is>
      </c>
      <c r="E91" s="43" t="inlineStr">
        <is>
          <t>WXG风控中心</t>
        </is>
      </c>
      <c r="F91" s="43" t="n"/>
      <c r="G91" s="44" t="inlineStr">
        <is>
          <t>S2职能系统－财经线/风险管理和内部控制/WXG风控中心</t>
        </is>
      </c>
      <c r="H91" s="179" t="n">
        <v>38526</v>
      </c>
      <c r="I91" s="43" t="inlineStr">
        <is>
          <t>社会招聘</t>
        </is>
      </c>
      <c r="J91" s="43" t="inlineStr">
        <is>
          <t>财经类－FN</t>
        </is>
      </c>
      <c r="K91" s="43" t="inlineStr">
        <is>
          <t>风险管理</t>
        </is>
      </c>
      <c r="L91" s="46" t="inlineStr">
        <is>
          <t>S6</t>
        </is>
      </c>
      <c r="M91" s="46" t="n"/>
      <c r="N91" s="43" t="inlineStr">
        <is>
          <t>T1#</t>
        </is>
      </c>
      <c r="O91" s="43" t="n"/>
      <c r="P91" s="180" t="n"/>
      <c r="Q91" s="44" t="inlineStr">
        <is>
          <t>O,G</t>
        </is>
      </c>
      <c r="R91" s="44" t="n"/>
      <c r="S91" s="43" t="n"/>
      <c r="T91" s="180" t="n"/>
      <c r="U91" s="1" t="n">
        <v>28259.6</v>
      </c>
      <c r="V91" s="108" t="n">
        <v>0.083333</v>
      </c>
      <c r="W91" s="46" t="inlineStr">
        <is>
          <t>CNY</t>
        </is>
      </c>
      <c r="X91" s="181" t="n">
        <v>1</v>
      </c>
      <c r="Y91" s="1" t="n">
        <v>26478.39</v>
      </c>
      <c r="Z91" s="1" t="n">
        <v>0</v>
      </c>
      <c r="AA91" s="1" t="n">
        <v>84778.8</v>
      </c>
      <c r="AB91" s="1" t="n">
        <v>93865</v>
      </c>
      <c r="AC91" s="48" t="n">
        <v>55465</v>
      </c>
      <c r="AD91" s="1" t="n"/>
      <c r="AE91" s="48" t="n"/>
      <c r="AF91" s="1" t="n">
        <v>0</v>
      </c>
      <c r="AG91" s="1" t="n">
        <v>234108.8</v>
      </c>
      <c r="AH91" s="182" t="n">
        <v>8.84150433617754</v>
      </c>
      <c r="AI91" s="1" t="n">
        <v>234108.8</v>
      </c>
      <c r="AJ91" s="183" t="n">
        <v>8.84150433617754</v>
      </c>
      <c r="AK91" s="183" t="n">
        <v>6.746777277621486</v>
      </c>
      <c r="AL91" s="108" t="n"/>
      <c r="AM91" s="183" t="n"/>
      <c r="AN91" s="183" t="n"/>
      <c r="AO91" s="1" t="n"/>
      <c r="AP91" s="48" t="n"/>
      <c r="AQ91" s="1" t="n">
        <v>234108.8</v>
      </c>
      <c r="AR91" s="183" t="n">
        <v>8.84150433617754</v>
      </c>
      <c r="AS91" s="98" t="n">
        <v>1.329861395137469</v>
      </c>
      <c r="AT91" s="183" t="n"/>
      <c r="AU91" s="1" t="n"/>
      <c r="AV91" s="48" t="n"/>
      <c r="AW91" s="1" t="n"/>
      <c r="AX91" s="48" t="n"/>
      <c r="AY91" s="1" t="n"/>
      <c r="AZ91" s="48" t="n"/>
      <c r="BA91" s="51" t="n"/>
      <c r="BB91" s="180" t="n"/>
      <c r="BC91" s="1" t="n"/>
      <c r="BD91" s="1" t="n"/>
      <c r="BE91" s="180" t="n"/>
      <c r="BF91" s="1" t="n"/>
      <c r="BG91" s="1" t="n"/>
      <c r="BH91" s="1" t="n"/>
      <c r="BI91" s="1" t="n"/>
      <c r="BJ91" s="52" t="n"/>
      <c r="BK91" s="52" t="n"/>
      <c r="BL91" s="184" t="n">
        <v>1</v>
      </c>
      <c r="BM91" s="1" t="n">
        <v>23170</v>
      </c>
      <c r="BN91" s="1" t="n">
        <v>0</v>
      </c>
      <c r="BO91" s="1" t="n">
        <v>23860</v>
      </c>
      <c r="BP91" s="43" t="inlineStr">
        <is>
          <t>O,G</t>
        </is>
      </c>
      <c r="BQ91" s="43" t="inlineStr">
        <is>
          <t>T1#</t>
        </is>
      </c>
      <c r="BR91" s="1" t="n">
        <v>152090</v>
      </c>
      <c r="BS91" s="185" t="n">
        <v>6.564091497626241</v>
      </c>
      <c r="BT91" s="1" t="n">
        <v>23950</v>
      </c>
      <c r="BU91" s="1" t="n">
        <v>176040</v>
      </c>
      <c r="BV91" s="54" t="n">
        <v>7.59775571860164</v>
      </c>
      <c r="BW91" s="54" t="n"/>
      <c r="BX91" s="1" t="n"/>
      <c r="BY91" s="1" t="n">
        <v>176040</v>
      </c>
      <c r="BZ91" s="54" t="n">
        <v>7.59775571860164</v>
      </c>
      <c r="CA91" s="54" t="n"/>
      <c r="CB91" s="186" t="n"/>
      <c r="CC91" s="186" t="n"/>
      <c r="CD91" s="186" t="n"/>
      <c r="CE91" s="52" t="n"/>
      <c r="CF91" s="52" t="n"/>
      <c r="CG91" s="43" t="n"/>
      <c r="CH91" s="43" t="n"/>
      <c r="CI91" s="43" t="n"/>
      <c r="CJ91" s="43" t="n"/>
      <c r="CK91" s="43" t="n"/>
      <c r="CL91" s="43" t="n"/>
      <c r="CM91" s="43" t="n"/>
      <c r="CN91" s="43" t="n"/>
      <c r="CO91" s="43" t="n"/>
      <c r="CP91" s="43" t="inlineStr">
        <is>
          <t>风险管理和内部控制</t>
        </is>
      </c>
      <c r="CQ91" s="43" t="inlineStr">
        <is>
          <t>5,3</t>
        </is>
      </c>
      <c r="CR91" s="43" t="n">
        <v>6</v>
      </c>
      <c r="CS91" s="43" t="inlineStr">
        <is>
          <t>T1#</t>
        </is>
      </c>
      <c r="CT91" s="187" t="inlineStr">
        <is>
          <t>N</t>
        </is>
      </c>
      <c r="CU91" s="187" t="n"/>
      <c r="CV91" s="187" t="n"/>
      <c r="CW91" s="1" t="n"/>
      <c r="CX91" s="1" t="n"/>
      <c r="CY91" s="1" t="n"/>
      <c r="CZ91" s="1" t="n"/>
      <c r="DA91" s="1" t="n"/>
      <c r="DB91" s="1" t="n"/>
      <c r="DC91" s="1" t="n"/>
    </row>
    <row r="92" ht="15" customFormat="1" customHeight="1" s="42">
      <c r="A92" s="43" t="inlineStr">
        <is>
          <t>harryWang(汪天)</t>
        </is>
      </c>
      <c r="B92" s="43" t="n"/>
      <c r="C92" s="43" t="n">
        <v>80292865</v>
      </c>
      <c r="D92" s="43" t="inlineStr">
        <is>
          <t>财经投资并购及管理部</t>
        </is>
      </c>
      <c r="E92" s="43" t="inlineStr">
        <is>
          <t>行业及项目管理中心</t>
        </is>
      </c>
      <c r="F92" s="43" t="n"/>
      <c r="G92" s="44" t="inlineStr">
        <is>
          <t>S2职能系统－财经线/财经投资并购及管理部/行业及项目管理中心</t>
        </is>
      </c>
      <c r="H92" s="179" t="n">
        <v>36288</v>
      </c>
      <c r="I92" s="43" t="inlineStr">
        <is>
          <t>高校招聘</t>
        </is>
      </c>
      <c r="J92" s="43" t="inlineStr">
        <is>
          <t>财经类－FN</t>
        </is>
      </c>
      <c r="K92" s="43" t="inlineStr">
        <is>
          <t>投资并购</t>
        </is>
      </c>
      <c r="L92" s="46" t="inlineStr">
        <is>
          <t>S6</t>
        </is>
      </c>
      <c r="M92" s="46" t="n"/>
      <c r="N92" s="43" t="inlineStr">
        <is>
          <t>T1</t>
        </is>
      </c>
      <c r="O92" s="43" t="n"/>
      <c r="P92" s="180" t="n"/>
      <c r="Q92" s="44" t="inlineStr">
        <is>
          <t>G,G</t>
        </is>
      </c>
      <c r="R92" s="44" t="n"/>
      <c r="S92" s="43" t="n"/>
      <c r="T92" s="180" t="n"/>
      <c r="U92" s="1" t="n">
        <v>28386.3</v>
      </c>
      <c r="V92" s="108" t="n">
        <v>0.083333</v>
      </c>
      <c r="W92" s="46" t="inlineStr">
        <is>
          <t>CNY</t>
        </is>
      </c>
      <c r="X92" s="181" t="n">
        <v>1</v>
      </c>
      <c r="Y92" s="1" t="n">
        <v>28008.74</v>
      </c>
      <c r="Z92" s="1" t="n">
        <v>0</v>
      </c>
      <c r="AA92" s="1" t="n">
        <v>56772.6</v>
      </c>
      <c r="AB92" s="1" t="n">
        <v>62470</v>
      </c>
      <c r="AC92" s="48" t="n">
        <v>39915</v>
      </c>
      <c r="AD92" s="1" t="n"/>
      <c r="AE92" s="48" t="n"/>
      <c r="AF92" s="1" t="n">
        <v>0</v>
      </c>
      <c r="AG92" s="1" t="n">
        <v>159157.6</v>
      </c>
      <c r="AH92" s="182" t="n">
        <v>5.682426271228195</v>
      </c>
      <c r="AI92" s="1" t="n">
        <v>159157.6</v>
      </c>
      <c r="AJ92" s="183" t="n">
        <v>5.682426271228195</v>
      </c>
      <c r="AK92" s="183" t="n">
        <v>4.257335388882185</v>
      </c>
      <c r="AL92" s="108" t="n"/>
      <c r="AM92" s="183" t="n"/>
      <c r="AN92" s="183" t="n"/>
      <c r="AO92" s="1" t="n"/>
      <c r="AP92" s="48" t="n"/>
      <c r="AQ92" s="1" t="n">
        <v>159157.6</v>
      </c>
      <c r="AR92" s="183" t="n">
        <v>5.682426271228195</v>
      </c>
      <c r="AS92" s="98" t="n">
        <v>1.437088939051919</v>
      </c>
      <c r="AT92" s="183" t="n"/>
      <c r="AU92" s="1" t="n"/>
      <c r="AV92" s="48" t="n"/>
      <c r="AW92" s="1" t="n"/>
      <c r="AX92" s="48" t="n"/>
      <c r="AY92" s="1" t="n"/>
      <c r="AZ92" s="48" t="n"/>
      <c r="BA92" s="51" t="n"/>
      <c r="BB92" s="180" t="n"/>
      <c r="BC92" s="1" t="n"/>
      <c r="BD92" s="1" t="n"/>
      <c r="BE92" s="180" t="n"/>
      <c r="BF92" s="1" t="n"/>
      <c r="BG92" s="1" t="n"/>
      <c r="BH92" s="1" t="n"/>
      <c r="BI92" s="1" t="n"/>
      <c r="BJ92" s="52" t="n"/>
      <c r="BK92" s="52" t="n"/>
      <c r="BL92" s="184" t="n">
        <v>1</v>
      </c>
      <c r="BM92" s="1" t="n">
        <v>23940</v>
      </c>
      <c r="BN92" s="1" t="n">
        <v>0</v>
      </c>
      <c r="BO92" s="1" t="n">
        <v>24200</v>
      </c>
      <c r="BP92" s="43" t="inlineStr">
        <is>
          <t>G,G</t>
        </is>
      </c>
      <c r="BQ92" s="43" t="inlineStr">
        <is>
          <t>T1</t>
        </is>
      </c>
      <c r="BR92" s="1" t="n">
        <v>78655</v>
      </c>
      <c r="BS92" s="185" t="n">
        <v>3.285505430242272</v>
      </c>
      <c r="BT92" s="1" t="n">
        <v>32095</v>
      </c>
      <c r="BU92" s="1" t="n">
        <v>110750</v>
      </c>
      <c r="BV92" s="54" t="n">
        <v>4.626148705096074</v>
      </c>
      <c r="BW92" s="54" t="n"/>
      <c r="BX92" s="1" t="n"/>
      <c r="BY92" s="1" t="n">
        <v>110750</v>
      </c>
      <c r="BZ92" s="54" t="n">
        <v>4.626148705096074</v>
      </c>
      <c r="CA92" s="54" t="n"/>
      <c r="CB92" s="186" t="n"/>
      <c r="CC92" s="186" t="n"/>
      <c r="CD92" s="186" t="n"/>
      <c r="CE92" s="52" t="n"/>
      <c r="CF92" s="52" t="n"/>
      <c r="CG92" s="43" t="n"/>
      <c r="CH92" s="43" t="n"/>
      <c r="CI92" s="43" t="n"/>
      <c r="CJ92" s="43" t="n"/>
      <c r="CK92" s="43" t="n"/>
      <c r="CL92" s="43" t="n"/>
      <c r="CM92" s="43" t="n"/>
      <c r="CN92" s="43" t="n"/>
      <c r="CO92" s="43" t="n"/>
      <c r="CP92" s="43" t="inlineStr">
        <is>
          <t>财经投资并购及管理部</t>
        </is>
      </c>
      <c r="CQ92" s="43" t="inlineStr">
        <is>
          <t>3,3</t>
        </is>
      </c>
      <c r="CR92" s="43" t="n">
        <v>6</v>
      </c>
      <c r="CS92" s="43" t="inlineStr">
        <is>
          <t>T1</t>
        </is>
      </c>
      <c r="CT92" s="187" t="inlineStr">
        <is>
          <t>N</t>
        </is>
      </c>
      <c r="CU92" s="187" t="n"/>
      <c r="CV92" s="187" t="n"/>
      <c r="CW92" s="1" t="n"/>
      <c r="CX92" s="1" t="n"/>
      <c r="CY92" s="1" t="n"/>
      <c r="CZ92" s="1" t="n"/>
      <c r="DA92" s="1" t="n"/>
      <c r="DB92" s="1" t="n"/>
      <c r="DC92" s="1" t="n"/>
    </row>
    <row r="93" ht="15" customFormat="1" customHeight="1" s="42">
      <c r="A93" s="43" t="inlineStr">
        <is>
          <t>maryKong(孔慧)</t>
        </is>
      </c>
      <c r="B93" s="43" t="n"/>
      <c r="C93" s="43" t="n">
        <v>67874412</v>
      </c>
      <c r="D93" s="43" t="inlineStr">
        <is>
          <t>CDG财务管理</t>
        </is>
      </c>
      <c r="E93" s="43" t="inlineStr">
        <is>
          <t>AMS收入支持中心</t>
        </is>
      </c>
      <c r="F93" s="43" t="n"/>
      <c r="G93" s="44" t="inlineStr">
        <is>
          <t>S2职能系统－财经线/CDG财务管理/AMS收入支持中心</t>
        </is>
      </c>
      <c r="H93" s="179" t="n">
        <v>36786</v>
      </c>
      <c r="I93" s="43" t="inlineStr">
        <is>
          <t>社会招聘</t>
        </is>
      </c>
      <c r="J93" s="43" t="inlineStr">
        <is>
          <t>财经类－FN</t>
        </is>
      </c>
      <c r="K93" s="43" t="inlineStr">
        <is>
          <t>财务管理</t>
        </is>
      </c>
      <c r="L93" s="46" t="inlineStr">
        <is>
          <t>S6</t>
        </is>
      </c>
      <c r="M93" s="46" t="n"/>
      <c r="N93" s="43" t="inlineStr">
        <is>
          <t>T1#</t>
        </is>
      </c>
      <c r="O93" s="43" t="n"/>
      <c r="P93" s="180" t="n"/>
      <c r="Q93" s="44" t="inlineStr">
        <is>
          <t>G,G</t>
        </is>
      </c>
      <c r="R93" s="44" t="n"/>
      <c r="S93" s="43" t="n"/>
      <c r="T93" s="180" t="n"/>
      <c r="U93" s="1" t="n">
        <v>34558.4</v>
      </c>
      <c r="V93" s="108" t="n">
        <v>0.083333</v>
      </c>
      <c r="W93" s="46" t="inlineStr">
        <is>
          <t>CNY</t>
        </is>
      </c>
      <c r="X93" s="181" t="n">
        <v>1</v>
      </c>
      <c r="Y93" s="1" t="n">
        <v>31140.68</v>
      </c>
      <c r="Z93" s="1" t="n">
        <v>0</v>
      </c>
      <c r="AA93" s="1" t="n">
        <v>69116.8</v>
      </c>
      <c r="AB93" s="1" t="n">
        <v>115780</v>
      </c>
      <c r="AC93" s="48" t="n">
        <v>60785</v>
      </c>
      <c r="AD93" s="1" t="n"/>
      <c r="AE93" s="48" t="n"/>
      <c r="AF93" s="1" t="n">
        <v>0</v>
      </c>
      <c r="AG93" s="1" t="n">
        <v>245681.8</v>
      </c>
      <c r="AH93" s="182" t="n">
        <v>7.889416672982092</v>
      </c>
      <c r="AI93" s="1" t="n">
        <v>245681.8</v>
      </c>
      <c r="AJ93" s="183" t="n">
        <v>7.889416672982092</v>
      </c>
      <c r="AK93" s="183" t="n">
        <v>5.937468289067548</v>
      </c>
      <c r="AL93" s="108" t="n"/>
      <c r="AM93" s="183" t="n"/>
      <c r="AN93" s="183" t="n"/>
      <c r="AO93" s="1" t="n"/>
      <c r="AP93" s="48" t="n"/>
      <c r="AQ93" s="1" t="n">
        <v>245681.8</v>
      </c>
      <c r="AR93" s="183" t="n">
        <v>7.889416672982092</v>
      </c>
      <c r="AS93" s="98" t="n">
        <v>1.190491835053545</v>
      </c>
      <c r="AT93" s="183" t="n"/>
      <c r="AU93" s="1" t="n"/>
      <c r="AV93" s="48" t="n"/>
      <c r="AW93" s="1" t="n"/>
      <c r="AX93" s="48" t="n"/>
      <c r="AY93" s="1" t="n"/>
      <c r="AZ93" s="48" t="n"/>
      <c r="BA93" s="51" t="n"/>
      <c r="BB93" s="180" t="n"/>
      <c r="BC93" s="1" t="n"/>
      <c r="BD93" s="1" t="n"/>
      <c r="BE93" s="180" t="n"/>
      <c r="BF93" s="1" t="n"/>
      <c r="BG93" s="1" t="n"/>
      <c r="BH93" s="1" t="n"/>
      <c r="BI93" s="1" t="n"/>
      <c r="BJ93" s="52" t="n"/>
      <c r="BK93" s="52" t="n"/>
      <c r="BL93" s="184" t="n">
        <v>1</v>
      </c>
      <c r="BM93" s="1" t="n">
        <v>30525</v>
      </c>
      <c r="BN93" s="1" t="n">
        <v>0</v>
      </c>
      <c r="BO93" s="1" t="n">
        <v>31285</v>
      </c>
      <c r="BP93" s="43" t="inlineStr">
        <is>
          <t>G,G</t>
        </is>
      </c>
      <c r="BQ93" s="43" t="inlineStr">
        <is>
          <t>T1#</t>
        </is>
      </c>
      <c r="BR93" s="1" t="n">
        <v>165265</v>
      </c>
      <c r="BS93" s="185" t="n">
        <v>5.414086814086814</v>
      </c>
      <c r="BT93" s="1" t="n">
        <v>41105</v>
      </c>
      <c r="BU93" s="1" t="n">
        <v>206370</v>
      </c>
      <c r="BV93" s="54" t="n">
        <v>6.760687960687961</v>
      </c>
      <c r="BW93" s="54" t="n"/>
      <c r="BX93" s="1" t="n"/>
      <c r="BY93" s="1" t="n">
        <v>206370</v>
      </c>
      <c r="BZ93" s="54" t="n">
        <v>6.760687960687961</v>
      </c>
      <c r="CA93" s="54" t="n"/>
      <c r="CB93" s="186" t="n"/>
      <c r="CC93" s="186" t="n"/>
      <c r="CD93" s="186" t="n"/>
      <c r="CE93" s="52" t="n"/>
      <c r="CF93" s="52" t="n"/>
      <c r="CG93" s="43" t="n"/>
      <c r="CH93" s="43" t="n"/>
      <c r="CI93" s="43" t="n"/>
      <c r="CJ93" s="43" t="n"/>
      <c r="CK93" s="43" t="n"/>
      <c r="CL93" s="43" t="n"/>
      <c r="CM93" s="43" t="n"/>
      <c r="CN93" s="43" t="n"/>
      <c r="CO93" s="43" t="n"/>
      <c r="CP93" s="43" t="inlineStr">
        <is>
          <t>CDG财务管理</t>
        </is>
      </c>
      <c r="CQ93" s="43" t="inlineStr">
        <is>
          <t>3,3</t>
        </is>
      </c>
      <c r="CR93" s="43" t="n">
        <v>6</v>
      </c>
      <c r="CS93" s="43" t="inlineStr">
        <is>
          <t>T1#</t>
        </is>
      </c>
      <c r="CT93" s="187" t="inlineStr">
        <is>
          <t>N</t>
        </is>
      </c>
      <c r="CU93" s="187" t="n"/>
      <c r="CV93" s="187" t="n"/>
      <c r="CW93" s="1" t="n"/>
      <c r="CX93" s="1" t="n"/>
      <c r="CY93" s="1" t="n"/>
      <c r="CZ93" s="1" t="n"/>
      <c r="DA93" s="1" t="n"/>
      <c r="DB93" s="1" t="n"/>
      <c r="DC93" s="1" t="n"/>
    </row>
    <row r="94" ht="15" customFormat="1" customHeight="1" s="42">
      <c r="A94" s="43" t="inlineStr">
        <is>
          <t>brooklynShao(邵芳薇)</t>
        </is>
      </c>
      <c r="B94" s="43" t="n"/>
      <c r="C94" s="43" t="n">
        <v>57363896</v>
      </c>
      <c r="D94" s="43" t="inlineStr">
        <is>
          <t>CSIG财务管理</t>
        </is>
      </c>
      <c r="E94" s="43" t="inlineStr">
        <is>
          <t>综合财务管理中心</t>
        </is>
      </c>
      <c r="F94" s="43" t="n"/>
      <c r="G94" s="44" t="inlineStr">
        <is>
          <t>S2职能系统－财经线/CSIG财务管理/综合财务管理中心</t>
        </is>
      </c>
      <c r="H94" s="179" t="n">
        <v>38079</v>
      </c>
      <c r="I94" s="43" t="inlineStr">
        <is>
          <t>社会招聘</t>
        </is>
      </c>
      <c r="J94" s="43" t="inlineStr">
        <is>
          <t>财经类－FN</t>
        </is>
      </c>
      <c r="K94" s="43" t="inlineStr">
        <is>
          <t>财务管理</t>
        </is>
      </c>
      <c r="L94" s="46" t="n"/>
      <c r="M94" s="46" t="inlineStr">
        <is>
          <t>L3-1</t>
        </is>
      </c>
      <c r="N94" s="43" t="inlineStr">
        <is>
          <t>T1#</t>
        </is>
      </c>
      <c r="O94" s="43" t="n"/>
      <c r="P94" s="180" t="n"/>
      <c r="Q94" s="44" t="inlineStr">
        <is>
          <t>O,G</t>
        </is>
      </c>
      <c r="R94" s="44" t="n"/>
      <c r="S94" s="43" t="n"/>
      <c r="T94" s="180" t="n"/>
      <c r="U94" s="1" t="n">
        <v>78638.05</v>
      </c>
      <c r="V94" s="108" t="n">
        <v>0.083333</v>
      </c>
      <c r="W94" s="46" t="inlineStr">
        <is>
          <t>CNY</t>
        </is>
      </c>
      <c r="X94" s="181" t="n">
        <v>1</v>
      </c>
      <c r="Y94" s="1" t="n">
        <v>76586.89</v>
      </c>
      <c r="Z94" s="1" t="n">
        <v>0</v>
      </c>
      <c r="AA94" s="1" t="n">
        <v>235914.15</v>
      </c>
      <c r="AB94" s="1" t="n">
        <v>252925</v>
      </c>
      <c r="AC94" s="48" t="n">
        <v>106545</v>
      </c>
      <c r="AD94" s="1" t="n"/>
      <c r="AE94" s="48" t="n"/>
      <c r="AF94" s="1" t="n">
        <v>72710</v>
      </c>
      <c r="AG94" s="1" t="n">
        <v>595384.15</v>
      </c>
      <c r="AH94" s="182" t="n">
        <v>7.773969539695371</v>
      </c>
      <c r="AI94" s="1" t="n">
        <v>668094.15</v>
      </c>
      <c r="AJ94" s="183" t="n">
        <v>8.723348735011959</v>
      </c>
      <c r="AK94" s="183" t="n">
        <v>7.332183745808193</v>
      </c>
      <c r="AL94" s="108" t="n"/>
      <c r="AM94" s="183" t="n"/>
      <c r="AN94" s="183" t="n"/>
      <c r="AO94" s="1" t="n"/>
      <c r="AP94" s="48" t="n"/>
      <c r="AQ94" s="1" t="n">
        <v>668094.15</v>
      </c>
      <c r="AR94" s="183" t="n">
        <v>8.723348735011959</v>
      </c>
      <c r="AS94" s="98" t="n">
        <v>4.51766000608581</v>
      </c>
      <c r="AT94" s="183" t="n"/>
      <c r="AU94" s="1" t="n"/>
      <c r="AV94" s="48" t="n"/>
      <c r="AW94" s="1" t="n"/>
      <c r="AX94" s="48" t="n"/>
      <c r="AY94" s="1" t="n"/>
      <c r="AZ94" s="48" t="n"/>
      <c r="BA94" s="51" t="n"/>
      <c r="BB94" s="180" t="n"/>
      <c r="BC94" s="1" t="n"/>
      <c r="BD94" s="1" t="n"/>
      <c r="BE94" s="180" t="n"/>
      <c r="BF94" s="1" t="n"/>
      <c r="BG94" s="1" t="n"/>
      <c r="BH94" s="1" t="n"/>
      <c r="BI94" s="1" t="n"/>
      <c r="BJ94" s="52" t="n"/>
      <c r="BK94" s="52" t="n"/>
      <c r="BL94" s="184" t="n">
        <v>1</v>
      </c>
      <c r="BM94" s="1" t="n">
        <v>62915</v>
      </c>
      <c r="BN94" s="1" t="n">
        <v>0</v>
      </c>
      <c r="BO94" s="1" t="n">
        <v>66620</v>
      </c>
      <c r="BP94" s="43" t="inlineStr">
        <is>
          <t>G,U</t>
        </is>
      </c>
      <c r="BQ94" s="43" t="inlineStr">
        <is>
          <t>T2</t>
        </is>
      </c>
      <c r="BR94" s="1" t="n">
        <v>147885</v>
      </c>
      <c r="BS94" s="185" t="n">
        <v>2.35055233251212</v>
      </c>
      <c r="BT94" s="1" t="n">
        <v>0</v>
      </c>
      <c r="BU94" s="1" t="n">
        <v>147885</v>
      </c>
      <c r="BV94" s="54" t="n">
        <v>2.35055233251212</v>
      </c>
      <c r="BW94" s="54" t="n"/>
      <c r="BX94" s="1" t="n"/>
      <c r="BY94" s="1" t="n">
        <v>147885</v>
      </c>
      <c r="BZ94" s="54" t="n">
        <v>2.35055233251212</v>
      </c>
      <c r="CA94" s="54" t="n"/>
      <c r="CB94" s="186" t="n"/>
      <c r="CC94" s="186" t="n"/>
      <c r="CD94" s="186" t="n"/>
      <c r="CE94" s="52" t="n"/>
      <c r="CF94" s="52" t="n"/>
      <c r="CG94" s="43" t="n"/>
      <c r="CH94" s="43" t="n"/>
      <c r="CI94" s="43" t="n"/>
      <c r="CJ94" s="43" t="n"/>
      <c r="CK94" s="43" t="n"/>
      <c r="CL94" s="43" t="n"/>
      <c r="CM94" s="43" t="n"/>
      <c r="CN94" s="43" t="n"/>
      <c r="CO94" s="43" t="n"/>
      <c r="CP94" s="43" t="inlineStr">
        <is>
          <t>CSIG财务管理</t>
        </is>
      </c>
      <c r="CQ94" s="43" t="inlineStr">
        <is>
          <t>5,3</t>
        </is>
      </c>
      <c r="CR94" s="43" t="inlineStr">
        <is>
          <t>L3-1</t>
        </is>
      </c>
      <c r="CS94" s="43" t="inlineStr">
        <is>
          <t>T1#</t>
        </is>
      </c>
      <c r="CT94" s="187" t="inlineStr">
        <is>
          <t>N</t>
        </is>
      </c>
      <c r="CU94" s="187" t="n"/>
      <c r="CV94" s="187" t="n"/>
      <c r="CW94" s="1" t="n"/>
      <c r="CX94" s="1" t="n"/>
      <c r="CY94" s="1" t="n"/>
      <c r="CZ94" s="1" t="n"/>
      <c r="DA94" s="1" t="n"/>
      <c r="DB94" s="1" t="n"/>
      <c r="DC94" s="1" t="n"/>
    </row>
    <row r="95" ht="15" customFormat="1" customHeight="1" s="42">
      <c r="A95" s="43" t="inlineStr">
        <is>
          <t>natalieLei(雷薇琳)</t>
        </is>
      </c>
      <c r="B95" s="43" t="n"/>
      <c r="C95" s="43" t="n">
        <v>98812364</v>
      </c>
      <c r="D95" s="43" t="inlineStr">
        <is>
          <t>财经IT管理部</t>
        </is>
      </c>
      <c r="E95" s="43" t="inlineStr">
        <is>
          <t>国际业务支持中心</t>
        </is>
      </c>
      <c r="F95" s="43" t="n"/>
      <c r="G95" s="44" t="inlineStr">
        <is>
          <t>S2职能系统－财经线/财经IT管理部/国际业务支持中心</t>
        </is>
      </c>
      <c r="H95" s="179" t="n">
        <v>40510</v>
      </c>
      <c r="I95" s="43" t="inlineStr">
        <is>
          <t>社会招聘</t>
        </is>
      </c>
      <c r="J95" s="43" t="inlineStr">
        <is>
          <t>技术研发类－TRD</t>
        </is>
      </c>
      <c r="K95" s="43" t="inlineStr">
        <is>
          <t>应用开发</t>
        </is>
      </c>
      <c r="L95" s="46" t="inlineStr">
        <is>
          <t>T7</t>
        </is>
      </c>
      <c r="M95" s="46" t="n"/>
      <c r="N95" s="43" t="inlineStr">
        <is>
          <t>T1</t>
        </is>
      </c>
      <c r="O95" s="43" t="n"/>
      <c r="P95" s="180" t="n"/>
      <c r="Q95" s="44" t="inlineStr">
        <is>
          <t>G,G</t>
        </is>
      </c>
      <c r="R95" s="44" t="n"/>
      <c r="S95" s="43" t="n"/>
      <c r="T95" s="180" t="n"/>
      <c r="U95" s="1" t="n">
        <v>27845.5</v>
      </c>
      <c r="V95" s="108" t="n">
        <v>0.083333</v>
      </c>
      <c r="W95" s="46" t="inlineStr">
        <is>
          <t>CNY</t>
        </is>
      </c>
      <c r="X95" s="181" t="n">
        <v>1</v>
      </c>
      <c r="Y95" s="1" t="n">
        <v>26101.71</v>
      </c>
      <c r="Z95" s="1" t="n">
        <v>0</v>
      </c>
      <c r="AA95" s="1" t="n">
        <v>55691</v>
      </c>
      <c r="AB95" s="1" t="n">
        <v>68185</v>
      </c>
      <c r="AC95" s="48" t="n">
        <v>51590</v>
      </c>
      <c r="AD95" s="1" t="n"/>
      <c r="AE95" s="48" t="n"/>
      <c r="AF95" s="1" t="n">
        <v>0</v>
      </c>
      <c r="AG95" s="1" t="n">
        <v>175466</v>
      </c>
      <c r="AH95" s="182" t="n">
        <v>6.722394816278321</v>
      </c>
      <c r="AI95" s="1" t="n">
        <v>175466</v>
      </c>
      <c r="AJ95" s="183" t="n">
        <v>6.722394816278321</v>
      </c>
      <c r="AK95" s="183" t="n">
        <v>4.745895958540648</v>
      </c>
      <c r="AL95" s="108" t="n"/>
      <c r="AM95" s="183" t="n"/>
      <c r="AN95" s="183" t="n"/>
      <c r="AO95" s="1" t="n"/>
      <c r="AP95" s="48" t="n"/>
      <c r="AQ95" s="1" t="n">
        <v>175466</v>
      </c>
      <c r="AR95" s="183" t="n">
        <v>6.722394816278321</v>
      </c>
      <c r="AS95" s="98" t="n">
        <v>2.021381256840044</v>
      </c>
      <c r="AT95" s="183" t="n"/>
      <c r="AU95" s="1" t="n"/>
      <c r="AV95" s="48" t="n"/>
      <c r="AW95" s="1" t="n"/>
      <c r="AX95" s="48" t="n"/>
      <c r="AY95" s="1" t="n"/>
      <c r="AZ95" s="48" t="n"/>
      <c r="BA95" s="51" t="n"/>
      <c r="BB95" s="180" t="n"/>
      <c r="BC95" s="1" t="n"/>
      <c r="BD95" s="1" t="n"/>
      <c r="BE95" s="180" t="n"/>
      <c r="BF95" s="1" t="n"/>
      <c r="BG95" s="1" t="n"/>
      <c r="BH95" s="1" t="n"/>
      <c r="BI95" s="1" t="n"/>
      <c r="BJ95" s="52" t="n"/>
      <c r="BK95" s="52" t="n"/>
      <c r="BL95" s="184" t="n">
        <v>1</v>
      </c>
      <c r="BM95" s="1" t="n">
        <v>24605</v>
      </c>
      <c r="BN95" s="1" t="n">
        <v>0</v>
      </c>
      <c r="BO95" s="1" t="n">
        <v>26730</v>
      </c>
      <c r="BP95" s="43" t="inlineStr">
        <is>
          <t>G,G</t>
        </is>
      </c>
      <c r="BQ95" s="43" t="inlineStr">
        <is>
          <t>Others</t>
        </is>
      </c>
      <c r="BR95" s="1" t="n">
        <v>86805</v>
      </c>
      <c r="BS95" s="185" t="n">
        <v>3.527941475309897</v>
      </c>
      <c r="BT95" s="1" t="n">
        <v>0</v>
      </c>
      <c r="BU95" s="1" t="n">
        <v>86805</v>
      </c>
      <c r="BV95" s="54" t="n">
        <v>3.527941475309897</v>
      </c>
      <c r="BW95" s="54" t="n"/>
      <c r="BX95" s="1" t="n"/>
      <c r="BY95" s="1" t="n">
        <v>86805</v>
      </c>
      <c r="BZ95" s="54" t="n">
        <v>3.527941475309897</v>
      </c>
      <c r="CA95" s="54" t="n"/>
      <c r="CB95" s="186" t="n"/>
      <c r="CC95" s="186" t="n"/>
      <c r="CD95" s="186" t="n"/>
      <c r="CE95" s="52" t="n"/>
      <c r="CF95" s="52" t="n"/>
      <c r="CG95" s="43" t="n"/>
      <c r="CH95" s="43" t="n"/>
      <c r="CI95" s="43" t="n"/>
      <c r="CJ95" s="43" t="n"/>
      <c r="CK95" s="43" t="n"/>
      <c r="CL95" s="43" t="n"/>
      <c r="CM95" s="43" t="n"/>
      <c r="CN95" s="43" t="n"/>
      <c r="CO95" s="43" t="n"/>
      <c r="CP95" s="43" t="inlineStr">
        <is>
          <t>财经IT管理部</t>
        </is>
      </c>
      <c r="CQ95" s="43" t="inlineStr">
        <is>
          <t>3,3</t>
        </is>
      </c>
      <c r="CR95" s="43" t="n">
        <v>7</v>
      </c>
      <c r="CS95" s="43" t="inlineStr">
        <is>
          <t>T1</t>
        </is>
      </c>
      <c r="CT95" s="187" t="inlineStr">
        <is>
          <t>N</t>
        </is>
      </c>
      <c r="CU95" s="187" t="n"/>
      <c r="CV95" s="187" t="n"/>
      <c r="CW95" s="1" t="n"/>
      <c r="CX95" s="1" t="n"/>
      <c r="CY95" s="1" t="n"/>
      <c r="CZ95" s="1" t="n"/>
      <c r="DA95" s="1" t="n"/>
      <c r="DB95" s="1" t="n"/>
      <c r="DC95" s="1" t="n"/>
    </row>
    <row r="96" ht="15" customFormat="1" customHeight="1" s="42">
      <c r="A96" s="43" t="inlineStr">
        <is>
          <t>avaLu(卢晗)</t>
        </is>
      </c>
      <c r="B96" s="43" t="n"/>
      <c r="C96" s="43" t="n">
        <v>67313137</v>
      </c>
      <c r="D96" s="43" t="inlineStr">
        <is>
          <t>CDG财务管理</t>
        </is>
      </c>
      <c r="E96" s="43" t="inlineStr">
        <is>
          <t>AMS客户管理中心</t>
        </is>
      </c>
      <c r="F96" s="43" t="n"/>
      <c r="G96" s="44" t="inlineStr">
        <is>
          <t>S2职能系统－财经线/CDG财务管理/AMS客户管理中心</t>
        </is>
      </c>
      <c r="H96" s="179" t="n">
        <v>43605</v>
      </c>
      <c r="I96" s="43" t="inlineStr">
        <is>
          <t>社会招聘</t>
        </is>
      </c>
      <c r="J96" s="43" t="inlineStr">
        <is>
          <t>财经类－FN</t>
        </is>
      </c>
      <c r="K96" s="43" t="inlineStr">
        <is>
          <t>财务管理</t>
        </is>
      </c>
      <c r="L96" s="46" t="inlineStr">
        <is>
          <t>S7</t>
        </is>
      </c>
      <c r="M96" s="46" t="n"/>
      <c r="N96" s="43" t="inlineStr">
        <is>
          <t>T1</t>
        </is>
      </c>
      <c r="O96" s="43" t="n"/>
      <c r="P96" s="180" t="n"/>
      <c r="Q96" s="44" t="inlineStr">
        <is>
          <t>U,G</t>
        </is>
      </c>
      <c r="R96" s="44" t="n"/>
      <c r="S96" s="43" t="n"/>
      <c r="T96" s="180" t="n"/>
      <c r="U96" s="1" t="n">
        <v>37585.4</v>
      </c>
      <c r="V96" s="108" t="n">
        <v>0.083333</v>
      </c>
      <c r="W96" s="46" t="inlineStr">
        <is>
          <t>CNY</t>
        </is>
      </c>
      <c r="X96" s="181" t="n">
        <v>1</v>
      </c>
      <c r="Y96" s="1" t="n">
        <v>34555.27</v>
      </c>
      <c r="Z96" s="1" t="n">
        <v>0</v>
      </c>
      <c r="AA96" s="1" t="n">
        <v>37585.4</v>
      </c>
      <c r="AB96" s="1" t="n">
        <v>91305</v>
      </c>
      <c r="AC96" s="48" t="n">
        <v>0</v>
      </c>
      <c r="AD96" s="1" t="n"/>
      <c r="AE96" s="48" t="n"/>
      <c r="AF96" s="1" t="n">
        <v>0</v>
      </c>
      <c r="AG96" s="1" t="n">
        <v>128890.4</v>
      </c>
      <c r="AH96" s="182" t="n">
        <v>3.729978090172642</v>
      </c>
      <c r="AI96" s="1" t="n">
        <v>128890.4</v>
      </c>
      <c r="AJ96" s="183" t="n">
        <v>3.729978090172642</v>
      </c>
      <c r="AK96" s="183" t="n">
        <v>3.729978090172642</v>
      </c>
      <c r="AL96" s="108" t="n"/>
      <c r="AM96" s="183" t="n"/>
      <c r="AN96" s="183" t="n"/>
      <c r="AO96" s="1" t="n"/>
      <c r="AP96" s="48" t="n"/>
      <c r="AQ96" s="1" t="n">
        <v>128890.4</v>
      </c>
      <c r="AR96" s="183" t="n">
        <v>3.729978090172642</v>
      </c>
      <c r="AS96" s="98" t="n">
        <v>0.7000157501697216</v>
      </c>
      <c r="AT96" s="183" t="n"/>
      <c r="AU96" s="1" t="n"/>
      <c r="AV96" s="48" t="n"/>
      <c r="AW96" s="1" t="n"/>
      <c r="AX96" s="48" t="n"/>
      <c r="AY96" s="1" t="n"/>
      <c r="AZ96" s="48" t="n"/>
      <c r="BA96" s="51" t="n"/>
      <c r="BB96" s="180" t="n"/>
      <c r="BC96" s="1" t="n"/>
      <c r="BD96" s="1" t="n"/>
      <c r="BE96" s="180" t="n"/>
      <c r="BF96" s="1" t="n"/>
      <c r="BG96" s="1" t="n"/>
      <c r="BH96" s="1" t="n"/>
      <c r="BI96" s="1" t="n"/>
      <c r="BJ96" s="52" t="n"/>
      <c r="BK96" s="52" t="n"/>
      <c r="BL96" s="184" t="n">
        <v>1</v>
      </c>
      <c r="BM96" s="1" t="n">
        <v>31340</v>
      </c>
      <c r="BN96" s="1" t="n">
        <v>0</v>
      </c>
      <c r="BO96" s="1" t="n">
        <v>31625</v>
      </c>
      <c r="BP96" s="43" t="inlineStr">
        <is>
          <t>O,G</t>
        </is>
      </c>
      <c r="BQ96" s="43" t="inlineStr">
        <is>
          <t>T1</t>
        </is>
      </c>
      <c r="BR96" s="1" t="n">
        <v>141740</v>
      </c>
      <c r="BS96" s="185" t="n">
        <v>4.522654754307594</v>
      </c>
      <c r="BT96" s="1" t="n">
        <v>42385</v>
      </c>
      <c r="BU96" s="1" t="n">
        <v>184125</v>
      </c>
      <c r="BV96" s="54" t="n">
        <v>5.875079770261647</v>
      </c>
      <c r="BW96" s="54" t="n"/>
      <c r="BX96" s="1" t="n"/>
      <c r="BY96" s="1" t="n">
        <v>184125</v>
      </c>
      <c r="BZ96" s="54" t="n">
        <v>5.875079770261647</v>
      </c>
      <c r="CA96" s="54" t="n"/>
      <c r="CB96" s="186" t="n"/>
      <c r="CC96" s="186" t="n"/>
      <c r="CD96" s="186" t="n"/>
      <c r="CE96" s="52" t="n"/>
      <c r="CF96" s="52" t="n"/>
      <c r="CG96" s="43" t="n"/>
      <c r="CH96" s="43" t="n"/>
      <c r="CI96" s="43" t="n"/>
      <c r="CJ96" s="43" t="n"/>
      <c r="CK96" s="43" t="n"/>
      <c r="CL96" s="43" t="n"/>
      <c r="CM96" s="43" t="n"/>
      <c r="CN96" s="43" t="n"/>
      <c r="CO96" s="43" t="n"/>
      <c r="CP96" s="43" t="inlineStr">
        <is>
          <t>CDG财务管理</t>
        </is>
      </c>
      <c r="CQ96" s="43" t="inlineStr">
        <is>
          <t>3,1</t>
        </is>
      </c>
      <c r="CR96" s="43" t="n">
        <v>7</v>
      </c>
      <c r="CS96" s="43" t="inlineStr">
        <is>
          <t>T1</t>
        </is>
      </c>
      <c r="CT96" s="187" t="inlineStr">
        <is>
          <t>N</t>
        </is>
      </c>
      <c r="CU96" s="187" t="n"/>
      <c r="CV96" s="187" t="n"/>
      <c r="CW96" s="1" t="n"/>
      <c r="CX96" s="1" t="n"/>
      <c r="CY96" s="1" t="n"/>
      <c r="CZ96" s="1" t="n"/>
      <c r="DA96" s="1" t="n"/>
      <c r="DB96" s="1" t="n"/>
      <c r="DC96" s="1" t="n"/>
    </row>
    <row r="97" ht="15" customFormat="1" customHeight="1" s="42">
      <c r="A97" s="43" t="inlineStr">
        <is>
          <t>rachelLiang(梁馨)</t>
        </is>
      </c>
      <c r="B97" s="43" t="n"/>
      <c r="C97" s="43" t="n">
        <v>57318711</v>
      </c>
      <c r="D97" s="43" t="inlineStr">
        <is>
          <t>CSIG财务管理</t>
        </is>
      </c>
      <c r="E97" s="43" t="inlineStr">
        <is>
          <t>产品财务管理中心</t>
        </is>
      </c>
      <c r="F97" s="43" t="n"/>
      <c r="G97" s="44" t="inlineStr">
        <is>
          <t>S2职能系统－财经线/CSIG财务管理/产品财务管理中心</t>
        </is>
      </c>
      <c r="H97" s="179" t="n">
        <v>41903</v>
      </c>
      <c r="I97" s="43" t="inlineStr">
        <is>
          <t>社会招聘</t>
        </is>
      </c>
      <c r="J97" s="43" t="inlineStr">
        <is>
          <t>财经类－FN</t>
        </is>
      </c>
      <c r="K97" s="43" t="inlineStr">
        <is>
          <t>财务管理</t>
        </is>
      </c>
      <c r="L97" s="46" t="inlineStr">
        <is>
          <t>S9</t>
        </is>
      </c>
      <c r="M97" s="46" t="n"/>
      <c r="N97" s="43" t="inlineStr">
        <is>
          <t>T1</t>
        </is>
      </c>
      <c r="O97" s="43" t="n"/>
      <c r="P97" s="180" t="n"/>
      <c r="Q97" s="44" t="inlineStr">
        <is>
          <t>G,G</t>
        </is>
      </c>
      <c r="R97" s="44" t="n"/>
      <c r="S97" s="43" t="n"/>
      <c r="T97" s="180" t="n"/>
      <c r="U97" s="1" t="n">
        <v>49673.7</v>
      </c>
      <c r="V97" s="108" t="n">
        <v>0.083333</v>
      </c>
      <c r="W97" s="46" t="inlineStr">
        <is>
          <t>CNY</t>
        </is>
      </c>
      <c r="X97" s="181" t="n">
        <v>1</v>
      </c>
      <c r="Y97" s="1" t="n">
        <v>48753.32</v>
      </c>
      <c r="Z97" s="1" t="n">
        <v>0</v>
      </c>
      <c r="AA97" s="1" t="n">
        <v>99347.39999999999</v>
      </c>
      <c r="AB97" s="1" t="n">
        <v>101730</v>
      </c>
      <c r="AC97" s="48" t="n">
        <v>59130</v>
      </c>
      <c r="AD97" s="1" t="n"/>
      <c r="AE97" s="48" t="n"/>
      <c r="AF97" s="1" t="n">
        <v>0</v>
      </c>
      <c r="AG97" s="1" t="n">
        <v>260207.4</v>
      </c>
      <c r="AH97" s="182" t="n">
        <v>5.337224213653552</v>
      </c>
      <c r="AI97" s="1" t="n">
        <v>260207.4</v>
      </c>
      <c r="AJ97" s="183" t="n">
        <v>5.337224213653552</v>
      </c>
      <c r="AK97" s="183" t="n">
        <v>4.124383734276968</v>
      </c>
      <c r="AL97" s="108" t="n"/>
      <c r="AM97" s="183" t="n"/>
      <c r="AN97" s="183" t="n"/>
      <c r="AO97" s="1" t="n"/>
      <c r="AP97" s="48" t="n"/>
      <c r="AQ97" s="1" t="n">
        <v>260207.4</v>
      </c>
      <c r="AR97" s="183" t="n">
        <v>5.337224213653552</v>
      </c>
      <c r="AS97" s="98" t="n">
        <v>0.957119894065069</v>
      </c>
      <c r="AT97" s="183" t="n"/>
      <c r="AU97" s="1" t="n"/>
      <c r="AV97" s="48" t="n"/>
      <c r="AW97" s="1" t="n"/>
      <c r="AX97" s="48" t="n"/>
      <c r="AY97" s="1" t="n"/>
      <c r="AZ97" s="48" t="n"/>
      <c r="BA97" s="51" t="n"/>
      <c r="BB97" s="180" t="n"/>
      <c r="BC97" s="1" t="n"/>
      <c r="BD97" s="1" t="n"/>
      <c r="BE97" s="180" t="n"/>
      <c r="BF97" s="1" t="n"/>
      <c r="BG97" s="1" t="n"/>
      <c r="BH97" s="1" t="n"/>
      <c r="BI97" s="1" t="n"/>
      <c r="BJ97" s="52" t="n"/>
      <c r="BK97" s="52" t="n"/>
      <c r="BL97" s="184" t="n">
        <v>1</v>
      </c>
      <c r="BM97" s="1" t="n">
        <v>40060</v>
      </c>
      <c r="BN97" s="1" t="n">
        <v>0</v>
      </c>
      <c r="BO97" s="1" t="n">
        <v>43430</v>
      </c>
      <c r="BP97" s="43" t="inlineStr">
        <is>
          <t>O,G</t>
        </is>
      </c>
      <c r="BQ97" s="43" t="inlineStr">
        <is>
          <t>T1</t>
        </is>
      </c>
      <c r="BR97" s="1" t="n">
        <v>194335</v>
      </c>
      <c r="BS97" s="185" t="n">
        <v>4.851098352471293</v>
      </c>
      <c r="BT97" s="1" t="n">
        <v>77530</v>
      </c>
      <c r="BU97" s="1" t="n">
        <v>271865</v>
      </c>
      <c r="BV97" s="54" t="n">
        <v>6.786445332001997</v>
      </c>
      <c r="BW97" s="54" t="n"/>
      <c r="BX97" s="1" t="n"/>
      <c r="BY97" s="1" t="n">
        <v>271865</v>
      </c>
      <c r="BZ97" s="54" t="n">
        <v>6.786445332001997</v>
      </c>
      <c r="CA97" s="54" t="n"/>
      <c r="CB97" s="186" t="n"/>
      <c r="CC97" s="186" t="n"/>
      <c r="CD97" s="186" t="n"/>
      <c r="CE97" s="52" t="n"/>
      <c r="CF97" s="52" t="n"/>
      <c r="CG97" s="43" t="n"/>
      <c r="CH97" s="43" t="n"/>
      <c r="CI97" s="43" t="n"/>
      <c r="CJ97" s="43" t="n"/>
      <c r="CK97" s="43" t="n"/>
      <c r="CL97" s="43" t="n"/>
      <c r="CM97" s="43" t="n"/>
      <c r="CN97" s="43" t="n"/>
      <c r="CO97" s="43" t="n"/>
      <c r="CP97" s="43" t="inlineStr">
        <is>
          <t>CSIG财务管理</t>
        </is>
      </c>
      <c r="CQ97" s="43" t="inlineStr">
        <is>
          <t>3,3</t>
        </is>
      </c>
      <c r="CR97" s="43" t="n">
        <v>9</v>
      </c>
      <c r="CS97" s="43" t="inlineStr">
        <is>
          <t>T1</t>
        </is>
      </c>
      <c r="CT97" s="187" t="inlineStr">
        <is>
          <t>N</t>
        </is>
      </c>
      <c r="CU97" s="187" t="n"/>
      <c r="CV97" s="187" t="n"/>
      <c r="CW97" s="1" t="n"/>
      <c r="CX97" s="1" t="n"/>
      <c r="CY97" s="1" t="n"/>
      <c r="CZ97" s="1" t="n"/>
      <c r="DA97" s="1" t="n"/>
      <c r="DB97" s="1" t="n"/>
      <c r="DC97" s="1" t="n"/>
    </row>
    <row r="98" ht="15" customFormat="1" customHeight="1" s="42">
      <c r="A98" s="43" t="inlineStr">
        <is>
          <t>carolineYe(叶茜)</t>
        </is>
      </c>
      <c r="B98" s="43" t="n"/>
      <c r="C98" s="43" t="n">
        <v>61654480</v>
      </c>
      <c r="D98" s="43" t="inlineStr">
        <is>
          <t>财经IT管理部</t>
        </is>
      </c>
      <c r="E98" s="43" t="inlineStr">
        <is>
          <t>业务开发中心</t>
        </is>
      </c>
      <c r="F98" s="43" t="n"/>
      <c r="G98" s="44" t="inlineStr">
        <is>
          <t>S2职能系统－财经线/财经IT管理部/业务开发中心</t>
        </is>
      </c>
      <c r="H98" s="179" t="n">
        <v>40307</v>
      </c>
      <c r="I98" s="43" t="inlineStr">
        <is>
          <t>社会招聘</t>
        </is>
      </c>
      <c r="J98" s="43" t="inlineStr">
        <is>
          <t>技术研发类－TRD</t>
        </is>
      </c>
      <c r="K98" s="43" t="inlineStr">
        <is>
          <t>应用开发</t>
        </is>
      </c>
      <c r="L98" s="46" t="inlineStr">
        <is>
          <t>T10</t>
        </is>
      </c>
      <c r="M98" s="46" t="n"/>
      <c r="N98" s="43" t="inlineStr">
        <is>
          <t>Others</t>
        </is>
      </c>
      <c r="O98" s="43" t="n"/>
      <c r="P98" s="180" t="n"/>
      <c r="Q98" s="44" t="inlineStr">
        <is>
          <t>G,U</t>
        </is>
      </c>
      <c r="R98" s="44" t="n"/>
      <c r="S98" s="43" t="n"/>
      <c r="T98" s="180" t="n"/>
      <c r="U98" s="1" t="n">
        <v>46332.75</v>
      </c>
      <c r="V98" s="108" t="n">
        <v>0.083333</v>
      </c>
      <c r="W98" s="46" t="inlineStr">
        <is>
          <t>CNY</t>
        </is>
      </c>
      <c r="X98" s="181" t="n">
        <v>1</v>
      </c>
      <c r="Y98" s="1" t="n">
        <v>42147.05</v>
      </c>
      <c r="Z98" s="1" t="n">
        <v>0</v>
      </c>
      <c r="AA98" s="1" t="n">
        <v>46332.75</v>
      </c>
      <c r="AB98" s="1" t="n">
        <v>32035</v>
      </c>
      <c r="AC98" s="48" t="n">
        <v>0</v>
      </c>
      <c r="AD98" s="1" t="n"/>
      <c r="AE98" s="48" t="n"/>
      <c r="AF98" s="1" t="n">
        <v>0</v>
      </c>
      <c r="AG98" s="1" t="n">
        <v>78367.75</v>
      </c>
      <c r="AH98" s="182" t="n">
        <v>1.859388735391919</v>
      </c>
      <c r="AI98" s="1" t="n">
        <v>78367.75</v>
      </c>
      <c r="AJ98" s="183" t="n">
        <v>1.859388735391919</v>
      </c>
      <c r="AK98" s="183" t="n">
        <v>1.859388735391919</v>
      </c>
      <c r="AL98" s="108" t="n"/>
      <c r="AM98" s="183" t="n"/>
      <c r="AN98" s="183" t="n"/>
      <c r="AO98" s="1" t="n"/>
      <c r="AP98" s="48" t="n"/>
      <c r="AQ98" s="1" t="n">
        <v>78367.75</v>
      </c>
      <c r="AR98" s="183" t="n">
        <v>1.859388735391919</v>
      </c>
      <c r="AS98" s="98" t="n">
        <v>0.5787441843290747</v>
      </c>
      <c r="AT98" s="183" t="n"/>
      <c r="AU98" s="1" t="n"/>
      <c r="AV98" s="48" t="n"/>
      <c r="AW98" s="1" t="n"/>
      <c r="AX98" s="48" t="n"/>
      <c r="AY98" s="1" t="n"/>
      <c r="AZ98" s="48" t="n"/>
      <c r="BA98" s="51" t="n"/>
      <c r="BB98" s="180" t="n"/>
      <c r="BC98" s="1" t="n"/>
      <c r="BD98" s="1" t="n"/>
      <c r="BE98" s="180" t="n"/>
      <c r="BF98" s="1" t="n"/>
      <c r="BG98" s="1" t="n"/>
      <c r="BH98" s="1" t="n"/>
      <c r="BI98" s="1" t="n"/>
      <c r="BJ98" s="52" t="n"/>
      <c r="BK98" s="52" t="n"/>
      <c r="BL98" s="184" t="n">
        <v>1</v>
      </c>
      <c r="BM98" s="1" t="n">
        <v>39895</v>
      </c>
      <c r="BN98" s="1" t="n">
        <v>0</v>
      </c>
      <c r="BO98" s="1" t="n">
        <v>41000</v>
      </c>
      <c r="BP98" s="43" t="inlineStr">
        <is>
          <t>G,G</t>
        </is>
      </c>
      <c r="BQ98" s="43" t="inlineStr">
        <is>
          <t>Others</t>
        </is>
      </c>
      <c r="BR98" s="1" t="n">
        <v>135410</v>
      </c>
      <c r="BS98" s="185" t="n">
        <v>3.39415966913147</v>
      </c>
      <c r="BT98" s="1" t="n">
        <v>0</v>
      </c>
      <c r="BU98" s="1" t="n">
        <v>135410</v>
      </c>
      <c r="BV98" s="54" t="n">
        <v>3.39415966913147</v>
      </c>
      <c r="BW98" s="54" t="n"/>
      <c r="BX98" s="1" t="n"/>
      <c r="BY98" s="1" t="n">
        <v>135410</v>
      </c>
      <c r="BZ98" s="54" t="n">
        <v>3.39415966913147</v>
      </c>
      <c r="CA98" s="54" t="n"/>
      <c r="CB98" s="186" t="n"/>
      <c r="CC98" s="186" t="n"/>
      <c r="CD98" s="186" t="n"/>
      <c r="CE98" s="52" t="n"/>
      <c r="CF98" s="52" t="n"/>
      <c r="CG98" s="43" t="n"/>
      <c r="CH98" s="43" t="n"/>
      <c r="CI98" s="43" t="n"/>
      <c r="CJ98" s="43" t="n"/>
      <c r="CK98" s="43" t="n"/>
      <c r="CL98" s="43" t="n"/>
      <c r="CM98" s="43" t="n"/>
      <c r="CN98" s="43" t="n"/>
      <c r="CO98" s="43" t="n"/>
      <c r="CP98" s="43" t="inlineStr">
        <is>
          <t>财经IT管理部</t>
        </is>
      </c>
      <c r="CQ98" s="43" t="inlineStr">
        <is>
          <t>3,1</t>
        </is>
      </c>
      <c r="CR98" s="43" t="n">
        <v>10</v>
      </c>
      <c r="CS98" s="43" t="inlineStr">
        <is>
          <t>Others</t>
        </is>
      </c>
      <c r="CT98" s="187" t="inlineStr">
        <is>
          <t>N</t>
        </is>
      </c>
      <c r="CU98" s="187" t="n"/>
      <c r="CV98" s="187" t="n"/>
      <c r="CW98" s="1" t="n"/>
      <c r="CX98" s="1" t="n"/>
      <c r="CY98" s="1" t="n"/>
      <c r="CZ98" s="1" t="n"/>
      <c r="DA98" s="1" t="n"/>
      <c r="DB98" s="1" t="n"/>
      <c r="DC98" s="1" t="n"/>
    </row>
    <row r="99" ht="15" customFormat="1" customHeight="1" s="42">
      <c r="A99" s="43" t="inlineStr">
        <is>
          <t>juliaGao(高嘉涵)</t>
        </is>
      </c>
      <c r="B99" s="43" t="n"/>
      <c r="C99" s="43" t="n">
        <v>36653069</v>
      </c>
      <c r="D99" s="43" t="inlineStr">
        <is>
          <t>PCG财务管理</t>
        </is>
      </c>
      <c r="E99" s="43" t="inlineStr">
        <is>
          <t>在线视频财务管理中心</t>
        </is>
      </c>
      <c r="F99" s="43" t="n"/>
      <c r="G99" s="44" t="inlineStr">
        <is>
          <t>S2职能系统－财经线/PCG财务管理/在线视频财务管理中心</t>
        </is>
      </c>
      <c r="H99" s="179" t="n">
        <v>43864</v>
      </c>
      <c r="I99" s="43" t="inlineStr">
        <is>
          <t>社会招聘</t>
        </is>
      </c>
      <c r="J99" s="43" t="inlineStr">
        <is>
          <t>财经类－FN</t>
        </is>
      </c>
      <c r="K99" s="43" t="inlineStr">
        <is>
          <t>财务管理</t>
        </is>
      </c>
      <c r="L99" s="46" t="inlineStr">
        <is>
          <t>S6</t>
        </is>
      </c>
      <c r="M99" s="46" t="n"/>
      <c r="N99" s="43" t="inlineStr">
        <is>
          <t>T1</t>
        </is>
      </c>
      <c r="O99" s="43" t="n"/>
      <c r="P99" s="180" t="n"/>
      <c r="Q99" s="44" t="inlineStr">
        <is>
          <t>U,G</t>
        </is>
      </c>
      <c r="R99" s="44" t="n"/>
      <c r="S99" s="43" t="n"/>
      <c r="T99" s="180" t="n"/>
      <c r="U99" s="1" t="n">
        <v>33394.25</v>
      </c>
      <c r="V99" s="108" t="n">
        <v>0.083333</v>
      </c>
      <c r="W99" s="46" t="inlineStr">
        <is>
          <t>CNY</t>
        </is>
      </c>
      <c r="X99" s="181" t="n">
        <v>1</v>
      </c>
      <c r="Y99" s="1" t="n">
        <v>30338.72</v>
      </c>
      <c r="Z99" s="1" t="n">
        <v>0</v>
      </c>
      <c r="AA99" s="1" t="n">
        <v>33394.25</v>
      </c>
      <c r="AB99" s="1" t="n">
        <v>78230</v>
      </c>
      <c r="AC99" s="48" t="n">
        <v>0</v>
      </c>
      <c r="AD99" s="1" t="n"/>
      <c r="AE99" s="48" t="n"/>
      <c r="AF99" s="1" t="n">
        <v>0</v>
      </c>
      <c r="AG99" s="1" t="n">
        <v>111624.25</v>
      </c>
      <c r="AH99" s="182" t="n">
        <v>3.679266956549255</v>
      </c>
      <c r="AI99" s="1" t="n">
        <v>111624.25</v>
      </c>
      <c r="AJ99" s="183" t="n">
        <v>3.679266956549255</v>
      </c>
      <c r="AK99" s="183" t="n">
        <v>3.679266956549255</v>
      </c>
      <c r="AL99" s="108" t="n"/>
      <c r="AM99" s="183" t="n"/>
      <c r="AN99" s="183" t="n"/>
      <c r="AO99" s="1" t="n"/>
      <c r="AP99" s="48" t="n"/>
      <c r="AQ99" s="1" t="n">
        <v>111624.25</v>
      </c>
      <c r="AR99" s="183" t="n">
        <v>3.679266956549255</v>
      </c>
      <c r="AS99" s="98" t="n">
        <v>0.9480169009299758</v>
      </c>
      <c r="AT99" s="183" t="n"/>
      <c r="AU99" s="1" t="n"/>
      <c r="AV99" s="48" t="n"/>
      <c r="AW99" s="1" t="n"/>
      <c r="AX99" s="48" t="n"/>
      <c r="AY99" s="1" t="n"/>
      <c r="AZ99" s="48" t="n"/>
      <c r="BA99" s="51" t="n"/>
      <c r="BB99" s="180" t="n"/>
      <c r="BC99" s="1" t="n"/>
      <c r="BD99" s="1" t="n"/>
      <c r="BE99" s="180" t="n"/>
      <c r="BF99" s="1" t="n"/>
      <c r="BG99" s="1" t="n"/>
      <c r="BH99" s="1" t="n"/>
      <c r="BI99" s="1" t="n"/>
      <c r="BJ99" s="52" t="n"/>
      <c r="BK99" s="52" t="n"/>
      <c r="BL99" s="184" t="n">
        <v>1</v>
      </c>
      <c r="BM99" s="1" t="n">
        <v>26955</v>
      </c>
      <c r="BN99" s="1" t="n">
        <v>0</v>
      </c>
      <c r="BO99" s="1" t="n">
        <v>28455</v>
      </c>
      <c r="BP99" s="43" t="inlineStr">
        <is>
          <t>O,G</t>
        </is>
      </c>
      <c r="BQ99" s="43" t="inlineStr">
        <is>
          <t>Others</t>
        </is>
      </c>
      <c r="BR99" s="1" t="n">
        <v>117745</v>
      </c>
      <c r="BS99" s="185" t="n">
        <v>4.368206269708774</v>
      </c>
      <c r="BT99" s="1" t="n">
        <v>0</v>
      </c>
      <c r="BU99" s="1" t="n">
        <v>117745</v>
      </c>
      <c r="BV99" s="54" t="n">
        <v>4.368206269708774</v>
      </c>
      <c r="BW99" s="54" t="n"/>
      <c r="BX99" s="1" t="n"/>
      <c r="BY99" s="1" t="n">
        <v>117745</v>
      </c>
      <c r="BZ99" s="54" t="n">
        <v>4.368206269708774</v>
      </c>
      <c r="CA99" s="54" t="n"/>
      <c r="CB99" s="186" t="n"/>
      <c r="CC99" s="186" t="n"/>
      <c r="CD99" s="186" t="n"/>
      <c r="CE99" s="52" t="n"/>
      <c r="CF99" s="52" t="n"/>
      <c r="CG99" s="43" t="n"/>
      <c r="CH99" s="43" t="n"/>
      <c r="CI99" s="43" t="n"/>
      <c r="CJ99" s="43" t="n"/>
      <c r="CK99" s="43" t="n"/>
      <c r="CL99" s="43" t="n"/>
      <c r="CM99" s="43" t="n"/>
      <c r="CN99" s="43" t="n"/>
      <c r="CO99" s="43" t="n"/>
      <c r="CP99" s="43" t="inlineStr">
        <is>
          <t>PCG财务管理</t>
        </is>
      </c>
      <c r="CQ99" s="43" t="inlineStr">
        <is>
          <t>3,1</t>
        </is>
      </c>
      <c r="CR99" s="43" t="n">
        <v>6</v>
      </c>
      <c r="CS99" s="43" t="inlineStr">
        <is>
          <t>T1</t>
        </is>
      </c>
      <c r="CT99" s="187" t="inlineStr">
        <is>
          <t>N</t>
        </is>
      </c>
      <c r="CU99" s="187" t="n"/>
      <c r="CV99" s="187" t="n"/>
      <c r="CW99" s="1" t="n"/>
      <c r="CX99" s="1" t="n"/>
      <c r="CY99" s="1" t="n"/>
      <c r="CZ99" s="1" t="n"/>
      <c r="DA99" s="1" t="n"/>
      <c r="DB99" s="1" t="n"/>
      <c r="DC99" s="1" t="n"/>
    </row>
    <row r="100" ht="15" customFormat="1" customHeight="1" s="42">
      <c r="A100" s="43" t="inlineStr">
        <is>
          <t>loganLuo(罗坚)</t>
        </is>
      </c>
      <c r="B100" s="43" t="n"/>
      <c r="C100" s="43" t="n">
        <v>19695058</v>
      </c>
      <c r="D100" s="43" t="inlineStr">
        <is>
          <t>资金管理</t>
        </is>
      </c>
      <c r="E100" s="43" t="inlineStr">
        <is>
          <t>资金结算及风险控制中心</t>
        </is>
      </c>
      <c r="F100" s="43" t="n"/>
      <c r="G100" s="44" t="inlineStr">
        <is>
          <t>S2职能系统－财经线/资金管理/资金结算及风险控制中心</t>
        </is>
      </c>
      <c r="H100" s="179" t="n">
        <v>43979</v>
      </c>
      <c r="I100" s="43" t="inlineStr">
        <is>
          <t>高校招聘</t>
        </is>
      </c>
      <c r="J100" s="43" t="inlineStr">
        <is>
          <t>财经类－FN</t>
        </is>
      </c>
      <c r="K100" s="43" t="inlineStr">
        <is>
          <t>资金管理</t>
        </is>
      </c>
      <c r="L100" s="46" t="inlineStr">
        <is>
          <t>S5</t>
        </is>
      </c>
      <c r="M100" s="46" t="n"/>
      <c r="N100" s="43" t="inlineStr">
        <is>
          <t>T2</t>
        </is>
      </c>
      <c r="O100" s="43" t="n"/>
      <c r="P100" s="180" t="n"/>
      <c r="Q100" s="44" t="inlineStr">
        <is>
          <t>G,O</t>
        </is>
      </c>
      <c r="R100" s="44" t="n"/>
      <c r="S100" s="43" t="n"/>
      <c r="T100" s="180" t="n"/>
      <c r="U100" s="1" t="n">
        <v>23474.1</v>
      </c>
      <c r="V100" s="108" t="n">
        <v>0.083333</v>
      </c>
      <c r="W100" s="46" t="inlineStr">
        <is>
          <t>CNY</t>
        </is>
      </c>
      <c r="X100" s="181" t="n">
        <v>1</v>
      </c>
      <c r="Y100" s="1" t="n">
        <v>21269.32</v>
      </c>
      <c r="Z100" s="1" t="n">
        <v>0</v>
      </c>
      <c r="AA100" s="1" t="n">
        <v>70422.3</v>
      </c>
      <c r="AB100" s="1" t="n">
        <v>26485</v>
      </c>
      <c r="AC100" s="48" t="n">
        <v>0</v>
      </c>
      <c r="AD100" s="1" t="n"/>
      <c r="AE100" s="48" t="n"/>
      <c r="AF100" s="1" t="n">
        <v>0</v>
      </c>
      <c r="AG100" s="1" t="n">
        <v>96907.3</v>
      </c>
      <c r="AH100" s="182" t="n">
        <v>4.556201138541335</v>
      </c>
      <c r="AI100" s="1" t="n">
        <v>96907.3</v>
      </c>
      <c r="AJ100" s="183" t="n">
        <v>4.556201138541335</v>
      </c>
      <c r="AK100" s="183" t="n">
        <v>4.556201138541335</v>
      </c>
      <c r="AL100" s="108" t="n"/>
      <c r="AM100" s="183" t="n"/>
      <c r="AN100" s="183" t="n"/>
      <c r="AO100" s="1" t="n"/>
      <c r="AP100" s="48" t="n"/>
      <c r="AQ100" s="1" t="n">
        <v>96907.3</v>
      </c>
      <c r="AR100" s="183" t="n">
        <v>4.556201138541335</v>
      </c>
      <c r="AS100" s="98" t="n">
        <v>1.571767091071284</v>
      </c>
      <c r="AT100" s="183" t="n"/>
      <c r="AU100" s="1" t="n"/>
      <c r="AV100" s="48" t="n"/>
      <c r="AW100" s="1" t="n"/>
      <c r="AX100" s="48" t="n"/>
      <c r="AY100" s="1" t="n"/>
      <c r="AZ100" s="48" t="n"/>
      <c r="BA100" s="51" t="n"/>
      <c r="BB100" s="180" t="n"/>
      <c r="BC100" s="1" t="n"/>
      <c r="BD100" s="1" t="n"/>
      <c r="BE100" s="180" t="n"/>
      <c r="BF100" s="1" t="n"/>
      <c r="BG100" s="1" t="n"/>
      <c r="BH100" s="1" t="n"/>
      <c r="BI100" s="1" t="n"/>
      <c r="BJ100" s="52" t="n"/>
      <c r="BK100" s="52" t="n"/>
      <c r="BL100" s="184" t="n">
        <v>1</v>
      </c>
      <c r="BM100" s="1" t="n">
        <v>19375</v>
      </c>
      <c r="BN100" s="1" t="n">
        <v>0</v>
      </c>
      <c r="BO100" s="1" t="n">
        <v>19625</v>
      </c>
      <c r="BP100" s="43" t="inlineStr">
        <is>
          <t>G,G</t>
        </is>
      </c>
      <c r="BQ100" s="43" t="inlineStr">
        <is>
          <t>T2</t>
        </is>
      </c>
      <c r="BR100" s="1" t="n">
        <v>61655</v>
      </c>
      <c r="BS100" s="185" t="n">
        <v>3.182193548387097</v>
      </c>
      <c r="BT100" s="1" t="n">
        <v>0</v>
      </c>
      <c r="BU100" s="1" t="n">
        <v>61655</v>
      </c>
      <c r="BV100" s="54" t="n">
        <v>3.182193548387097</v>
      </c>
      <c r="BW100" s="54" t="n"/>
      <c r="BX100" s="1" t="n"/>
      <c r="BY100" s="1" t="n">
        <v>61655</v>
      </c>
      <c r="BZ100" s="54" t="n">
        <v>3.182193548387097</v>
      </c>
      <c r="CA100" s="54" t="n"/>
      <c r="CB100" s="186" t="n"/>
      <c r="CC100" s="186" t="n"/>
      <c r="CD100" s="186" t="n"/>
      <c r="CE100" s="52" t="n"/>
      <c r="CF100" s="52" t="n"/>
      <c r="CG100" s="43" t="n"/>
      <c r="CH100" s="43" t="n"/>
      <c r="CI100" s="43" t="n"/>
      <c r="CJ100" s="43" t="n"/>
      <c r="CK100" s="43" t="n"/>
      <c r="CL100" s="43" t="n"/>
      <c r="CM100" s="43" t="n"/>
      <c r="CN100" s="43" t="n"/>
      <c r="CO100" s="43" t="n"/>
      <c r="CP100" s="43" t="inlineStr">
        <is>
          <t>资金管理</t>
        </is>
      </c>
      <c r="CQ100" s="43" t="inlineStr">
        <is>
          <t>5,3</t>
        </is>
      </c>
      <c r="CR100" s="43" t="n">
        <v>5</v>
      </c>
      <c r="CS100" s="43" t="inlineStr">
        <is>
          <t>T2</t>
        </is>
      </c>
      <c r="CT100" s="187" t="inlineStr">
        <is>
          <t>N</t>
        </is>
      </c>
      <c r="CU100" s="187" t="n"/>
      <c r="CV100" s="187" t="n"/>
      <c r="CW100" s="1" t="n"/>
      <c r="CX100" s="1" t="n"/>
      <c r="CY100" s="1" t="n"/>
      <c r="CZ100" s="1" t="n"/>
      <c r="DA100" s="1" t="n"/>
      <c r="DB100" s="1" t="n"/>
      <c r="DC100" s="1" t="n"/>
    </row>
    <row r="101" ht="15" customFormat="1" customHeight="1" s="42">
      <c r="A101" s="43" t="inlineStr">
        <is>
          <t>juanHe(何强)</t>
        </is>
      </c>
      <c r="B101" s="43" t="n"/>
      <c r="C101" s="43" t="n">
        <v>67678333</v>
      </c>
      <c r="D101" s="43" t="inlineStr">
        <is>
          <t>预算及职能系统财务管理部</t>
        </is>
      </c>
      <c r="E101" s="43" t="inlineStr">
        <is>
          <t>预算管理中心</t>
        </is>
      </c>
      <c r="F101" s="43" t="n"/>
      <c r="G101" s="44" t="inlineStr">
        <is>
          <t>S2职能系统－财经线/预算及职能系统财务管理部/预算管理中心</t>
        </is>
      </c>
      <c r="H101" s="179" t="n">
        <v>43196</v>
      </c>
      <c r="I101" s="43" t="inlineStr">
        <is>
          <t>社会招聘</t>
        </is>
      </c>
      <c r="J101" s="43" t="inlineStr">
        <is>
          <t>财经类－FN</t>
        </is>
      </c>
      <c r="K101" s="43" t="inlineStr">
        <is>
          <t>预算管理</t>
        </is>
      </c>
      <c r="L101" s="46" t="inlineStr">
        <is>
          <t>S7</t>
        </is>
      </c>
      <c r="M101" s="46" t="n"/>
      <c r="N101" s="43" t="inlineStr">
        <is>
          <t>T2</t>
        </is>
      </c>
      <c r="O101" s="43" t="n"/>
      <c r="P101" s="180" t="n"/>
      <c r="Q101" s="44" t="inlineStr">
        <is>
          <t>G,G</t>
        </is>
      </c>
      <c r="R101" s="44" t="n"/>
      <c r="S101" s="43" t="n"/>
      <c r="T101" s="180" t="n"/>
      <c r="U101" s="1" t="n">
        <v>34087.65</v>
      </c>
      <c r="V101" s="108" t="n">
        <v>0.083333</v>
      </c>
      <c r="W101" s="46" t="inlineStr">
        <is>
          <t>CNY</t>
        </is>
      </c>
      <c r="X101" s="181" t="n">
        <v>1</v>
      </c>
      <c r="Y101" s="1" t="n">
        <v>32306.54</v>
      </c>
      <c r="Z101" s="1" t="n">
        <v>0</v>
      </c>
      <c r="AA101" s="1" t="n">
        <v>68175.3</v>
      </c>
      <c r="AB101" s="1" t="n">
        <v>43130</v>
      </c>
      <c r="AC101" s="48" t="n">
        <v>0</v>
      </c>
      <c r="AD101" s="1" t="n"/>
      <c r="AE101" s="48" t="n"/>
      <c r="AF101" s="1" t="n">
        <v>0</v>
      </c>
      <c r="AG101" s="1" t="n">
        <v>111305.3</v>
      </c>
      <c r="AH101" s="182" t="n">
        <v>3.445286929519534</v>
      </c>
      <c r="AI101" s="1" t="n">
        <v>111305.3</v>
      </c>
      <c r="AJ101" s="183" t="n">
        <v>3.445286929519534</v>
      </c>
      <c r="AK101" s="183" t="n">
        <v>3.445286929519534</v>
      </c>
      <c r="AL101" s="108" t="n"/>
      <c r="AM101" s="183" t="n"/>
      <c r="AN101" s="183" t="n"/>
      <c r="AO101" s="1" t="n"/>
      <c r="AP101" s="48" t="n"/>
      <c r="AQ101" s="1" t="n">
        <v>111305.3</v>
      </c>
      <c r="AR101" s="183" t="n">
        <v>3.445286929519534</v>
      </c>
      <c r="AS101" s="98" t="n">
        <v>0.8377322846498325</v>
      </c>
      <c r="AT101" s="183" t="n"/>
      <c r="AU101" s="1" t="n"/>
      <c r="AV101" s="48" t="n"/>
      <c r="AW101" s="1" t="n"/>
      <c r="AX101" s="48" t="n"/>
      <c r="AY101" s="1" t="n"/>
      <c r="AZ101" s="48" t="n"/>
      <c r="BA101" s="51" t="n"/>
      <c r="BB101" s="180" t="n"/>
      <c r="BC101" s="1" t="n"/>
      <c r="BD101" s="1" t="n"/>
      <c r="BE101" s="180" t="n"/>
      <c r="BF101" s="1" t="n"/>
      <c r="BG101" s="1" t="n"/>
      <c r="BH101" s="1" t="n"/>
      <c r="BI101" s="1" t="n"/>
      <c r="BJ101" s="52" t="n"/>
      <c r="BK101" s="52" t="n"/>
      <c r="BL101" s="184" t="n">
        <v>1</v>
      </c>
      <c r="BM101" s="1" t="n">
        <v>29865</v>
      </c>
      <c r="BN101" s="1" t="n">
        <v>0</v>
      </c>
      <c r="BO101" s="1" t="n">
        <v>31850</v>
      </c>
      <c r="BP101" s="43" t="inlineStr">
        <is>
          <t>O,G</t>
        </is>
      </c>
      <c r="BQ101" s="43" t="inlineStr">
        <is>
          <t>T2</t>
        </is>
      </c>
      <c r="BR101" s="1" t="n">
        <v>132865</v>
      </c>
      <c r="BS101" s="185" t="n">
        <v>4.448853172610079</v>
      </c>
      <c r="BT101" s="1" t="n">
        <v>0</v>
      </c>
      <c r="BU101" s="1" t="n">
        <v>132865</v>
      </c>
      <c r="BV101" s="54" t="n">
        <v>4.448853172610079</v>
      </c>
      <c r="BW101" s="54" t="n"/>
      <c r="BX101" s="1" t="n"/>
      <c r="BY101" s="1" t="n">
        <v>132865</v>
      </c>
      <c r="BZ101" s="54" t="n">
        <v>4.448853172610079</v>
      </c>
      <c r="CA101" s="54" t="n"/>
      <c r="CB101" s="186" t="n"/>
      <c r="CC101" s="186" t="n"/>
      <c r="CD101" s="186" t="n"/>
      <c r="CE101" s="52" t="n"/>
      <c r="CF101" s="52" t="n"/>
      <c r="CG101" s="43" t="n"/>
      <c r="CH101" s="43" t="n"/>
      <c r="CI101" s="43" t="n"/>
      <c r="CJ101" s="43" t="n"/>
      <c r="CK101" s="43" t="n"/>
      <c r="CL101" s="43" t="n"/>
      <c r="CM101" s="43" t="n"/>
      <c r="CN101" s="43" t="n"/>
      <c r="CO101" s="43" t="n"/>
      <c r="CP101" s="43" t="inlineStr">
        <is>
          <t>预算及职能系统财务管理部</t>
        </is>
      </c>
      <c r="CQ101" s="43" t="inlineStr">
        <is>
          <t>3,3</t>
        </is>
      </c>
      <c r="CR101" s="43" t="n">
        <v>7</v>
      </c>
      <c r="CS101" s="43" t="inlineStr">
        <is>
          <t>T2</t>
        </is>
      </c>
      <c r="CT101" s="187" t="inlineStr">
        <is>
          <t>N</t>
        </is>
      </c>
      <c r="CU101" s="187" t="n"/>
      <c r="CV101" s="187" t="n"/>
      <c r="CW101" s="1" t="n"/>
      <c r="CX101" s="1" t="n"/>
      <c r="CY101" s="1" t="n"/>
      <c r="CZ101" s="1" t="n"/>
      <c r="DA101" s="1" t="n"/>
      <c r="DB101" s="1" t="n"/>
      <c r="DC101" s="1" t="n"/>
    </row>
    <row r="102" ht="15" customFormat="1" customHeight="1" s="42">
      <c r="A102" s="43" t="inlineStr">
        <is>
          <t>rileyLiao(廖琪)</t>
        </is>
      </c>
      <c r="B102" s="43" t="n"/>
      <c r="C102" s="43" t="n">
        <v>64687592</v>
      </c>
      <c r="D102" s="43" t="inlineStr">
        <is>
          <t>财会及报告管理部</t>
        </is>
      </c>
      <c r="E102" s="43" t="inlineStr">
        <is>
          <t>海外财会管理中心</t>
        </is>
      </c>
      <c r="F102" s="43" t="n"/>
      <c r="G102" s="44" t="inlineStr">
        <is>
          <t>S2职能系统－财经线/财会及报告管理部/海外财会管理中心</t>
        </is>
      </c>
      <c r="H102" s="179" t="n">
        <v>36779</v>
      </c>
      <c r="I102" s="43" t="inlineStr">
        <is>
          <t>高校招聘</t>
        </is>
      </c>
      <c r="J102" s="43" t="inlineStr">
        <is>
          <t>财经类－FN</t>
        </is>
      </c>
      <c r="K102" s="43" t="inlineStr">
        <is>
          <t>会计</t>
        </is>
      </c>
      <c r="L102" s="46" t="inlineStr">
        <is>
          <t>S9</t>
        </is>
      </c>
      <c r="M102" s="46" t="n"/>
      <c r="N102" s="43" t="inlineStr">
        <is>
          <t>T1</t>
        </is>
      </c>
      <c r="O102" s="43" t="n"/>
      <c r="P102" s="180" t="n"/>
      <c r="Q102" s="44" t="inlineStr">
        <is>
          <t>G,O</t>
        </is>
      </c>
      <c r="R102" s="44" t="n"/>
      <c r="S102" s="43" t="n"/>
      <c r="T102" s="180" t="n"/>
      <c r="U102" s="1" t="n">
        <v>43009.9</v>
      </c>
      <c r="V102" s="108" t="n">
        <v>0.083333</v>
      </c>
      <c r="W102" s="46" t="inlineStr">
        <is>
          <t>CNY</t>
        </is>
      </c>
      <c r="X102" s="181" t="n">
        <v>1</v>
      </c>
      <c r="Y102" s="1" t="n">
        <v>42550.79</v>
      </c>
      <c r="Z102" s="1" t="n">
        <v>0</v>
      </c>
      <c r="AA102" s="1" t="n">
        <v>129029.7</v>
      </c>
      <c r="AB102" s="1" t="n">
        <v>92060</v>
      </c>
      <c r="AC102" s="48" t="n">
        <v>49715</v>
      </c>
      <c r="AD102" s="1" t="n"/>
      <c r="AE102" s="48" t="n"/>
      <c r="AF102" s="1" t="n">
        <v>0</v>
      </c>
      <c r="AG102" s="1" t="n">
        <v>270804.7</v>
      </c>
      <c r="AH102" s="182" t="n">
        <v>6.364269617555867</v>
      </c>
      <c r="AI102" s="1" t="n">
        <v>270804.7</v>
      </c>
      <c r="AJ102" s="183" t="n">
        <v>6.364269617555867</v>
      </c>
      <c r="AK102" s="183" t="n">
        <v>5.195901180683132</v>
      </c>
      <c r="AL102" s="108" t="n"/>
      <c r="AM102" s="183" t="n"/>
      <c r="AN102" s="183" t="n"/>
      <c r="AO102" s="1" t="n"/>
      <c r="AP102" s="48" t="n"/>
      <c r="AQ102" s="1" t="n">
        <v>270804.7</v>
      </c>
      <c r="AR102" s="183" t="n">
        <v>6.364269617555867</v>
      </c>
      <c r="AS102" s="98" t="n">
        <v>1.440603787636983</v>
      </c>
      <c r="AT102" s="183" t="n"/>
      <c r="AU102" s="1" t="n"/>
      <c r="AV102" s="48" t="n"/>
      <c r="AW102" s="1" t="n"/>
      <c r="AX102" s="48" t="n"/>
      <c r="AY102" s="1" t="n"/>
      <c r="AZ102" s="48" t="n"/>
      <c r="BA102" s="51" t="n"/>
      <c r="BB102" s="180" t="n"/>
      <c r="BC102" s="1" t="n"/>
      <c r="BD102" s="1" t="n"/>
      <c r="BE102" s="180" t="n"/>
      <c r="BF102" s="1" t="n"/>
      <c r="BG102" s="1" t="n"/>
      <c r="BH102" s="1" t="n"/>
      <c r="BI102" s="1" t="n"/>
      <c r="BJ102" s="52" t="n"/>
      <c r="BK102" s="52" t="n"/>
      <c r="BL102" s="184" t="n">
        <v>1</v>
      </c>
      <c r="BM102" s="1" t="n">
        <v>36620</v>
      </c>
      <c r="BN102" s="1" t="n">
        <v>0</v>
      </c>
      <c r="BO102" s="1" t="n">
        <v>38495</v>
      </c>
      <c r="BP102" s="43" t="inlineStr">
        <is>
          <t>G,G</t>
        </is>
      </c>
      <c r="BQ102" s="43" t="inlineStr">
        <is>
          <t>T1</t>
        </is>
      </c>
      <c r="BR102" s="1" t="n">
        <v>120180</v>
      </c>
      <c r="BS102" s="185" t="n">
        <v>3.281813216821409</v>
      </c>
      <c r="BT102" s="1" t="n">
        <v>67800</v>
      </c>
      <c r="BU102" s="1" t="n">
        <v>187980</v>
      </c>
      <c r="BV102" s="54" t="n">
        <v>5.133260513380666</v>
      </c>
      <c r="BW102" s="54" t="n"/>
      <c r="BX102" s="1" t="n"/>
      <c r="BY102" s="1" t="n">
        <v>187980</v>
      </c>
      <c r="BZ102" s="54" t="n">
        <v>5.133260513380666</v>
      </c>
      <c r="CA102" s="54" t="n"/>
      <c r="CB102" s="186" t="n"/>
      <c r="CC102" s="186" t="n"/>
      <c r="CD102" s="186" t="n"/>
      <c r="CE102" s="52" t="n"/>
      <c r="CF102" s="52" t="n"/>
      <c r="CG102" s="43" t="n"/>
      <c r="CH102" s="43" t="n"/>
      <c r="CI102" s="43" t="n"/>
      <c r="CJ102" s="43" t="n"/>
      <c r="CK102" s="43" t="n"/>
      <c r="CL102" s="43" t="n"/>
      <c r="CM102" s="43" t="n"/>
      <c r="CN102" s="43" t="n"/>
      <c r="CO102" s="43" t="n"/>
      <c r="CP102" s="43" t="inlineStr">
        <is>
          <t>财会及报告管理部</t>
        </is>
      </c>
      <c r="CQ102" s="43" t="inlineStr">
        <is>
          <t>5,3</t>
        </is>
      </c>
      <c r="CR102" s="43" t="n">
        <v>9</v>
      </c>
      <c r="CS102" s="43" t="inlineStr">
        <is>
          <t>T1</t>
        </is>
      </c>
      <c r="CT102" s="187" t="inlineStr">
        <is>
          <t>N</t>
        </is>
      </c>
      <c r="CU102" s="187" t="n"/>
      <c r="CV102" s="187" t="n"/>
      <c r="CW102" s="1" t="n"/>
      <c r="CX102" s="1" t="n"/>
      <c r="CY102" s="1" t="n"/>
      <c r="CZ102" s="1" t="n"/>
      <c r="DA102" s="1" t="n"/>
      <c r="DB102" s="1" t="n"/>
      <c r="DC102" s="1" t="n"/>
    </row>
    <row r="103" ht="15" customFormat="1" customHeight="1" s="42">
      <c r="A103" s="43" t="inlineStr">
        <is>
          <t>lauraRen(任燕媛)</t>
        </is>
      </c>
      <c r="B103" s="43" t="n"/>
      <c r="C103" s="43" t="n">
        <v>70106260</v>
      </c>
      <c r="D103" s="43" t="inlineStr">
        <is>
          <t>审计监察</t>
        </is>
      </c>
      <c r="E103" s="43" t="inlineStr">
        <is>
          <t>海外业务审计组</t>
        </is>
      </c>
      <c r="F103" s="43" t="n"/>
      <c r="G103" s="44" t="inlineStr">
        <is>
          <t>S2职能系统－财经线/审计监察/海外业务审计组</t>
        </is>
      </c>
      <c r="H103" s="179" t="n">
        <v>42815</v>
      </c>
      <c r="I103" s="43" t="inlineStr">
        <is>
          <t>社会招聘</t>
        </is>
      </c>
      <c r="J103" s="43" t="inlineStr">
        <is>
          <t>财经类－FN</t>
        </is>
      </c>
      <c r="K103" s="43" t="inlineStr">
        <is>
          <t>风险管理</t>
        </is>
      </c>
      <c r="L103" s="46" t="inlineStr">
        <is>
          <t>S6</t>
        </is>
      </c>
      <c r="M103" s="46" t="n"/>
      <c r="N103" s="43" t="inlineStr">
        <is>
          <t>T2</t>
        </is>
      </c>
      <c r="O103" s="43" t="n"/>
      <c r="P103" s="180" t="n"/>
      <c r="Q103" s="44" t="inlineStr">
        <is>
          <t>U,G</t>
        </is>
      </c>
      <c r="R103" s="44" t="n"/>
      <c r="S103" s="43" t="n"/>
      <c r="T103" s="180" t="n"/>
      <c r="U103" s="1" t="n">
        <v>28624.45</v>
      </c>
      <c r="V103" s="108" t="n">
        <v>0.083333</v>
      </c>
      <c r="W103" s="46" t="inlineStr">
        <is>
          <t>CNY</t>
        </is>
      </c>
      <c r="X103" s="181" t="n">
        <v>1</v>
      </c>
      <c r="Y103" s="1" t="n">
        <v>26343.02</v>
      </c>
      <c r="Z103" s="1" t="n">
        <v>0</v>
      </c>
      <c r="AA103" s="1" t="n">
        <v>28624.45</v>
      </c>
      <c r="AB103" s="1" t="n">
        <v>29150</v>
      </c>
      <c r="AC103" s="48" t="n">
        <v>0</v>
      </c>
      <c r="AD103" s="1" t="n"/>
      <c r="AE103" s="48" t="n"/>
      <c r="AF103" s="1" t="n">
        <v>0</v>
      </c>
      <c r="AG103" s="1" t="n">
        <v>57774.45</v>
      </c>
      <c r="AH103" s="182" t="n">
        <v>2.193159706062555</v>
      </c>
      <c r="AI103" s="1" t="n">
        <v>57774.45</v>
      </c>
      <c r="AJ103" s="183" t="n">
        <v>2.193159706062555</v>
      </c>
      <c r="AK103" s="183" t="n">
        <v>2.193159706062555</v>
      </c>
      <c r="AL103" s="108" t="n"/>
      <c r="AM103" s="183" t="n"/>
      <c r="AN103" s="183" t="n"/>
      <c r="AO103" s="1" t="n"/>
      <c r="AP103" s="48" t="n"/>
      <c r="AQ103" s="1" t="n">
        <v>57774.45</v>
      </c>
      <c r="AR103" s="183" t="n">
        <v>2.193159706062555</v>
      </c>
      <c r="AS103" s="98" t="n">
        <v>0.5180403496973772</v>
      </c>
      <c r="AT103" s="183" t="n"/>
      <c r="AU103" s="1" t="n"/>
      <c r="AV103" s="48" t="n"/>
      <c r="AW103" s="1" t="n"/>
      <c r="AX103" s="48" t="n"/>
      <c r="AY103" s="1" t="n"/>
      <c r="AZ103" s="48" t="n"/>
      <c r="BA103" s="51" t="n"/>
      <c r="BB103" s="180" t="n"/>
      <c r="BC103" s="1" t="n"/>
      <c r="BD103" s="1" t="n"/>
      <c r="BE103" s="180" t="n"/>
      <c r="BF103" s="1" t="n"/>
      <c r="BG103" s="1" t="n"/>
      <c r="BH103" s="1" t="n"/>
      <c r="BI103" s="1" t="n"/>
      <c r="BJ103" s="52" t="n"/>
      <c r="BK103" s="52" t="n"/>
      <c r="BL103" s="184" t="n">
        <v>1</v>
      </c>
      <c r="BM103" s="1" t="n">
        <v>23455</v>
      </c>
      <c r="BN103" s="1" t="n">
        <v>0</v>
      </c>
      <c r="BO103" s="1" t="n">
        <v>24930</v>
      </c>
      <c r="BP103" s="43" t="inlineStr">
        <is>
          <t>G,O</t>
        </is>
      </c>
      <c r="BQ103" s="43" t="inlineStr">
        <is>
          <t>T2</t>
        </is>
      </c>
      <c r="BR103" s="1" t="n">
        <v>111525</v>
      </c>
      <c r="BS103" s="185" t="n">
        <v>4.754849712214879</v>
      </c>
      <c r="BT103" s="1" t="n">
        <v>0</v>
      </c>
      <c r="BU103" s="1" t="n">
        <v>111525</v>
      </c>
      <c r="BV103" s="54" t="n">
        <v>4.754849712214879</v>
      </c>
      <c r="BW103" s="54" t="n"/>
      <c r="BX103" s="1" t="n"/>
      <c r="BY103" s="1" t="n">
        <v>111525</v>
      </c>
      <c r="BZ103" s="54" t="n">
        <v>4.754849712214879</v>
      </c>
      <c r="CA103" s="54" t="n"/>
      <c r="CB103" s="186" t="n"/>
      <c r="CC103" s="186" t="n"/>
      <c r="CD103" s="186" t="n"/>
      <c r="CE103" s="52" t="n"/>
      <c r="CF103" s="52" t="n"/>
      <c r="CG103" s="43" t="n"/>
      <c r="CH103" s="43" t="n"/>
      <c r="CI103" s="43" t="n"/>
      <c r="CJ103" s="43" t="n"/>
      <c r="CK103" s="43" t="n"/>
      <c r="CL103" s="43" t="n"/>
      <c r="CM103" s="43" t="n"/>
      <c r="CN103" s="43" t="n"/>
      <c r="CO103" s="43" t="n"/>
      <c r="CP103" s="43" t="inlineStr">
        <is>
          <t>审计监察</t>
        </is>
      </c>
      <c r="CQ103" s="43" t="inlineStr">
        <is>
          <t>3,1</t>
        </is>
      </c>
      <c r="CR103" s="43" t="n">
        <v>6</v>
      </c>
      <c r="CS103" s="43" t="inlineStr">
        <is>
          <t>T2</t>
        </is>
      </c>
      <c r="CT103" s="187" t="inlineStr">
        <is>
          <t>N</t>
        </is>
      </c>
      <c r="CU103" s="187" t="n"/>
      <c r="CV103" s="187" t="n"/>
      <c r="CW103" s="1" t="n"/>
      <c r="CX103" s="1" t="n"/>
      <c r="CY103" s="1" t="n"/>
      <c r="CZ103" s="1" t="n"/>
      <c r="DA103" s="1" t="n"/>
      <c r="DB103" s="1" t="n"/>
      <c r="DC103" s="1" t="n"/>
    </row>
    <row r="104" ht="15" customFormat="1" customHeight="1" s="42">
      <c r="A104" s="43" t="inlineStr">
        <is>
          <t>emilyHuang(黄雪)</t>
        </is>
      </c>
      <c r="B104" s="43" t="n"/>
      <c r="C104" s="43" t="n">
        <v>74401342</v>
      </c>
      <c r="D104" s="43" t="inlineStr">
        <is>
          <t>财会及报告管理部</t>
        </is>
      </c>
      <c r="E104" s="43" t="inlineStr">
        <is>
          <t>资产管理组</t>
        </is>
      </c>
      <c r="F104" s="43" t="n"/>
      <c r="G104" s="44" t="inlineStr">
        <is>
          <t>S2职能系统－财经线/财会及报告管理部/资产管理组</t>
        </is>
      </c>
      <c r="H104" s="179" t="n">
        <v>37875</v>
      </c>
      <c r="I104" s="43" t="inlineStr">
        <is>
          <t>社会招聘</t>
        </is>
      </c>
      <c r="J104" s="43" t="inlineStr">
        <is>
          <t>财经类－FN</t>
        </is>
      </c>
      <c r="K104" s="43" t="inlineStr">
        <is>
          <t>会计</t>
        </is>
      </c>
      <c r="L104" s="46" t="inlineStr">
        <is>
          <t>S5</t>
        </is>
      </c>
      <c r="M104" s="46" t="n"/>
      <c r="N104" s="43" t="inlineStr">
        <is>
          <t>T1#</t>
        </is>
      </c>
      <c r="O104" s="43" t="n"/>
      <c r="P104" s="180" t="n"/>
      <c r="Q104" s="44" t="inlineStr">
        <is>
          <t>U,G</t>
        </is>
      </c>
      <c r="R104" s="44" t="n"/>
      <c r="S104" s="43" t="n"/>
      <c r="T104" s="180" t="n"/>
      <c r="U104" s="1" t="n">
        <v>29657.3</v>
      </c>
      <c r="V104" s="108" t="n">
        <v>0.083333</v>
      </c>
      <c r="W104" s="46" t="inlineStr">
        <is>
          <t>CNY</t>
        </is>
      </c>
      <c r="X104" s="181" t="n">
        <v>1</v>
      </c>
      <c r="Y104" s="1" t="n">
        <v>28200.75</v>
      </c>
      <c r="Z104" s="1" t="n">
        <v>0</v>
      </c>
      <c r="AA104" s="1" t="n">
        <v>29657.3</v>
      </c>
      <c r="AB104" s="1" t="n">
        <v>91695</v>
      </c>
      <c r="AC104" s="48" t="n">
        <v>0</v>
      </c>
      <c r="AD104" s="1" t="n"/>
      <c r="AE104" s="48" t="n"/>
      <c r="AF104" s="1" t="n">
        <v>0</v>
      </c>
      <c r="AG104" s="1" t="n">
        <v>121352.3</v>
      </c>
      <c r="AH104" s="182" t="n">
        <v>4.303158603937838</v>
      </c>
      <c r="AI104" s="1" t="n">
        <v>121352.3</v>
      </c>
      <c r="AJ104" s="183" t="n">
        <v>4.303158603937838</v>
      </c>
      <c r="AK104" s="183" t="n">
        <v>4.303158603937838</v>
      </c>
      <c r="AL104" s="108" t="n"/>
      <c r="AM104" s="183" t="n"/>
      <c r="AN104" s="183" t="n"/>
      <c r="AO104" s="1" t="n"/>
      <c r="AP104" s="48" t="n"/>
      <c r="AQ104" s="1" t="n">
        <v>121352.3</v>
      </c>
      <c r="AR104" s="183" t="n">
        <v>4.303158603937838</v>
      </c>
      <c r="AS104" s="98" t="n">
        <v>0.7133964316157667</v>
      </c>
      <c r="AT104" s="183" t="n"/>
      <c r="AU104" s="1" t="n"/>
      <c r="AV104" s="48" t="n"/>
      <c r="AW104" s="1" t="n"/>
      <c r="AX104" s="48" t="n"/>
      <c r="AY104" s="1" t="n"/>
      <c r="AZ104" s="48" t="n"/>
      <c r="BA104" s="51" t="n"/>
      <c r="BB104" s="180" t="n"/>
      <c r="BC104" s="1" t="n"/>
      <c r="BD104" s="1" t="n"/>
      <c r="BE104" s="180" t="n"/>
      <c r="BF104" s="1" t="n"/>
      <c r="BG104" s="1" t="n"/>
      <c r="BH104" s="1" t="n"/>
      <c r="BI104" s="1" t="n"/>
      <c r="BJ104" s="52" t="n"/>
      <c r="BK104" s="52" t="n"/>
      <c r="BL104" s="184" t="n">
        <v>1</v>
      </c>
      <c r="BM104" s="1" t="n">
        <v>26000</v>
      </c>
      <c r="BN104" s="1" t="n">
        <v>0</v>
      </c>
      <c r="BO104" s="1" t="n">
        <v>26300</v>
      </c>
      <c r="BP104" s="43" t="inlineStr">
        <is>
          <t>G,G</t>
        </is>
      </c>
      <c r="BQ104" s="43" t="inlineStr">
        <is>
          <t>T1#</t>
        </is>
      </c>
      <c r="BR104" s="1" t="n">
        <v>132290</v>
      </c>
      <c r="BS104" s="185" t="n">
        <v>5.088076923076923</v>
      </c>
      <c r="BT104" s="1" t="n">
        <v>37815</v>
      </c>
      <c r="BU104" s="1" t="n">
        <v>170105</v>
      </c>
      <c r="BV104" s="54" t="n">
        <v>6.5425</v>
      </c>
      <c r="BW104" s="54" t="n"/>
      <c r="BX104" s="1" t="n"/>
      <c r="BY104" s="1" t="n">
        <v>170105</v>
      </c>
      <c r="BZ104" s="54" t="n">
        <v>6.5425</v>
      </c>
      <c r="CA104" s="54" t="n"/>
      <c r="CB104" s="186" t="n"/>
      <c r="CC104" s="186" t="n"/>
      <c r="CD104" s="186" t="n"/>
      <c r="CE104" s="52" t="n"/>
      <c r="CF104" s="52" t="n"/>
      <c r="CG104" s="43" t="n"/>
      <c r="CH104" s="43" t="n"/>
      <c r="CI104" s="43" t="n"/>
      <c r="CJ104" s="43" t="n"/>
      <c r="CK104" s="43" t="n"/>
      <c r="CL104" s="43" t="n"/>
      <c r="CM104" s="43" t="n"/>
      <c r="CN104" s="43" t="n"/>
      <c r="CO104" s="43" t="n"/>
      <c r="CP104" s="43" t="inlineStr">
        <is>
          <t>财会及报告管理部</t>
        </is>
      </c>
      <c r="CQ104" s="43" t="inlineStr">
        <is>
          <t>3,1</t>
        </is>
      </c>
      <c r="CR104" s="43" t="n">
        <v>5</v>
      </c>
      <c r="CS104" s="43" t="inlineStr">
        <is>
          <t>T1#</t>
        </is>
      </c>
      <c r="CT104" s="187" t="inlineStr">
        <is>
          <t>N</t>
        </is>
      </c>
      <c r="CU104" s="187" t="n"/>
      <c r="CV104" s="187" t="n"/>
      <c r="CW104" s="1" t="n"/>
      <c r="CX104" s="1" t="n"/>
      <c r="CY104" s="1" t="n"/>
      <c r="CZ104" s="1" t="n"/>
      <c r="DA104" s="1" t="n"/>
      <c r="DB104" s="1" t="n"/>
      <c r="DC104" s="1" t="n"/>
    </row>
    <row r="105" ht="15" customFormat="1" customHeight="1" s="42">
      <c r="A105" s="43" t="inlineStr">
        <is>
          <t>noraWang(王涵)</t>
        </is>
      </c>
      <c r="B105" s="43" t="n"/>
      <c r="C105" s="43" t="n">
        <v>32477024</v>
      </c>
      <c r="D105" s="43" t="inlineStr">
        <is>
          <t>财经IT管理部</t>
        </is>
      </c>
      <c r="E105" s="43" t="inlineStr">
        <is>
          <t>业务开发中心</t>
        </is>
      </c>
      <c r="F105" s="43" t="n"/>
      <c r="G105" s="44" t="inlineStr">
        <is>
          <t>S2职能系统－财经线/财经IT管理部/业务开发中心</t>
        </is>
      </c>
      <c r="H105" s="179" t="n">
        <v>36861</v>
      </c>
      <c r="I105" s="43" t="inlineStr">
        <is>
          <t>社会招聘</t>
        </is>
      </c>
      <c r="J105" s="43" t="inlineStr">
        <is>
          <t>技术研发类－TRD</t>
        </is>
      </c>
      <c r="K105" s="43" t="inlineStr">
        <is>
          <t>应用开发</t>
        </is>
      </c>
      <c r="L105" s="46" t="inlineStr">
        <is>
          <t>T12</t>
        </is>
      </c>
      <c r="M105" s="46" t="n"/>
      <c r="N105" s="43" t="inlineStr">
        <is>
          <t>T1</t>
        </is>
      </c>
      <c r="O105" s="43" t="n"/>
      <c r="P105" s="180" t="n"/>
      <c r="Q105" s="44" t="inlineStr">
        <is>
          <t>G,G</t>
        </is>
      </c>
      <c r="R105" s="44" t="n"/>
      <c r="S105" s="43" t="n"/>
      <c r="T105" s="180" t="n"/>
      <c r="U105" s="1" t="n">
        <v>61327.25</v>
      </c>
      <c r="V105" s="108" t="n">
        <v>0.083333</v>
      </c>
      <c r="W105" s="46" t="inlineStr">
        <is>
          <t>CNY</t>
        </is>
      </c>
      <c r="X105" s="181" t="n">
        <v>1</v>
      </c>
      <c r="Y105" s="1" t="n">
        <v>57608.93</v>
      </c>
      <c r="Z105" s="1" t="n">
        <v>0</v>
      </c>
      <c r="AA105" s="1" t="n">
        <v>122654.5</v>
      </c>
      <c r="AB105" s="1" t="n">
        <v>125660</v>
      </c>
      <c r="AC105" s="48" t="n">
        <v>95510</v>
      </c>
      <c r="AD105" s="1" t="n"/>
      <c r="AE105" s="48" t="n"/>
      <c r="AF105" s="1" t="n">
        <v>0</v>
      </c>
      <c r="AG105" s="1" t="n">
        <v>343824.5</v>
      </c>
      <c r="AH105" s="182" t="n">
        <v>5.968250061231826</v>
      </c>
      <c r="AI105" s="1" t="n">
        <v>343824.5</v>
      </c>
      <c r="AJ105" s="183" t="n">
        <v>5.968250061231826</v>
      </c>
      <c r="AK105" s="183" t="n">
        <v>4.310347371492579</v>
      </c>
      <c r="AL105" s="108" t="n"/>
      <c r="AM105" s="183" t="n"/>
      <c r="AN105" s="183" t="n"/>
      <c r="AO105" s="1" t="n"/>
      <c r="AP105" s="48" t="n"/>
      <c r="AQ105" s="1" t="n">
        <v>343824.5</v>
      </c>
      <c r="AR105" s="183" t="n">
        <v>5.968250061231826</v>
      </c>
      <c r="AS105" s="98" t="n">
        <v>2.05048008110687</v>
      </c>
      <c r="AT105" s="183" t="n"/>
      <c r="AU105" s="1" t="n"/>
      <c r="AV105" s="48" t="n"/>
      <c r="AW105" s="1" t="n"/>
      <c r="AX105" s="48" t="n"/>
      <c r="AY105" s="1" t="n"/>
      <c r="AZ105" s="48" t="n"/>
      <c r="BA105" s="51" t="n"/>
      <c r="BB105" s="180" t="n"/>
      <c r="BC105" s="1" t="n"/>
      <c r="BD105" s="1" t="n"/>
      <c r="BE105" s="180" t="n"/>
      <c r="BF105" s="1" t="n"/>
      <c r="BG105" s="1" t="n"/>
      <c r="BH105" s="1" t="n"/>
      <c r="BI105" s="1" t="n"/>
      <c r="BJ105" s="52" t="n"/>
      <c r="BK105" s="52" t="n"/>
      <c r="BL105" s="184" t="n">
        <v>1</v>
      </c>
      <c r="BM105" s="1" t="n">
        <v>50155</v>
      </c>
      <c r="BN105" s="1" t="n">
        <v>0</v>
      </c>
      <c r="BO105" s="1" t="n">
        <v>51355</v>
      </c>
      <c r="BP105" s="43" t="inlineStr">
        <is>
          <t>U,O</t>
        </is>
      </c>
      <c r="BQ105" s="43" t="inlineStr">
        <is>
          <t>T1</t>
        </is>
      </c>
      <c r="BR105" s="1" t="n">
        <v>167680</v>
      </c>
      <c r="BS105" s="185" t="n">
        <v>3.343235968497657</v>
      </c>
      <c r="BT105" s="1" t="n">
        <v>0</v>
      </c>
      <c r="BU105" s="1" t="n">
        <v>167680</v>
      </c>
      <c r="BV105" s="54" t="n">
        <v>3.343235968497657</v>
      </c>
      <c r="BW105" s="54" t="n"/>
      <c r="BX105" s="1" t="n"/>
      <c r="BY105" s="1" t="n">
        <v>167680</v>
      </c>
      <c r="BZ105" s="54" t="n">
        <v>3.343235968497657</v>
      </c>
      <c r="CA105" s="54" t="n"/>
      <c r="CB105" s="186" t="n"/>
      <c r="CC105" s="186" t="n"/>
      <c r="CD105" s="186" t="n"/>
      <c r="CE105" s="52" t="n"/>
      <c r="CF105" s="52" t="n"/>
      <c r="CG105" s="43" t="n"/>
      <c r="CH105" s="43" t="n"/>
      <c r="CI105" s="43" t="n"/>
      <c r="CJ105" s="43" t="n"/>
      <c r="CK105" s="43" t="n"/>
      <c r="CL105" s="43" t="n"/>
      <c r="CM105" s="43" t="n"/>
      <c r="CN105" s="43" t="n"/>
      <c r="CO105" s="43" t="n"/>
      <c r="CP105" s="43" t="inlineStr">
        <is>
          <t>财经IT管理部</t>
        </is>
      </c>
      <c r="CQ105" s="43" t="inlineStr">
        <is>
          <t>3,3</t>
        </is>
      </c>
      <c r="CR105" s="43" t="n">
        <v>12</v>
      </c>
      <c r="CS105" s="43" t="inlineStr">
        <is>
          <t>T1</t>
        </is>
      </c>
      <c r="CT105" s="187" t="inlineStr">
        <is>
          <t>N</t>
        </is>
      </c>
      <c r="CU105" s="187" t="n"/>
      <c r="CV105" s="187" t="n"/>
      <c r="CW105" s="1" t="n"/>
      <c r="CX105" s="1" t="n"/>
      <c r="CY105" s="1" t="n"/>
      <c r="CZ105" s="1" t="n"/>
      <c r="DA105" s="1" t="n"/>
      <c r="DB105" s="1" t="n"/>
      <c r="DC105" s="1" t="n"/>
    </row>
    <row r="106" ht="15" customFormat="1" customHeight="1" s="42">
      <c r="A106" s="43" t="inlineStr">
        <is>
          <t>richardHe(何宇刚)</t>
        </is>
      </c>
      <c r="B106" s="43" t="n"/>
      <c r="C106" s="43" t="n">
        <v>50938378</v>
      </c>
      <c r="D106" s="43" t="inlineStr">
        <is>
          <t>审计监察</t>
        </is>
      </c>
      <c r="E106" s="43" t="inlineStr">
        <is>
          <t>常规审计组</t>
        </is>
      </c>
      <c r="F106" s="43" t="n"/>
      <c r="G106" s="44" t="inlineStr">
        <is>
          <t>S2职能系统－财经线/审计监察/常规审计组</t>
        </is>
      </c>
      <c r="H106" s="179" t="n">
        <v>45011</v>
      </c>
      <c r="I106" s="43" t="inlineStr">
        <is>
          <t>社会招聘</t>
        </is>
      </c>
      <c r="J106" s="43" t="inlineStr">
        <is>
          <t>财经类－FN</t>
        </is>
      </c>
      <c r="K106" s="43" t="inlineStr">
        <is>
          <t>风险管理</t>
        </is>
      </c>
      <c r="L106" s="46" t="n"/>
      <c r="M106" s="46" t="inlineStr">
        <is>
          <t>L2-2</t>
        </is>
      </c>
      <c r="N106" s="43" t="inlineStr">
        <is>
          <t>T2</t>
        </is>
      </c>
      <c r="O106" s="43" t="n"/>
      <c r="P106" s="180" t="n"/>
      <c r="Q106" s="44" t="inlineStr">
        <is>
          <t>O,G</t>
        </is>
      </c>
      <c r="R106" s="44" t="n"/>
      <c r="S106" s="43" t="n"/>
      <c r="T106" s="180" t="n"/>
      <c r="U106" s="1" t="n">
        <v>75193.5</v>
      </c>
      <c r="V106" s="108" t="n">
        <v>0.083333</v>
      </c>
      <c r="W106" s="46" t="inlineStr">
        <is>
          <t>CNY</t>
        </is>
      </c>
      <c r="X106" s="181" t="n">
        <v>1</v>
      </c>
      <c r="Y106" s="1" t="n">
        <v>68804.8</v>
      </c>
      <c r="Z106" s="1" t="n">
        <v>0</v>
      </c>
      <c r="AA106" s="1" t="n">
        <v>225580.5</v>
      </c>
      <c r="AB106" s="1" t="n">
        <v>111895</v>
      </c>
      <c r="AC106" s="48" t="n">
        <v>0</v>
      </c>
      <c r="AD106" s="1" t="n"/>
      <c r="AE106" s="48" t="n"/>
      <c r="AF106" s="1" t="n">
        <v>16975</v>
      </c>
      <c r="AG106" s="1" t="n">
        <v>337475.5</v>
      </c>
      <c r="AH106" s="182" t="n">
        <v>4.904824954072971</v>
      </c>
      <c r="AI106" s="1" t="n">
        <v>354450.5</v>
      </c>
      <c r="AJ106" s="183" t="n">
        <v>5.151537392740041</v>
      </c>
      <c r="AK106" s="183" t="n">
        <v>5.151537392740041</v>
      </c>
      <c r="AL106" s="108" t="n"/>
      <c r="AM106" s="183" t="n"/>
      <c r="AN106" s="183" t="n"/>
      <c r="AO106" s="1" t="n"/>
      <c r="AP106" s="48" t="n"/>
      <c r="AQ106" s="1" t="n">
        <v>354450.5</v>
      </c>
      <c r="AR106" s="183" t="n">
        <v>5.151537392740041</v>
      </c>
      <c r="AS106" s="98" t="n">
        <v>7.03065555886145</v>
      </c>
      <c r="AT106" s="183" t="n"/>
      <c r="AU106" s="1" t="n"/>
      <c r="AV106" s="48" t="n"/>
      <c r="AW106" s="1" t="n"/>
      <c r="AX106" s="48" t="n"/>
      <c r="AY106" s="1" t="n"/>
      <c r="AZ106" s="48" t="n"/>
      <c r="BA106" s="51" t="n"/>
      <c r="BB106" s="180" t="n"/>
      <c r="BC106" s="1" t="n"/>
      <c r="BD106" s="1" t="n"/>
      <c r="BE106" s="180" t="n"/>
      <c r="BF106" s="1" t="n"/>
      <c r="BG106" s="1" t="n"/>
      <c r="BH106" s="1" t="n"/>
      <c r="BI106" s="1" t="n"/>
      <c r="BJ106" s="52" t="n"/>
      <c r="BK106" s="52" t="n"/>
      <c r="BL106" s="184" t="n">
        <v>0.7671232876712319</v>
      </c>
      <c r="BM106" s="1" t="n">
        <v>63385</v>
      </c>
      <c r="BN106" s="1" t="n">
        <v>0</v>
      </c>
      <c r="BO106" s="1" t="n">
        <v>65725</v>
      </c>
      <c r="BP106" s="43" t="inlineStr">
        <is>
          <t>G,O</t>
        </is>
      </c>
      <c r="BQ106" s="43" t="inlineStr">
        <is>
          <t>T2</t>
        </is>
      </c>
      <c r="BR106" s="1" t="n">
        <v>50415</v>
      </c>
      <c r="BS106" s="185" t="n">
        <v>0.7953774552338881</v>
      </c>
      <c r="BT106" s="1" t="n">
        <v>0</v>
      </c>
      <c r="BU106" s="1" t="n">
        <v>50415</v>
      </c>
      <c r="BV106" s="54" t="n">
        <v>0.7953774552338881</v>
      </c>
      <c r="BW106" s="54" t="n"/>
      <c r="BX106" s="1" t="n"/>
      <c r="BY106" s="1" t="n">
        <v>50415</v>
      </c>
      <c r="BZ106" s="54" t="n">
        <v>0.7953774552338881</v>
      </c>
      <c r="CA106" s="54" t="n"/>
      <c r="CB106" s="186" t="n"/>
      <c r="CC106" s="186" t="n"/>
      <c r="CD106" s="186" t="n"/>
      <c r="CE106" s="52" t="n"/>
      <c r="CF106" s="52" t="n"/>
      <c r="CG106" s="43" t="n"/>
      <c r="CH106" s="43" t="n"/>
      <c r="CI106" s="43" t="n"/>
      <c r="CJ106" s="43" t="n"/>
      <c r="CK106" s="43" t="n"/>
      <c r="CL106" s="43" t="n"/>
      <c r="CM106" s="43" t="n"/>
      <c r="CN106" s="43" t="n"/>
      <c r="CO106" s="43" t="n"/>
      <c r="CP106" s="43" t="inlineStr">
        <is>
          <t>审计监察</t>
        </is>
      </c>
      <c r="CQ106" s="43" t="inlineStr">
        <is>
          <t>5,3</t>
        </is>
      </c>
      <c r="CR106" s="43" t="inlineStr">
        <is>
          <t>L2-2</t>
        </is>
      </c>
      <c r="CS106" s="43" t="inlineStr">
        <is>
          <t>T2</t>
        </is>
      </c>
      <c r="CT106" s="187" t="inlineStr">
        <is>
          <t>N</t>
        </is>
      </c>
      <c r="CU106" s="187" t="n"/>
      <c r="CV106" s="187" t="n"/>
      <c r="CW106" s="1" t="n"/>
      <c r="CX106" s="1" t="n"/>
      <c r="CY106" s="1" t="n"/>
      <c r="CZ106" s="1" t="n"/>
      <c r="DA106" s="1" t="n"/>
      <c r="DB106" s="1" t="n"/>
      <c r="DC106" s="1" t="n"/>
    </row>
    <row r="107" ht="15" customFormat="1" customHeight="1" s="42">
      <c r="A107" s="43" t="inlineStr">
        <is>
          <t>gregoryLiang(梁华梓)</t>
        </is>
      </c>
      <c r="B107" s="43" t="n"/>
      <c r="C107" s="43" t="n">
        <v>89699150</v>
      </c>
      <c r="D107" s="43" t="inlineStr">
        <is>
          <t>CDG财务管理</t>
        </is>
      </c>
      <c r="E107" s="43" t="inlineStr">
        <is>
          <t>CDG财务管理</t>
        </is>
      </c>
      <c r="F107" s="43" t="n"/>
      <c r="G107" s="44" t="inlineStr">
        <is>
          <t>S2职能系统－财经线/CDG财务管理</t>
        </is>
      </c>
      <c r="H107" s="179" t="n">
        <v>37347</v>
      </c>
      <c r="I107" s="43" t="inlineStr">
        <is>
          <t>高校招聘</t>
        </is>
      </c>
      <c r="J107" s="43" t="inlineStr">
        <is>
          <t>财经类－FN</t>
        </is>
      </c>
      <c r="K107" s="43" t="inlineStr">
        <is>
          <t>财务管理</t>
        </is>
      </c>
      <c r="L107" s="46" t="inlineStr">
        <is>
          <t>S9</t>
        </is>
      </c>
      <c r="M107" s="46" t="n"/>
      <c r="N107" s="43" t="inlineStr">
        <is>
          <t>T1</t>
        </is>
      </c>
      <c r="O107" s="43" t="n"/>
      <c r="P107" s="180" t="n"/>
      <c r="Q107" s="44" t="inlineStr">
        <is>
          <t>G,G</t>
        </is>
      </c>
      <c r="R107" s="44" t="n"/>
      <c r="S107" s="43" t="n"/>
      <c r="T107" s="180" t="n"/>
      <c r="U107" s="1" t="n">
        <v>42870</v>
      </c>
      <c r="V107" s="108" t="n">
        <v>0.083333</v>
      </c>
      <c r="W107" s="46" t="inlineStr">
        <is>
          <t>CNY</t>
        </is>
      </c>
      <c r="X107" s="181" t="n">
        <v>1</v>
      </c>
      <c r="Y107" s="1" t="n">
        <v>41833.29</v>
      </c>
      <c r="Z107" s="1" t="n">
        <v>0</v>
      </c>
      <c r="AA107" s="1" t="n">
        <v>85740</v>
      </c>
      <c r="AB107" s="1" t="n">
        <v>103815</v>
      </c>
      <c r="AC107" s="48" t="n">
        <v>72145</v>
      </c>
      <c r="AD107" s="1" t="n"/>
      <c r="AE107" s="48" t="n"/>
      <c r="AF107" s="1" t="n">
        <v>0</v>
      </c>
      <c r="AG107" s="1" t="n">
        <v>261700</v>
      </c>
      <c r="AH107" s="182" t="n">
        <v>6.255783372524609</v>
      </c>
      <c r="AI107" s="1" t="n">
        <v>261700</v>
      </c>
      <c r="AJ107" s="183" t="n">
        <v>6.255783372524609</v>
      </c>
      <c r="AK107" s="183" t="n">
        <v>4.531199912796723</v>
      </c>
      <c r="AL107" s="108" t="n"/>
      <c r="AM107" s="183" t="n"/>
      <c r="AN107" s="183" t="n"/>
      <c r="AO107" s="1" t="n"/>
      <c r="AP107" s="48" t="n"/>
      <c r="AQ107" s="1" t="n">
        <v>261700</v>
      </c>
      <c r="AR107" s="183" t="n">
        <v>6.255783372524609</v>
      </c>
      <c r="AS107" s="98" t="n">
        <v>1.534087578404361</v>
      </c>
      <c r="AT107" s="183" t="n"/>
      <c r="AU107" s="1" t="n"/>
      <c r="AV107" s="48" t="n"/>
      <c r="AW107" s="1" t="n"/>
      <c r="AX107" s="48" t="n"/>
      <c r="AY107" s="1" t="n"/>
      <c r="AZ107" s="48" t="n"/>
      <c r="BA107" s="51" t="n"/>
      <c r="BB107" s="180" t="n"/>
      <c r="BC107" s="1" t="n"/>
      <c r="BD107" s="1" t="n"/>
      <c r="BE107" s="180" t="n"/>
      <c r="BF107" s="1" t="n"/>
      <c r="BG107" s="1" t="n"/>
      <c r="BH107" s="1" t="n"/>
      <c r="BI107" s="1" t="n"/>
      <c r="BJ107" s="52" t="n"/>
      <c r="BK107" s="52" t="n"/>
      <c r="BL107" s="184" t="n">
        <v>1</v>
      </c>
      <c r="BM107" s="1" t="n">
        <v>34365</v>
      </c>
      <c r="BN107" s="1" t="n">
        <v>0</v>
      </c>
      <c r="BO107" s="1" t="n">
        <v>34615</v>
      </c>
      <c r="BP107" s="43" t="inlineStr">
        <is>
          <t>G,G</t>
        </is>
      </c>
      <c r="BQ107" s="43" t="inlineStr">
        <is>
          <t>T1</t>
        </is>
      </c>
      <c r="BR107" s="1" t="n">
        <v>118680</v>
      </c>
      <c r="BS107" s="185" t="n">
        <v>3.453513749454387</v>
      </c>
      <c r="BT107" s="1" t="n">
        <v>51910</v>
      </c>
      <c r="BU107" s="1" t="n">
        <v>170590</v>
      </c>
      <c r="BV107" s="54" t="n">
        <v>4.964062272661137</v>
      </c>
      <c r="BW107" s="54" t="n"/>
      <c r="BX107" s="1" t="n"/>
      <c r="BY107" s="1" t="n">
        <v>170590</v>
      </c>
      <c r="BZ107" s="54" t="n">
        <v>4.964062272661137</v>
      </c>
      <c r="CA107" s="54" t="n"/>
      <c r="CB107" s="186" t="n"/>
      <c r="CC107" s="186" t="n"/>
      <c r="CD107" s="186" t="n"/>
      <c r="CE107" s="52" t="n"/>
      <c r="CF107" s="52" t="n"/>
      <c r="CG107" s="43" t="n"/>
      <c r="CH107" s="43" t="n"/>
      <c r="CI107" s="43" t="n"/>
      <c r="CJ107" s="43" t="n"/>
      <c r="CK107" s="43" t="n"/>
      <c r="CL107" s="43" t="n"/>
      <c r="CM107" s="43" t="n"/>
      <c r="CN107" s="43" t="n"/>
      <c r="CO107" s="43" t="n"/>
      <c r="CP107" s="43" t="inlineStr">
        <is>
          <t>CDG财务管理</t>
        </is>
      </c>
      <c r="CQ107" s="43" t="inlineStr">
        <is>
          <t>3,3</t>
        </is>
      </c>
      <c r="CR107" s="43" t="n">
        <v>9</v>
      </c>
      <c r="CS107" s="43" t="inlineStr">
        <is>
          <t>T1</t>
        </is>
      </c>
      <c r="CT107" s="187" t="inlineStr">
        <is>
          <t>N</t>
        </is>
      </c>
      <c r="CU107" s="187" t="n"/>
      <c r="CV107" s="187" t="n"/>
      <c r="CW107" s="1" t="n"/>
      <c r="CX107" s="1" t="n"/>
      <c r="CY107" s="1" t="n"/>
      <c r="CZ107" s="1" t="n"/>
      <c r="DA107" s="1" t="n"/>
      <c r="DB107" s="1" t="n"/>
      <c r="DC107" s="1" t="n"/>
    </row>
    <row r="108" ht="15" customFormat="1" customHeight="1" s="42">
      <c r="A108" s="43" t="inlineStr">
        <is>
          <t>karenQin(秦曼嫣)</t>
        </is>
      </c>
      <c r="B108" s="43" t="n"/>
      <c r="C108" s="43" t="n">
        <v>96387865</v>
      </c>
      <c r="D108" s="43" t="inlineStr">
        <is>
          <t>FiT财务管理</t>
        </is>
      </c>
      <c r="E108" s="43" t="inlineStr">
        <is>
          <t>结算支持中心</t>
        </is>
      </c>
      <c r="F108" s="43" t="n"/>
      <c r="G108" s="44" t="inlineStr">
        <is>
          <t>S2职能系统－财经线/FiT财务管理/结算支持中心</t>
        </is>
      </c>
      <c r="H108" s="179" t="n">
        <v>44788</v>
      </c>
      <c r="I108" s="43" t="inlineStr">
        <is>
          <t>高校招聘</t>
        </is>
      </c>
      <c r="J108" s="43" t="inlineStr">
        <is>
          <t>财经类－FN</t>
        </is>
      </c>
      <c r="K108" s="43" t="inlineStr">
        <is>
          <t>财务管理</t>
        </is>
      </c>
      <c r="L108" s="46" t="inlineStr">
        <is>
          <t>S9</t>
        </is>
      </c>
      <c r="M108" s="46" t="n"/>
      <c r="N108" s="43" t="inlineStr">
        <is>
          <t>T1</t>
        </is>
      </c>
      <c r="O108" s="43" t="n"/>
      <c r="P108" s="180" t="n"/>
      <c r="Q108" s="44" t="inlineStr">
        <is>
          <t>G,G</t>
        </is>
      </c>
      <c r="R108" s="44" t="n"/>
      <c r="S108" s="43" t="n"/>
      <c r="T108" s="180" t="n"/>
      <c r="U108" s="1" t="n">
        <v>49212.75</v>
      </c>
      <c r="V108" s="108" t="n">
        <v>0.083333</v>
      </c>
      <c r="W108" s="46" t="inlineStr">
        <is>
          <t>CNY</t>
        </is>
      </c>
      <c r="X108" s="181" t="n">
        <v>1</v>
      </c>
      <c r="Y108" s="1" t="n">
        <v>45101.37</v>
      </c>
      <c r="Z108" s="1" t="n">
        <v>0</v>
      </c>
      <c r="AA108" s="1" t="n">
        <v>98425.5</v>
      </c>
      <c r="AB108" s="1" t="n">
        <v>111760</v>
      </c>
      <c r="AC108" s="48" t="n">
        <v>63090</v>
      </c>
      <c r="AD108" s="1" t="n"/>
      <c r="AE108" s="48" t="n"/>
      <c r="AF108" s="1" t="n">
        <v>0</v>
      </c>
      <c r="AG108" s="1" t="n">
        <v>273275.5</v>
      </c>
      <c r="AH108" s="182" t="n">
        <v>6.059139666932512</v>
      </c>
      <c r="AI108" s="1" t="n">
        <v>273275.5</v>
      </c>
      <c r="AJ108" s="183" t="n">
        <v>6.059139666932512</v>
      </c>
      <c r="AK108" s="183" t="n">
        <v>4.660290807130692</v>
      </c>
      <c r="AL108" s="108" t="n"/>
      <c r="AM108" s="183" t="n"/>
      <c r="AN108" s="183" t="n"/>
      <c r="AO108" s="1" t="n"/>
      <c r="AP108" s="48" t="n"/>
      <c r="AQ108" s="1" t="n">
        <v>273275.5</v>
      </c>
      <c r="AR108" s="183" t="n">
        <v>6.059139666932512</v>
      </c>
      <c r="AS108" s="98" t="n">
        <v>3.007489132229131</v>
      </c>
      <c r="AT108" s="183" t="n"/>
      <c r="AU108" s="1" t="n"/>
      <c r="AV108" s="48" t="n"/>
      <c r="AW108" s="1" t="n"/>
      <c r="AX108" s="48" t="n"/>
      <c r="AY108" s="1" t="n"/>
      <c r="AZ108" s="48" t="n"/>
      <c r="BA108" s="51" t="n"/>
      <c r="BB108" s="180" t="n"/>
      <c r="BC108" s="1" t="n"/>
      <c r="BD108" s="1" t="n"/>
      <c r="BE108" s="180" t="n"/>
      <c r="BF108" s="1" t="n"/>
      <c r="BG108" s="1" t="n"/>
      <c r="BH108" s="1" t="n"/>
      <c r="BI108" s="1" t="n"/>
      <c r="BJ108" s="52" t="n"/>
      <c r="BK108" s="52" t="n"/>
      <c r="BL108" s="184" t="n">
        <v>1</v>
      </c>
      <c r="BM108" s="1" t="n">
        <v>41250</v>
      </c>
      <c r="BN108" s="1" t="n">
        <v>0</v>
      </c>
      <c r="BO108" s="1" t="n">
        <v>43785</v>
      </c>
      <c r="BP108" s="43" t="inlineStr">
        <is>
          <t>G,U</t>
        </is>
      </c>
      <c r="BQ108" s="43" t="inlineStr">
        <is>
          <t>T1</t>
        </is>
      </c>
      <c r="BR108" s="1" t="n">
        <v>90865</v>
      </c>
      <c r="BS108" s="185" t="n">
        <v>2.202787878787879</v>
      </c>
      <c r="BT108" s="1" t="n">
        <v>0</v>
      </c>
      <c r="BU108" s="1" t="n">
        <v>90865</v>
      </c>
      <c r="BV108" s="54" t="n">
        <v>2.202787878787879</v>
      </c>
      <c r="BW108" s="54" t="n"/>
      <c r="BX108" s="1" t="n"/>
      <c r="BY108" s="1" t="n">
        <v>90865</v>
      </c>
      <c r="BZ108" s="54" t="n">
        <v>2.202787878787879</v>
      </c>
      <c r="CA108" s="54" t="n"/>
      <c r="CB108" s="186" t="n"/>
      <c r="CC108" s="186" t="n"/>
      <c r="CD108" s="186" t="n"/>
      <c r="CE108" s="52" t="n"/>
      <c r="CF108" s="52" t="n"/>
      <c r="CG108" s="43" t="n"/>
      <c r="CH108" s="43" t="n"/>
      <c r="CI108" s="43" t="n"/>
      <c r="CJ108" s="43" t="n"/>
      <c r="CK108" s="43" t="n"/>
      <c r="CL108" s="43" t="n"/>
      <c r="CM108" s="43" t="n"/>
      <c r="CN108" s="43" t="n"/>
      <c r="CO108" s="43" t="n"/>
      <c r="CP108" s="43" t="inlineStr">
        <is>
          <t>FiT财务管理</t>
        </is>
      </c>
      <c r="CQ108" s="43" t="inlineStr">
        <is>
          <t>3,3</t>
        </is>
      </c>
      <c r="CR108" s="43" t="n">
        <v>9</v>
      </c>
      <c r="CS108" s="43" t="inlineStr">
        <is>
          <t>T1</t>
        </is>
      </c>
      <c r="CT108" s="187" t="inlineStr">
        <is>
          <t>N</t>
        </is>
      </c>
      <c r="CU108" s="187" t="n"/>
      <c r="CV108" s="187" t="n"/>
      <c r="CW108" s="1" t="n"/>
      <c r="CX108" s="1" t="n"/>
      <c r="CY108" s="1" t="n"/>
      <c r="CZ108" s="1" t="n"/>
      <c r="DA108" s="1" t="n"/>
      <c r="DB108" s="1" t="n"/>
      <c r="DC108" s="1" t="n"/>
    </row>
    <row r="109" ht="15" customFormat="1" customHeight="1" s="42">
      <c r="A109" s="43" t="inlineStr">
        <is>
          <t>donnaGao(高慧)</t>
        </is>
      </c>
      <c r="B109" s="43" t="n"/>
      <c r="C109" s="43" t="n">
        <v>58410706</v>
      </c>
      <c r="D109" s="43" t="inlineStr">
        <is>
          <t>行政支持中心</t>
        </is>
      </c>
      <c r="E109" s="43" t="inlineStr">
        <is>
          <t>秘书组</t>
        </is>
      </c>
      <c r="F109" s="43" t="n"/>
      <c r="G109" s="44" t="inlineStr">
        <is>
          <t>S2职能系统－财经线/行政支持中心/秘书组</t>
        </is>
      </c>
      <c r="H109" s="179" t="n">
        <v>43638</v>
      </c>
      <c r="I109" s="43" t="inlineStr">
        <is>
          <t>高校招聘</t>
        </is>
      </c>
      <c r="J109" s="43" t="inlineStr">
        <is>
          <t>财经类－FN</t>
        </is>
      </c>
      <c r="K109" s="43" t="inlineStr">
        <is>
          <t>公司秘书</t>
        </is>
      </c>
      <c r="L109" s="46" t="inlineStr">
        <is>
          <t>S9</t>
        </is>
      </c>
      <c r="M109" s="46" t="n"/>
      <c r="N109" s="43" t="inlineStr">
        <is>
          <t>T1</t>
        </is>
      </c>
      <c r="O109" s="43" t="n"/>
      <c r="P109" s="180" t="n"/>
      <c r="Q109" s="44" t="inlineStr">
        <is>
          <t>G,G</t>
        </is>
      </c>
      <c r="R109" s="44" t="n"/>
      <c r="S109" s="43" t="n"/>
      <c r="T109" s="180" t="n"/>
      <c r="U109" s="1" t="n">
        <v>38387.1</v>
      </c>
      <c r="V109" s="108" t="n">
        <v>0.083333</v>
      </c>
      <c r="W109" s="46" t="inlineStr">
        <is>
          <t>CNY</t>
        </is>
      </c>
      <c r="X109" s="181" t="n">
        <v>1</v>
      </c>
      <c r="Y109" s="1" t="n">
        <v>37977.01</v>
      </c>
      <c r="Z109" s="1" t="n">
        <v>0</v>
      </c>
      <c r="AA109" s="1" t="n">
        <v>76774.2</v>
      </c>
      <c r="AB109" s="1" t="n">
        <v>85615</v>
      </c>
      <c r="AC109" s="48" t="n">
        <v>56395</v>
      </c>
      <c r="AD109" s="1" t="n"/>
      <c r="AE109" s="48" t="n"/>
      <c r="AF109" s="1" t="n">
        <v>0</v>
      </c>
      <c r="AG109" s="1" t="n">
        <v>218784.2</v>
      </c>
      <c r="AH109" s="182" t="n">
        <v>5.760964330788548</v>
      </c>
      <c r="AI109" s="1" t="n">
        <v>218784.2</v>
      </c>
      <c r="AJ109" s="183" t="n">
        <v>5.760964330788548</v>
      </c>
      <c r="AK109" s="183" t="n">
        <v>4.275986972118131</v>
      </c>
      <c r="AL109" s="108" t="n"/>
      <c r="AM109" s="183" t="n"/>
      <c r="AN109" s="183" t="n"/>
      <c r="AO109" s="1" t="n"/>
      <c r="AP109" s="48" t="n"/>
      <c r="AQ109" s="1" t="n">
        <v>218784.2</v>
      </c>
      <c r="AR109" s="183" t="n">
        <v>5.760964330788548</v>
      </c>
      <c r="AS109" s="98" t="n">
        <v>1.396643472709863</v>
      </c>
      <c r="AT109" s="183" t="n"/>
      <c r="AU109" s="1" t="n"/>
      <c r="AV109" s="48" t="n"/>
      <c r="AW109" s="1" t="n"/>
      <c r="AX109" s="48" t="n"/>
      <c r="AY109" s="1" t="n"/>
      <c r="AZ109" s="48" t="n"/>
      <c r="BA109" s="51" t="n"/>
      <c r="BB109" s="180" t="n"/>
      <c r="BC109" s="1" t="n"/>
      <c r="BD109" s="1" t="n"/>
      <c r="BE109" s="180" t="n"/>
      <c r="BF109" s="1" t="n"/>
      <c r="BG109" s="1" t="n"/>
      <c r="BH109" s="1" t="n"/>
      <c r="BI109" s="1" t="n"/>
      <c r="BJ109" s="52" t="n"/>
      <c r="BK109" s="52" t="n"/>
      <c r="BL109" s="184" t="n">
        <v>1</v>
      </c>
      <c r="BM109" s="1" t="n">
        <v>33365</v>
      </c>
      <c r="BN109" s="1" t="n">
        <v>0</v>
      </c>
      <c r="BO109" s="1" t="n">
        <v>34750</v>
      </c>
      <c r="BP109" s="43" t="inlineStr">
        <is>
          <t>G,G</t>
        </is>
      </c>
      <c r="BQ109" s="43" t="inlineStr">
        <is>
          <t>T1</t>
        </is>
      </c>
      <c r="BR109" s="1" t="n">
        <v>111480</v>
      </c>
      <c r="BS109" s="185" t="n">
        <v>3.341225835456317</v>
      </c>
      <c r="BT109" s="1" t="n">
        <v>45170</v>
      </c>
      <c r="BU109" s="1" t="n">
        <v>156650</v>
      </c>
      <c r="BV109" s="54" t="n">
        <v>4.69503971227334</v>
      </c>
      <c r="BW109" s="54" t="n"/>
      <c r="BX109" s="1" t="n"/>
      <c r="BY109" s="1" t="n">
        <v>156650</v>
      </c>
      <c r="BZ109" s="54" t="n">
        <v>4.69503971227334</v>
      </c>
      <c r="CA109" s="54" t="n"/>
      <c r="CB109" s="186" t="n"/>
      <c r="CC109" s="186" t="n"/>
      <c r="CD109" s="186" t="n"/>
      <c r="CE109" s="52" t="n"/>
      <c r="CF109" s="52" t="n"/>
      <c r="CG109" s="43" t="n"/>
      <c r="CH109" s="43" t="n"/>
      <c r="CI109" s="43" t="n"/>
      <c r="CJ109" s="43" t="n"/>
      <c r="CK109" s="43" t="n"/>
      <c r="CL109" s="43" t="n"/>
      <c r="CM109" s="43" t="n"/>
      <c r="CN109" s="43" t="n"/>
      <c r="CO109" s="43" t="n"/>
      <c r="CP109" s="43" t="inlineStr">
        <is>
          <t>行政支持中心</t>
        </is>
      </c>
      <c r="CQ109" s="43" t="inlineStr">
        <is>
          <t>3,3</t>
        </is>
      </c>
      <c r="CR109" s="43" t="n">
        <v>9</v>
      </c>
      <c r="CS109" s="43" t="inlineStr">
        <is>
          <t>T1</t>
        </is>
      </c>
      <c r="CT109" s="187" t="inlineStr">
        <is>
          <t>N</t>
        </is>
      </c>
      <c r="CU109" s="187" t="n"/>
      <c r="CV109" s="187" t="n"/>
      <c r="CW109" s="1" t="n"/>
      <c r="CX109" s="1" t="n"/>
      <c r="CY109" s="1" t="n"/>
      <c r="CZ109" s="1" t="n"/>
      <c r="DA109" s="1" t="n"/>
      <c r="DB109" s="1" t="n"/>
      <c r="DC109" s="1" t="n"/>
    </row>
    <row r="110" ht="15" customFormat="1" customHeight="1" s="42">
      <c r="A110" s="43" t="inlineStr">
        <is>
          <t>lauraYe(叶青)</t>
        </is>
      </c>
      <c r="B110" s="43" t="n"/>
      <c r="C110" s="43" t="n">
        <v>75107083</v>
      </c>
      <c r="D110" s="43" t="inlineStr">
        <is>
          <t>财会及报告管理部</t>
        </is>
      </c>
      <c r="E110" s="43" t="inlineStr">
        <is>
          <t>应收管理中心</t>
        </is>
      </c>
      <c r="F110" s="43" t="n"/>
      <c r="G110" s="44" t="inlineStr">
        <is>
          <t>S2职能系统－财经线/财会及报告管理部/应收管理中心</t>
        </is>
      </c>
      <c r="H110" s="179" t="n">
        <v>36676</v>
      </c>
      <c r="I110" s="43" t="inlineStr">
        <is>
          <t>社会招聘</t>
        </is>
      </c>
      <c r="J110" s="43" t="inlineStr">
        <is>
          <t>财经类－FN</t>
        </is>
      </c>
      <c r="K110" s="43" t="inlineStr">
        <is>
          <t>会计</t>
        </is>
      </c>
      <c r="L110" s="46" t="inlineStr">
        <is>
          <t>S7</t>
        </is>
      </c>
      <c r="M110" s="46" t="n"/>
      <c r="N110" s="43" t="inlineStr">
        <is>
          <t>T1</t>
        </is>
      </c>
      <c r="O110" s="43" t="n"/>
      <c r="P110" s="180" t="n"/>
      <c r="Q110" s="44" t="inlineStr">
        <is>
          <t>O,G</t>
        </is>
      </c>
      <c r="R110" s="44" t="n"/>
      <c r="S110" s="43" t="n"/>
      <c r="T110" s="180" t="n"/>
      <c r="U110" s="1" t="n">
        <v>36803.3</v>
      </c>
      <c r="V110" s="108" t="n">
        <v>0.083333</v>
      </c>
      <c r="W110" s="46" t="inlineStr">
        <is>
          <t>CNY</t>
        </is>
      </c>
      <c r="X110" s="181" t="n">
        <v>1</v>
      </c>
      <c r="Y110" s="1" t="n">
        <v>35816.59</v>
      </c>
      <c r="Z110" s="1" t="n">
        <v>0</v>
      </c>
      <c r="AA110" s="1" t="n">
        <v>110409.9</v>
      </c>
      <c r="AB110" s="1" t="n">
        <v>75480</v>
      </c>
      <c r="AC110" s="48" t="n">
        <v>46110</v>
      </c>
      <c r="AD110" s="1" t="n"/>
      <c r="AE110" s="48" t="n"/>
      <c r="AF110" s="1" t="n">
        <v>0</v>
      </c>
      <c r="AG110" s="1" t="n">
        <v>231999.9</v>
      </c>
      <c r="AH110" s="182" t="n">
        <v>6.477442436591535</v>
      </c>
      <c r="AI110" s="1" t="n">
        <v>231999.9</v>
      </c>
      <c r="AJ110" s="183" t="n">
        <v>6.477442436591535</v>
      </c>
      <c r="AK110" s="183" t="n">
        <v>5.19005019740852</v>
      </c>
      <c r="AL110" s="108" t="n"/>
      <c r="AM110" s="183" t="n"/>
      <c r="AN110" s="183" t="n"/>
      <c r="AO110" s="1" t="n"/>
      <c r="AP110" s="48" t="n"/>
      <c r="AQ110" s="1" t="n">
        <v>231999.9</v>
      </c>
      <c r="AR110" s="183" t="n">
        <v>6.477442436591535</v>
      </c>
      <c r="AS110" s="98" t="n">
        <v>1.334061125327046</v>
      </c>
      <c r="AT110" s="183" t="n"/>
      <c r="AU110" s="1" t="n"/>
      <c r="AV110" s="48" t="n"/>
      <c r="AW110" s="1" t="n"/>
      <c r="AX110" s="48" t="n"/>
      <c r="AY110" s="1" t="n"/>
      <c r="AZ110" s="48" t="n"/>
      <c r="BA110" s="51" t="n"/>
      <c r="BB110" s="180" t="n"/>
      <c r="BC110" s="1" t="n"/>
      <c r="BD110" s="1" t="n"/>
      <c r="BE110" s="180" t="n"/>
      <c r="BF110" s="1" t="n"/>
      <c r="BG110" s="1" t="n"/>
      <c r="BH110" s="1" t="n"/>
      <c r="BI110" s="1" t="n"/>
      <c r="BJ110" s="52" t="n"/>
      <c r="BK110" s="52" t="n"/>
      <c r="BL110" s="184" t="n">
        <v>1</v>
      </c>
      <c r="BM110" s="1" t="n">
        <v>29945</v>
      </c>
      <c r="BN110" s="1" t="n">
        <v>0</v>
      </c>
      <c r="BO110" s="1" t="n">
        <v>30985</v>
      </c>
      <c r="BP110" s="43" t="inlineStr">
        <is>
          <t>G,O</t>
        </is>
      </c>
      <c r="BQ110" s="43" t="inlineStr">
        <is>
          <t>T1</t>
        </is>
      </c>
      <c r="BR110" s="1" t="n">
        <v>129145</v>
      </c>
      <c r="BS110" s="185" t="n">
        <v>4.31274002337619</v>
      </c>
      <c r="BT110" s="1" t="n">
        <v>44760</v>
      </c>
      <c r="BU110" s="1" t="n">
        <v>173905</v>
      </c>
      <c r="BV110" s="54" t="n">
        <v>5.807480380697946</v>
      </c>
      <c r="BW110" s="54" t="n"/>
      <c r="BX110" s="1" t="n"/>
      <c r="BY110" s="1" t="n">
        <v>173905</v>
      </c>
      <c r="BZ110" s="54" t="n">
        <v>5.807480380697946</v>
      </c>
      <c r="CA110" s="54" t="n"/>
      <c r="CB110" s="186" t="n"/>
      <c r="CC110" s="186" t="n"/>
      <c r="CD110" s="186" t="n"/>
      <c r="CE110" s="52" t="n"/>
      <c r="CF110" s="52" t="n"/>
      <c r="CG110" s="43" t="n"/>
      <c r="CH110" s="43" t="n"/>
      <c r="CI110" s="43" t="n"/>
      <c r="CJ110" s="43" t="n"/>
      <c r="CK110" s="43" t="n"/>
      <c r="CL110" s="43" t="n"/>
      <c r="CM110" s="43" t="n"/>
      <c r="CN110" s="43" t="n"/>
      <c r="CO110" s="43" t="n"/>
      <c r="CP110" s="43" t="inlineStr">
        <is>
          <t>财会及报告管理部</t>
        </is>
      </c>
      <c r="CQ110" s="43" t="inlineStr">
        <is>
          <t>5,3</t>
        </is>
      </c>
      <c r="CR110" s="43" t="n">
        <v>7</v>
      </c>
      <c r="CS110" s="43" t="inlineStr">
        <is>
          <t>T1</t>
        </is>
      </c>
      <c r="CT110" s="187" t="inlineStr">
        <is>
          <t>N</t>
        </is>
      </c>
      <c r="CU110" s="187" t="n"/>
      <c r="CV110" s="187" t="n"/>
      <c r="CW110" s="1" t="n"/>
      <c r="CX110" s="1" t="n"/>
      <c r="CY110" s="1" t="n"/>
      <c r="CZ110" s="1" t="n"/>
      <c r="DA110" s="1" t="n"/>
      <c r="DB110" s="1" t="n"/>
      <c r="DC110" s="1" t="n"/>
    </row>
    <row r="111" ht="15" customFormat="1" customHeight="1" s="42">
      <c r="A111" s="43" t="inlineStr">
        <is>
          <t>sophiaLi(李玉梦)</t>
        </is>
      </c>
      <c r="B111" s="43" t="n"/>
      <c r="C111" s="43" t="n">
        <v>50280560</v>
      </c>
      <c r="D111" s="43" t="inlineStr">
        <is>
          <t>财经投资并购及管理部</t>
        </is>
      </c>
      <c r="E111" s="43" t="inlineStr">
        <is>
          <t>行业及项目管理中心</t>
        </is>
      </c>
      <c r="F111" s="43" t="n"/>
      <c r="G111" s="44" t="inlineStr">
        <is>
          <t>S2职能系统－财经线/财经投资并购及管理部/行业及项目管理中心</t>
        </is>
      </c>
      <c r="H111" s="179" t="n">
        <v>40062</v>
      </c>
      <c r="I111" s="43" t="inlineStr">
        <is>
          <t>社会招聘</t>
        </is>
      </c>
      <c r="J111" s="43" t="inlineStr">
        <is>
          <t>财经类－FN</t>
        </is>
      </c>
      <c r="K111" s="43" t="inlineStr">
        <is>
          <t>投资并购</t>
        </is>
      </c>
      <c r="L111" s="46" t="inlineStr">
        <is>
          <t>S5</t>
        </is>
      </c>
      <c r="M111" s="46" t="n"/>
      <c r="N111" s="43" t="inlineStr">
        <is>
          <t>Others</t>
        </is>
      </c>
      <c r="O111" s="43" t="n"/>
      <c r="P111" s="180" t="n"/>
      <c r="Q111" s="44" t="inlineStr">
        <is>
          <t>O,G</t>
        </is>
      </c>
      <c r="R111" s="44" t="n"/>
      <c r="S111" s="43" t="n"/>
      <c r="T111" s="180" t="n"/>
      <c r="U111" s="1" t="n">
        <v>26400.8</v>
      </c>
      <c r="V111" s="108" t="n">
        <v>0.083333</v>
      </c>
      <c r="W111" s="46" t="inlineStr">
        <is>
          <t>CNY</t>
        </is>
      </c>
      <c r="X111" s="181" t="n">
        <v>1</v>
      </c>
      <c r="Y111" s="1" t="n">
        <v>25727.4</v>
      </c>
      <c r="Z111" s="1" t="n">
        <v>0</v>
      </c>
      <c r="AA111" s="1" t="n">
        <v>79202.39999999999</v>
      </c>
      <c r="AB111" s="1" t="n">
        <v>22265</v>
      </c>
      <c r="AC111" s="48" t="n">
        <v>0</v>
      </c>
      <c r="AD111" s="1" t="n"/>
      <c r="AE111" s="48" t="n"/>
      <c r="AF111" s="1" t="n">
        <v>0</v>
      </c>
      <c r="AG111" s="1" t="n">
        <v>101467.4</v>
      </c>
      <c r="AH111" s="182" t="n">
        <v>3.94394303349736</v>
      </c>
      <c r="AI111" s="1" t="n">
        <v>101467.4</v>
      </c>
      <c r="AJ111" s="183" t="n">
        <v>3.94394303349736</v>
      </c>
      <c r="AK111" s="183" t="n">
        <v>3.94394303349736</v>
      </c>
      <c r="AL111" s="108" t="n"/>
      <c r="AM111" s="183" t="n"/>
      <c r="AN111" s="183" t="n"/>
      <c r="AO111" s="1" t="n"/>
      <c r="AP111" s="48" t="n"/>
      <c r="AQ111" s="1" t="n">
        <v>101467.4</v>
      </c>
      <c r="AR111" s="183" t="n">
        <v>3.94394303349736</v>
      </c>
      <c r="AS111" s="98" t="n">
        <v>0.6488307702145346</v>
      </c>
      <c r="AT111" s="183" t="n"/>
      <c r="AU111" s="1" t="n"/>
      <c r="AV111" s="48" t="n"/>
      <c r="AW111" s="1" t="n"/>
      <c r="AX111" s="48" t="n"/>
      <c r="AY111" s="1" t="n"/>
      <c r="AZ111" s="48" t="n"/>
      <c r="BA111" s="51" t="n"/>
      <c r="BB111" s="180" t="n"/>
      <c r="BC111" s="1" t="n"/>
      <c r="BD111" s="1" t="n"/>
      <c r="BE111" s="180" t="n"/>
      <c r="BF111" s="1" t="n"/>
      <c r="BG111" s="1" t="n"/>
      <c r="BH111" s="1" t="n"/>
      <c r="BI111" s="1" t="n"/>
      <c r="BJ111" s="52" t="n"/>
      <c r="BK111" s="52" t="n"/>
      <c r="BL111" s="184" t="n">
        <v>1</v>
      </c>
      <c r="BM111" s="1" t="n">
        <v>21280</v>
      </c>
      <c r="BN111" s="1" t="n">
        <v>0</v>
      </c>
      <c r="BO111" s="1" t="n">
        <v>22365</v>
      </c>
      <c r="BP111" s="43" t="inlineStr">
        <is>
          <t>G,G</t>
        </is>
      </c>
      <c r="BQ111" s="43" t="inlineStr">
        <is>
          <t>T1#</t>
        </is>
      </c>
      <c r="BR111" s="1" t="n">
        <v>114690</v>
      </c>
      <c r="BS111" s="185" t="n">
        <v>5.389567669172933</v>
      </c>
      <c r="BT111" s="1" t="n">
        <v>41695</v>
      </c>
      <c r="BU111" s="1" t="n">
        <v>156385</v>
      </c>
      <c r="BV111" s="54" t="n">
        <v>7.348919172932331</v>
      </c>
      <c r="BW111" s="54" t="n"/>
      <c r="BX111" s="1" t="n"/>
      <c r="BY111" s="1" t="n">
        <v>156385</v>
      </c>
      <c r="BZ111" s="54" t="n">
        <v>7.348919172932331</v>
      </c>
      <c r="CA111" s="54" t="n"/>
      <c r="CB111" s="186" t="n"/>
      <c r="CC111" s="186" t="n"/>
      <c r="CD111" s="186" t="n"/>
      <c r="CE111" s="52" t="n"/>
      <c r="CF111" s="52" t="n"/>
      <c r="CG111" s="43" t="n"/>
      <c r="CH111" s="43" t="n"/>
      <c r="CI111" s="43" t="n"/>
      <c r="CJ111" s="43" t="n"/>
      <c r="CK111" s="43" t="n"/>
      <c r="CL111" s="43" t="n"/>
      <c r="CM111" s="43" t="n"/>
      <c r="CN111" s="43" t="n"/>
      <c r="CO111" s="43" t="n"/>
      <c r="CP111" s="43" t="inlineStr">
        <is>
          <t>财经投资并购及管理部</t>
        </is>
      </c>
      <c r="CQ111" s="43" t="inlineStr">
        <is>
          <t>5,3</t>
        </is>
      </c>
      <c r="CR111" s="43" t="n">
        <v>5</v>
      </c>
      <c r="CS111" s="43" t="inlineStr">
        <is>
          <t>Others</t>
        </is>
      </c>
      <c r="CT111" s="187" t="inlineStr">
        <is>
          <t>N</t>
        </is>
      </c>
      <c r="CU111" s="187" t="n"/>
      <c r="CV111" s="187" t="n"/>
      <c r="CW111" s="1" t="n"/>
      <c r="CX111" s="1" t="n"/>
      <c r="CY111" s="1" t="n"/>
      <c r="CZ111" s="1" t="n"/>
      <c r="DA111" s="1" t="n"/>
      <c r="DB111" s="1" t="n"/>
      <c r="DC111" s="1" t="n"/>
    </row>
    <row r="112" ht="15" customFormat="1" customHeight="1" s="42">
      <c r="A112" s="43" t="inlineStr">
        <is>
          <t>kathrynLong(龙琳)</t>
        </is>
      </c>
      <c r="B112" s="43" t="n"/>
      <c r="C112" s="43" t="n">
        <v>87603918</v>
      </c>
      <c r="D112" s="43" t="inlineStr">
        <is>
          <t>财会及报告管理部</t>
        </is>
      </c>
      <c r="E112" s="43" t="inlineStr">
        <is>
          <t>应收管理中心</t>
        </is>
      </c>
      <c r="F112" s="43" t="n"/>
      <c r="G112" s="44" t="inlineStr">
        <is>
          <t>S2职能系统－财经线/财会及报告管理部/应收管理中心</t>
        </is>
      </c>
      <c r="H112" s="179" t="n">
        <v>41264</v>
      </c>
      <c r="I112" s="43" t="inlineStr">
        <is>
          <t>高校招聘</t>
        </is>
      </c>
      <c r="J112" s="43" t="inlineStr">
        <is>
          <t>财经类－FN</t>
        </is>
      </c>
      <c r="K112" s="43" t="inlineStr">
        <is>
          <t>会计</t>
        </is>
      </c>
      <c r="L112" s="46" t="inlineStr">
        <is>
          <t>S11</t>
        </is>
      </c>
      <c r="M112" s="46" t="n"/>
      <c r="N112" s="43" t="inlineStr">
        <is>
          <t>T1#</t>
        </is>
      </c>
      <c r="O112" s="43" t="n"/>
      <c r="P112" s="180" t="n"/>
      <c r="Q112" s="44" t="inlineStr">
        <is>
          <t>G,G</t>
        </is>
      </c>
      <c r="R112" s="44" t="n"/>
      <c r="S112" s="43" t="n"/>
      <c r="T112" s="180" t="n"/>
      <c r="U112" s="1" t="n">
        <v>58206.55</v>
      </c>
      <c r="V112" s="108" t="n">
        <v>0.083333</v>
      </c>
      <c r="W112" s="46" t="inlineStr">
        <is>
          <t>CNY</t>
        </is>
      </c>
      <c r="X112" s="181" t="n">
        <v>1</v>
      </c>
      <c r="Y112" s="1" t="n">
        <v>52975.86</v>
      </c>
      <c r="Z112" s="1" t="n">
        <v>0</v>
      </c>
      <c r="AA112" s="1" t="n">
        <v>116413.1</v>
      </c>
      <c r="AB112" s="1" t="n">
        <v>190125</v>
      </c>
      <c r="AC112" s="48" t="n">
        <v>101595</v>
      </c>
      <c r="AD112" s="1" t="n"/>
      <c r="AE112" s="48" t="n"/>
      <c r="AF112" s="1" t="n">
        <v>0</v>
      </c>
      <c r="AG112" s="1" t="n">
        <v>408133.1</v>
      </c>
      <c r="AH112" s="182" t="n">
        <v>7.704133543089248</v>
      </c>
      <c r="AI112" s="1" t="n">
        <v>408133.1</v>
      </c>
      <c r="AJ112" s="183" t="n">
        <v>7.704133543089248</v>
      </c>
      <c r="AK112" s="183" t="n">
        <v>5.786373265106031</v>
      </c>
      <c r="AL112" s="108" t="n"/>
      <c r="AM112" s="183" t="n"/>
      <c r="AN112" s="183" t="n"/>
      <c r="AO112" s="1" t="n"/>
      <c r="AP112" s="48" t="n"/>
      <c r="AQ112" s="1" t="n">
        <v>408133.1</v>
      </c>
      <c r="AR112" s="183" t="n">
        <v>7.704133543089248</v>
      </c>
      <c r="AS112" s="98" t="n">
        <v>1.915173740644283</v>
      </c>
      <c r="AT112" s="183" t="n"/>
      <c r="AU112" s="1" t="n"/>
      <c r="AV112" s="48" t="n"/>
      <c r="AW112" s="1" t="n"/>
      <c r="AX112" s="48" t="n"/>
      <c r="AY112" s="1" t="n"/>
      <c r="AZ112" s="48" t="n"/>
      <c r="BA112" s="51" t="n"/>
      <c r="BB112" s="180" t="n"/>
      <c r="BC112" s="1" t="n"/>
      <c r="BD112" s="1" t="n"/>
      <c r="BE112" s="180" t="n"/>
      <c r="BF112" s="1" t="n"/>
      <c r="BG112" s="1" t="n"/>
      <c r="BH112" s="1" t="n"/>
      <c r="BI112" s="1" t="n"/>
      <c r="BJ112" s="52" t="n"/>
      <c r="BK112" s="52" t="n"/>
      <c r="BL112" s="184" t="n">
        <v>1</v>
      </c>
      <c r="BM112" s="1" t="n">
        <v>51105</v>
      </c>
      <c r="BN112" s="1" t="n">
        <v>0</v>
      </c>
      <c r="BO112" s="1" t="n">
        <v>51670</v>
      </c>
      <c r="BP112" s="43" t="inlineStr">
        <is>
          <t>U,G</t>
        </is>
      </c>
      <c r="BQ112" s="43" t="inlineStr">
        <is>
          <t>T1#</t>
        </is>
      </c>
      <c r="BR112" s="1" t="n">
        <v>213105</v>
      </c>
      <c r="BS112" s="185" t="n">
        <v>4.169944232462577</v>
      </c>
      <c r="BT112" s="1" t="n">
        <v>0</v>
      </c>
      <c r="BU112" s="1" t="n">
        <v>213105</v>
      </c>
      <c r="BV112" s="54" t="n">
        <v>4.169944232462577</v>
      </c>
      <c r="BW112" s="54" t="n"/>
      <c r="BX112" s="1" t="n"/>
      <c r="BY112" s="1" t="n">
        <v>213105</v>
      </c>
      <c r="BZ112" s="54" t="n">
        <v>4.169944232462577</v>
      </c>
      <c r="CA112" s="54" t="n"/>
      <c r="CB112" s="186" t="n"/>
      <c r="CC112" s="186" t="n"/>
      <c r="CD112" s="186" t="n"/>
      <c r="CE112" s="52" t="n"/>
      <c r="CF112" s="52" t="n"/>
      <c r="CG112" s="43" t="n"/>
      <c r="CH112" s="43" t="n"/>
      <c r="CI112" s="43" t="n"/>
      <c r="CJ112" s="43" t="n"/>
      <c r="CK112" s="43" t="n"/>
      <c r="CL112" s="43" t="n"/>
      <c r="CM112" s="43" t="n"/>
      <c r="CN112" s="43" t="n"/>
      <c r="CO112" s="43" t="n"/>
      <c r="CP112" s="43" t="inlineStr">
        <is>
          <t>财会及报告管理部</t>
        </is>
      </c>
      <c r="CQ112" s="43" t="inlineStr">
        <is>
          <t>3,3</t>
        </is>
      </c>
      <c r="CR112" s="43" t="n">
        <v>11</v>
      </c>
      <c r="CS112" s="43" t="inlineStr">
        <is>
          <t>T1#</t>
        </is>
      </c>
      <c r="CT112" s="187" t="inlineStr">
        <is>
          <t>N</t>
        </is>
      </c>
      <c r="CU112" s="187" t="n"/>
      <c r="CV112" s="187" t="n"/>
      <c r="CW112" s="1" t="n"/>
      <c r="CX112" s="1" t="n"/>
      <c r="CY112" s="1" t="n"/>
      <c r="CZ112" s="1" t="n"/>
      <c r="DA112" s="1" t="n"/>
      <c r="DB112" s="1" t="n"/>
      <c r="DC112" s="1" t="n"/>
    </row>
    <row r="113" ht="15" customFormat="1" customHeight="1" s="42">
      <c r="A113" s="43" t="inlineStr">
        <is>
          <t>elenaTan(谭涵)</t>
        </is>
      </c>
      <c r="B113" s="43" t="n"/>
      <c r="C113" s="43" t="n">
        <v>37988504</v>
      </c>
      <c r="D113" s="43" t="inlineStr">
        <is>
          <t>财会及报告管理部</t>
        </is>
      </c>
      <c r="E113" s="43" t="inlineStr">
        <is>
          <t>员工报销服务中心</t>
        </is>
      </c>
      <c r="F113" s="43" t="n"/>
      <c r="G113" s="44" t="inlineStr">
        <is>
          <t>S2职能系统－财经线/财会及报告管理部/员工报销服务中心</t>
        </is>
      </c>
      <c r="H113" s="179" t="n">
        <v>43351</v>
      </c>
      <c r="I113" s="43" t="inlineStr">
        <is>
          <t>高校招聘</t>
        </is>
      </c>
      <c r="J113" s="43" t="inlineStr">
        <is>
          <t>财经类－FN</t>
        </is>
      </c>
      <c r="K113" s="43" t="inlineStr">
        <is>
          <t>会计</t>
        </is>
      </c>
      <c r="L113" s="46" t="inlineStr">
        <is>
          <t>S11</t>
        </is>
      </c>
      <c r="M113" s="46" t="n"/>
      <c r="N113" s="43" t="inlineStr">
        <is>
          <t>T1</t>
        </is>
      </c>
      <c r="O113" s="43" t="n"/>
      <c r="P113" s="180" t="n"/>
      <c r="Q113" s="44" t="inlineStr">
        <is>
          <t>G,O</t>
        </is>
      </c>
      <c r="R113" s="44" t="n"/>
      <c r="S113" s="43" t="n"/>
      <c r="T113" s="180" t="n"/>
      <c r="U113" s="1" t="n">
        <v>49332.5</v>
      </c>
      <c r="V113" s="108" t="n">
        <v>0.083333</v>
      </c>
      <c r="W113" s="46" t="inlineStr">
        <is>
          <t>CNY</t>
        </is>
      </c>
      <c r="X113" s="181" t="n">
        <v>1</v>
      </c>
      <c r="Y113" s="1" t="n">
        <v>47536.53</v>
      </c>
      <c r="Z113" s="1" t="n">
        <v>0</v>
      </c>
      <c r="AA113" s="1" t="n">
        <v>147997.5</v>
      </c>
      <c r="AB113" s="1" t="n">
        <v>101525</v>
      </c>
      <c r="AC113" s="48" t="n">
        <v>95980</v>
      </c>
      <c r="AD113" s="1" t="n"/>
      <c r="AE113" s="48" t="n"/>
      <c r="AF113" s="1" t="n">
        <v>0</v>
      </c>
      <c r="AG113" s="1" t="n">
        <v>345502.5</v>
      </c>
      <c r="AH113" s="182" t="n">
        <v>7.268147254332615</v>
      </c>
      <c r="AI113" s="1" t="n">
        <v>345502.5</v>
      </c>
      <c r="AJ113" s="183" t="n">
        <v>7.268147254332615</v>
      </c>
      <c r="AK113" s="183" t="n">
        <v>5.249068453250585</v>
      </c>
      <c r="AL113" s="108" t="n"/>
      <c r="AM113" s="183" t="n"/>
      <c r="AN113" s="183" t="n"/>
      <c r="AO113" s="1" t="n"/>
      <c r="AP113" s="48" t="n"/>
      <c r="AQ113" s="1" t="n">
        <v>345502.5</v>
      </c>
      <c r="AR113" s="183" t="n">
        <v>7.268147254332615</v>
      </c>
      <c r="AS113" s="98" t="n">
        <v>1.442930526843325</v>
      </c>
      <c r="AT113" s="183" t="n"/>
      <c r="AU113" s="1" t="n"/>
      <c r="AV113" s="48" t="n"/>
      <c r="AW113" s="1" t="n"/>
      <c r="AX113" s="48" t="n"/>
      <c r="AY113" s="1" t="n"/>
      <c r="AZ113" s="48" t="n"/>
      <c r="BA113" s="51" t="n"/>
      <c r="BB113" s="180" t="n"/>
      <c r="BC113" s="1" t="n"/>
      <c r="BD113" s="1" t="n"/>
      <c r="BE113" s="180" t="n"/>
      <c r="BF113" s="1" t="n"/>
      <c r="BG113" s="1" t="n"/>
      <c r="BH113" s="1" t="n"/>
      <c r="BI113" s="1" t="n"/>
      <c r="BJ113" s="52" t="n"/>
      <c r="BK113" s="52" t="n"/>
      <c r="BL113" s="184" t="n">
        <v>1</v>
      </c>
      <c r="BM113" s="1" t="n">
        <v>41780</v>
      </c>
      <c r="BN113" s="1" t="n">
        <v>0</v>
      </c>
      <c r="BO113" s="1" t="n">
        <v>45010</v>
      </c>
      <c r="BP113" s="43" t="inlineStr">
        <is>
          <t>G,G</t>
        </is>
      </c>
      <c r="BQ113" s="43" t="inlineStr">
        <is>
          <t>T1</t>
        </is>
      </c>
      <c r="BR113" s="1" t="n">
        <v>154580</v>
      </c>
      <c r="BS113" s="185" t="n">
        <v>3.69985639061752</v>
      </c>
      <c r="BT113" s="1" t="n">
        <v>84865</v>
      </c>
      <c r="BU113" s="1" t="n">
        <v>239445</v>
      </c>
      <c r="BV113" s="54" t="n">
        <v>5.731091431306846</v>
      </c>
      <c r="BW113" s="54" t="n"/>
      <c r="BX113" s="1" t="n"/>
      <c r="BY113" s="1" t="n">
        <v>239445</v>
      </c>
      <c r="BZ113" s="54" t="n">
        <v>5.731091431306846</v>
      </c>
      <c r="CA113" s="54" t="n"/>
      <c r="CB113" s="186" t="n"/>
      <c r="CC113" s="186" t="n"/>
      <c r="CD113" s="186" t="n"/>
      <c r="CE113" s="52" t="n"/>
      <c r="CF113" s="52" t="n"/>
      <c r="CG113" s="43" t="n"/>
      <c r="CH113" s="43" t="n"/>
      <c r="CI113" s="43" t="n"/>
      <c r="CJ113" s="43" t="n"/>
      <c r="CK113" s="43" t="n"/>
      <c r="CL113" s="43" t="n"/>
      <c r="CM113" s="43" t="n"/>
      <c r="CN113" s="43" t="n"/>
      <c r="CO113" s="43" t="n"/>
      <c r="CP113" s="43" t="inlineStr">
        <is>
          <t>财会及报告管理部</t>
        </is>
      </c>
      <c r="CQ113" s="43" t="inlineStr">
        <is>
          <t>5,3</t>
        </is>
      </c>
      <c r="CR113" s="43" t="n">
        <v>11</v>
      </c>
      <c r="CS113" s="43" t="inlineStr">
        <is>
          <t>T1</t>
        </is>
      </c>
      <c r="CT113" s="187" t="inlineStr">
        <is>
          <t>N</t>
        </is>
      </c>
      <c r="CU113" s="187" t="n"/>
      <c r="CV113" s="187" t="n"/>
      <c r="CW113" s="1" t="n"/>
      <c r="CX113" s="1" t="n"/>
      <c r="CY113" s="1" t="n"/>
      <c r="CZ113" s="1" t="n"/>
      <c r="DA113" s="1" t="n"/>
      <c r="DB113" s="1" t="n"/>
      <c r="DC113" s="1" t="n"/>
    </row>
    <row r="114" ht="15" customFormat="1" customHeight="1" s="42">
      <c r="A114" s="43" t="inlineStr">
        <is>
          <t>ryanHong(洪海)</t>
        </is>
      </c>
      <c r="B114" s="43" t="n"/>
      <c r="C114" s="43" t="n">
        <v>87411951</v>
      </c>
      <c r="D114" s="43" t="inlineStr">
        <is>
          <t>PCG财务管理</t>
        </is>
      </c>
      <c r="E114" s="43" t="inlineStr">
        <is>
          <t>财务规划及分析组</t>
        </is>
      </c>
      <c r="F114" s="43" t="n"/>
      <c r="G114" s="44" t="inlineStr">
        <is>
          <t>S2职能系统－财经线/PCG财务管理/财务规划及分析组</t>
        </is>
      </c>
      <c r="H114" s="179" t="n">
        <v>40590</v>
      </c>
      <c r="I114" s="43" t="inlineStr">
        <is>
          <t>高校招聘</t>
        </is>
      </c>
      <c r="J114" s="43" t="inlineStr">
        <is>
          <t>财经类－FN</t>
        </is>
      </c>
      <c r="K114" s="43" t="inlineStr">
        <is>
          <t>财务管理</t>
        </is>
      </c>
      <c r="L114" s="46" t="inlineStr">
        <is>
          <t>S7</t>
        </is>
      </c>
      <c r="M114" s="46" t="n"/>
      <c r="N114" s="43" t="inlineStr">
        <is>
          <t>Others</t>
        </is>
      </c>
      <c r="O114" s="43" t="n"/>
      <c r="P114" s="180" t="n"/>
      <c r="Q114" s="44" t="inlineStr">
        <is>
          <t>G,G</t>
        </is>
      </c>
      <c r="R114" s="44" t="n"/>
      <c r="S114" s="43" t="n"/>
      <c r="T114" s="180" t="n"/>
      <c r="U114" s="1" t="n">
        <v>30366.15</v>
      </c>
      <c r="V114" s="108" t="n">
        <v>0.083333</v>
      </c>
      <c r="W114" s="46" t="inlineStr">
        <is>
          <t>CNY</t>
        </is>
      </c>
      <c r="X114" s="181" t="n">
        <v>1</v>
      </c>
      <c r="Y114" s="1" t="n">
        <v>27977.26</v>
      </c>
      <c r="Z114" s="1" t="n">
        <v>0</v>
      </c>
      <c r="AA114" s="1" t="n">
        <v>60732.3</v>
      </c>
      <c r="AB114" s="1" t="n">
        <v>21420</v>
      </c>
      <c r="AC114" s="48" t="n">
        <v>0</v>
      </c>
      <c r="AD114" s="1" t="n"/>
      <c r="AE114" s="48" t="n"/>
      <c r="AF114" s="1" t="n">
        <v>0</v>
      </c>
      <c r="AG114" s="1" t="n">
        <v>82152.3</v>
      </c>
      <c r="AH114" s="182" t="n">
        <v>2.936395486906152</v>
      </c>
      <c r="AI114" s="1" t="n">
        <v>82152.3</v>
      </c>
      <c r="AJ114" s="183" t="n">
        <v>2.936395486906152</v>
      </c>
      <c r="AK114" s="183" t="n">
        <v>2.936395486906152</v>
      </c>
      <c r="AL114" s="108" t="n"/>
      <c r="AM114" s="183" t="n"/>
      <c r="AN114" s="183" t="n"/>
      <c r="AO114" s="1" t="n"/>
      <c r="AP114" s="48" t="n"/>
      <c r="AQ114" s="1" t="n">
        <v>82152.3</v>
      </c>
      <c r="AR114" s="183" t="n">
        <v>2.936395486906152</v>
      </c>
      <c r="AS114" s="98" t="n">
        <v>2.135212475633528</v>
      </c>
      <c r="AT114" s="183" t="n"/>
      <c r="AU114" s="1" t="n"/>
      <c r="AV114" s="48" t="n"/>
      <c r="AW114" s="1" t="n"/>
      <c r="AX114" s="48" t="n"/>
      <c r="AY114" s="1" t="n"/>
      <c r="AZ114" s="48" t="n"/>
      <c r="BA114" s="51" t="n"/>
      <c r="BB114" s="180" t="n"/>
      <c r="BC114" s="1" t="n"/>
      <c r="BD114" s="1" t="n"/>
      <c r="BE114" s="180" t="n"/>
      <c r="BF114" s="1" t="n"/>
      <c r="BG114" s="1" t="n"/>
      <c r="BH114" s="1" t="n"/>
      <c r="BI114" s="1" t="n"/>
      <c r="BJ114" s="52" t="n"/>
      <c r="BK114" s="52" t="n"/>
      <c r="BL114" s="184" t="n">
        <v>1</v>
      </c>
      <c r="BM114" s="1" t="n">
        <v>25535</v>
      </c>
      <c r="BN114" s="1" t="n">
        <v>0</v>
      </c>
      <c r="BO114" s="1" t="n">
        <v>27695</v>
      </c>
      <c r="BP114" s="43" t="inlineStr">
        <is>
          <t>U,U</t>
        </is>
      </c>
      <c r="BQ114" s="43" t="inlineStr">
        <is>
          <t>Others</t>
        </is>
      </c>
      <c r="BR114" s="1" t="n">
        <v>38475</v>
      </c>
      <c r="BS114" s="185" t="n">
        <v>1.506755433718426</v>
      </c>
      <c r="BT114" s="1" t="n">
        <v>0</v>
      </c>
      <c r="BU114" s="1" t="n">
        <v>38475</v>
      </c>
      <c r="BV114" s="54" t="n">
        <v>1.506755433718426</v>
      </c>
      <c r="BW114" s="54" t="n"/>
      <c r="BX114" s="1" t="n"/>
      <c r="BY114" s="1" t="n">
        <v>38475</v>
      </c>
      <c r="BZ114" s="54" t="n">
        <v>1.506755433718426</v>
      </c>
      <c r="CA114" s="54" t="n"/>
      <c r="CB114" s="186" t="n"/>
      <c r="CC114" s="186" t="n"/>
      <c r="CD114" s="186" t="n"/>
      <c r="CE114" s="52" t="n"/>
      <c r="CF114" s="52" t="n"/>
      <c r="CG114" s="43" t="n"/>
      <c r="CH114" s="43" t="n"/>
      <c r="CI114" s="43" t="n"/>
      <c r="CJ114" s="43" t="n"/>
      <c r="CK114" s="43" t="n"/>
      <c r="CL114" s="43" t="n"/>
      <c r="CM114" s="43" t="n"/>
      <c r="CN114" s="43" t="n"/>
      <c r="CO114" s="43" t="n"/>
      <c r="CP114" s="43" t="inlineStr">
        <is>
          <t>PCG财务管理</t>
        </is>
      </c>
      <c r="CQ114" s="43" t="inlineStr">
        <is>
          <t>3,3</t>
        </is>
      </c>
      <c r="CR114" s="43" t="n">
        <v>7</v>
      </c>
      <c r="CS114" s="43" t="inlineStr">
        <is>
          <t>Others</t>
        </is>
      </c>
      <c r="CT114" s="187" t="inlineStr">
        <is>
          <t>N</t>
        </is>
      </c>
      <c r="CU114" s="187" t="n"/>
      <c r="CV114" s="187" t="n"/>
      <c r="CW114" s="1" t="n"/>
      <c r="CX114" s="1" t="n"/>
      <c r="CY114" s="1" t="n"/>
      <c r="CZ114" s="1" t="n"/>
      <c r="DA114" s="1" t="n"/>
      <c r="DB114" s="1" t="n"/>
      <c r="DC114" s="1" t="n"/>
    </row>
    <row r="115" ht="15" customFormat="1" customHeight="1" s="42">
      <c r="A115" s="43" t="inlineStr">
        <is>
          <t>brooklynJiang(姜琴)</t>
        </is>
      </c>
      <c r="B115" s="43" t="n"/>
      <c r="C115" s="43" t="n">
        <v>66031275</v>
      </c>
      <c r="D115" s="43" t="inlineStr">
        <is>
          <t>应收账款管理中心</t>
        </is>
      </c>
      <c r="E115" s="43" t="inlineStr">
        <is>
          <t>应收管理2组</t>
        </is>
      </c>
      <c r="F115" s="43" t="n"/>
      <c r="G115" s="44" t="inlineStr">
        <is>
          <t>S2职能系统－财经线/应收账款管理中心/应收管理2组</t>
        </is>
      </c>
      <c r="H115" s="179" t="n">
        <v>39907</v>
      </c>
      <c r="I115" s="43" t="inlineStr">
        <is>
          <t>社会招聘</t>
        </is>
      </c>
      <c r="J115" s="43" t="inlineStr">
        <is>
          <t>财经类－FN</t>
        </is>
      </c>
      <c r="K115" s="43" t="inlineStr">
        <is>
          <t>会计</t>
        </is>
      </c>
      <c r="L115" s="46" t="inlineStr">
        <is>
          <t>S6</t>
        </is>
      </c>
      <c r="M115" s="46" t="n"/>
      <c r="N115" s="43" t="inlineStr">
        <is>
          <t>T1#</t>
        </is>
      </c>
      <c r="O115" s="43" t="n"/>
      <c r="P115" s="180" t="n"/>
      <c r="Q115" s="44" t="inlineStr">
        <is>
          <t>G,G</t>
        </is>
      </c>
      <c r="R115" s="44" t="n"/>
      <c r="S115" s="43" t="n"/>
      <c r="T115" s="180" t="n"/>
      <c r="U115" s="1" t="n">
        <v>23903.55</v>
      </c>
      <c r="V115" s="108" t="n">
        <v>0.083333</v>
      </c>
      <c r="W115" s="46" t="inlineStr">
        <is>
          <t>CNY</t>
        </is>
      </c>
      <c r="X115" s="181" t="n">
        <v>1</v>
      </c>
      <c r="Y115" s="1" t="n">
        <v>22824.63</v>
      </c>
      <c r="Z115" s="1" t="n">
        <v>0</v>
      </c>
      <c r="AA115" s="1" t="n">
        <v>47807.1</v>
      </c>
      <c r="AB115" s="1" t="n">
        <v>82410</v>
      </c>
      <c r="AC115" s="48" t="n">
        <v>25535</v>
      </c>
      <c r="AD115" s="1" t="n"/>
      <c r="AE115" s="48" t="n"/>
      <c r="AF115" s="1" t="n">
        <v>0</v>
      </c>
      <c r="AG115" s="1" t="n">
        <v>155752.1</v>
      </c>
      <c r="AH115" s="182" t="n">
        <v>6.82386089062561</v>
      </c>
      <c r="AI115" s="1" t="n">
        <v>155752.1</v>
      </c>
      <c r="AJ115" s="183" t="n">
        <v>6.82386089062561</v>
      </c>
      <c r="AK115" s="183" t="n">
        <v>5.705113292088415</v>
      </c>
      <c r="AL115" s="108" t="n"/>
      <c r="AM115" s="183" t="n"/>
      <c r="AN115" s="183" t="n"/>
      <c r="AO115" s="1" t="n"/>
      <c r="AP115" s="48" t="n"/>
      <c r="AQ115" s="1" t="n">
        <v>155752.1</v>
      </c>
      <c r="AR115" s="183" t="n">
        <v>6.82386089062561</v>
      </c>
      <c r="AS115" s="98" t="n">
        <v>1.389651142041399</v>
      </c>
      <c r="AT115" s="183" t="n"/>
      <c r="AU115" s="1" t="n"/>
      <c r="AV115" s="48" t="n"/>
      <c r="AW115" s="1" t="n"/>
      <c r="AX115" s="48" t="n"/>
      <c r="AY115" s="1" t="n"/>
      <c r="AZ115" s="48" t="n"/>
      <c r="BA115" s="51" t="n"/>
      <c r="BB115" s="180" t="n"/>
      <c r="BC115" s="1" t="n"/>
      <c r="BD115" s="1" t="n"/>
      <c r="BE115" s="180" t="n"/>
      <c r="BF115" s="1" t="n"/>
      <c r="BG115" s="1" t="n"/>
      <c r="BH115" s="1" t="n"/>
      <c r="BI115" s="1" t="n"/>
      <c r="BJ115" s="52" t="n"/>
      <c r="BK115" s="52" t="n"/>
      <c r="BL115" s="184" t="n">
        <v>1</v>
      </c>
      <c r="BM115" s="1" t="n">
        <v>21425</v>
      </c>
      <c r="BN115" s="1" t="n">
        <v>0</v>
      </c>
      <c r="BO115" s="1" t="n">
        <v>23345</v>
      </c>
      <c r="BP115" s="43" t="inlineStr">
        <is>
          <t>G,G</t>
        </is>
      </c>
      <c r="BQ115" s="43" t="inlineStr">
        <is>
          <t>T1</t>
        </is>
      </c>
      <c r="BR115" s="1" t="n">
        <v>77670</v>
      </c>
      <c r="BS115" s="185" t="n">
        <v>3.625204200700117</v>
      </c>
      <c r="BT115" s="1" t="n">
        <v>34410</v>
      </c>
      <c r="BU115" s="1" t="n">
        <v>112080</v>
      </c>
      <c r="BV115" s="54" t="n">
        <v>5.231271878646441</v>
      </c>
      <c r="BW115" s="54" t="n"/>
      <c r="BX115" s="1" t="n"/>
      <c r="BY115" s="1" t="n">
        <v>112080</v>
      </c>
      <c r="BZ115" s="54" t="n">
        <v>5.231271878646441</v>
      </c>
      <c r="CA115" s="54" t="n"/>
      <c r="CB115" s="186" t="n"/>
      <c r="CC115" s="186" t="n"/>
      <c r="CD115" s="186" t="n"/>
      <c r="CE115" s="52" t="n"/>
      <c r="CF115" s="52" t="n"/>
      <c r="CG115" s="43" t="n"/>
      <c r="CH115" s="43" t="n"/>
      <c r="CI115" s="43" t="n"/>
      <c r="CJ115" s="43" t="n"/>
      <c r="CK115" s="43" t="n"/>
      <c r="CL115" s="43" t="n"/>
      <c r="CM115" s="43" t="n"/>
      <c r="CN115" s="43" t="n"/>
      <c r="CO115" s="43" t="n"/>
      <c r="CP115" s="43" t="inlineStr">
        <is>
          <t>应收账款管理中心</t>
        </is>
      </c>
      <c r="CQ115" s="43" t="inlineStr">
        <is>
          <t>3,3</t>
        </is>
      </c>
      <c r="CR115" s="43" t="n">
        <v>6</v>
      </c>
      <c r="CS115" s="43" t="inlineStr">
        <is>
          <t>T1#</t>
        </is>
      </c>
      <c r="CT115" s="187" t="inlineStr">
        <is>
          <t>N</t>
        </is>
      </c>
      <c r="CU115" s="187" t="n"/>
      <c r="CV115" s="187" t="n"/>
      <c r="CW115" s="1" t="n"/>
      <c r="CX115" s="1" t="n"/>
      <c r="CY115" s="1" t="n"/>
      <c r="CZ115" s="1" t="n"/>
      <c r="DA115" s="1" t="n"/>
      <c r="DB115" s="1" t="n"/>
      <c r="DC115" s="1" t="n"/>
    </row>
    <row r="116" ht="15" customFormat="1" customHeight="1" s="42">
      <c r="A116" s="43" t="inlineStr">
        <is>
          <t>emilyHe(何诗)</t>
        </is>
      </c>
      <c r="B116" s="43" t="n"/>
      <c r="C116" s="43" t="n">
        <v>31549065</v>
      </c>
      <c r="D116" s="43" t="inlineStr">
        <is>
          <t>IEG财务管理</t>
        </is>
      </c>
      <c r="E116" s="43" t="inlineStr">
        <is>
          <t>发行线财务管理组</t>
        </is>
      </c>
      <c r="F116" s="43" t="n"/>
      <c r="G116" s="44" t="inlineStr">
        <is>
          <t>S2职能系统－财经线/IEG财务管理/发行线财务管理组</t>
        </is>
      </c>
      <c r="H116" s="179" t="n">
        <v>36964</v>
      </c>
      <c r="I116" s="43" t="inlineStr">
        <is>
          <t>社会招聘</t>
        </is>
      </c>
      <c r="J116" s="43" t="inlineStr">
        <is>
          <t>财经类－FN</t>
        </is>
      </c>
      <c r="K116" s="43" t="inlineStr">
        <is>
          <t>财务管理</t>
        </is>
      </c>
      <c r="L116" s="46" t="inlineStr">
        <is>
          <t>S7</t>
        </is>
      </c>
      <c r="M116" s="46" t="n"/>
      <c r="N116" s="43" t="inlineStr">
        <is>
          <t>Others</t>
        </is>
      </c>
      <c r="O116" s="43" t="n"/>
      <c r="P116" s="180" t="n"/>
      <c r="Q116" s="44" t="inlineStr">
        <is>
          <t>G,O</t>
        </is>
      </c>
      <c r="R116" s="44" t="n"/>
      <c r="S116" s="43" t="n"/>
      <c r="T116" s="180" t="n"/>
      <c r="U116" s="1" t="n">
        <v>41266.15</v>
      </c>
      <c r="V116" s="108" t="n">
        <v>0.083333</v>
      </c>
      <c r="W116" s="46" t="inlineStr">
        <is>
          <t>CNY</t>
        </is>
      </c>
      <c r="X116" s="181" t="n">
        <v>1</v>
      </c>
      <c r="Y116" s="1" t="n">
        <v>40601.33</v>
      </c>
      <c r="Z116" s="1" t="n">
        <v>0</v>
      </c>
      <c r="AA116" s="1" t="n">
        <v>123798.45</v>
      </c>
      <c r="AB116" s="1" t="n">
        <v>28270</v>
      </c>
      <c r="AC116" s="48" t="n">
        <v>0</v>
      </c>
      <c r="AD116" s="1" t="n"/>
      <c r="AE116" s="48" t="n"/>
      <c r="AF116" s="1" t="n">
        <v>0</v>
      </c>
      <c r="AG116" s="1" t="n">
        <v>152068.45</v>
      </c>
      <c r="AH116" s="182" t="n">
        <v>3.745405630800764</v>
      </c>
      <c r="AI116" s="1" t="n">
        <v>152068.45</v>
      </c>
      <c r="AJ116" s="183" t="n">
        <v>3.745405630800764</v>
      </c>
      <c r="AK116" s="183" t="n">
        <v>3.745405630800764</v>
      </c>
      <c r="AL116" s="108" t="n"/>
      <c r="AM116" s="183" t="n"/>
      <c r="AN116" s="183" t="n"/>
      <c r="AO116" s="1" t="n"/>
      <c r="AP116" s="48" t="n"/>
      <c r="AQ116" s="1" t="n">
        <v>152068.45</v>
      </c>
      <c r="AR116" s="183" t="n">
        <v>3.745405630800764</v>
      </c>
      <c r="AS116" s="98" t="n">
        <v>1.41176669915982</v>
      </c>
      <c r="AT116" s="183" t="n"/>
      <c r="AU116" s="1" t="n"/>
      <c r="AV116" s="48" t="n"/>
      <c r="AW116" s="1" t="n"/>
      <c r="AX116" s="48" t="n"/>
      <c r="AY116" s="1" t="n"/>
      <c r="AZ116" s="48" t="n"/>
      <c r="BA116" s="51" t="n"/>
      <c r="BB116" s="180" t="n"/>
      <c r="BC116" s="1" t="n"/>
      <c r="BD116" s="1" t="n"/>
      <c r="BE116" s="180" t="n"/>
      <c r="BF116" s="1" t="n"/>
      <c r="BG116" s="1" t="n"/>
      <c r="BH116" s="1" t="n"/>
      <c r="BI116" s="1" t="n"/>
      <c r="BJ116" s="52" t="n"/>
      <c r="BK116" s="52" t="n"/>
      <c r="BL116" s="184" t="n">
        <v>1</v>
      </c>
      <c r="BM116" s="1" t="n">
        <v>34420</v>
      </c>
      <c r="BN116" s="1" t="n">
        <v>0</v>
      </c>
      <c r="BO116" s="1" t="n">
        <v>35255</v>
      </c>
      <c r="BP116" s="43" t="inlineStr">
        <is>
          <t>G,G</t>
        </is>
      </c>
      <c r="BQ116" s="43" t="inlineStr">
        <is>
          <t>Others</t>
        </is>
      </c>
      <c r="BR116" s="1" t="n">
        <v>107715</v>
      </c>
      <c r="BS116" s="185" t="n">
        <v>3.129430563625799</v>
      </c>
      <c r="BT116" s="1" t="n">
        <v>0</v>
      </c>
      <c r="BU116" s="1" t="n">
        <v>107715</v>
      </c>
      <c r="BV116" s="54" t="n">
        <v>3.129430563625799</v>
      </c>
      <c r="BW116" s="54" t="n"/>
      <c r="BX116" s="1" t="n"/>
      <c r="BY116" s="1" t="n">
        <v>107715</v>
      </c>
      <c r="BZ116" s="54" t="n">
        <v>3.129430563625799</v>
      </c>
      <c r="CA116" s="54" t="n"/>
      <c r="CB116" s="186" t="n"/>
      <c r="CC116" s="186" t="n"/>
      <c r="CD116" s="186" t="n"/>
      <c r="CE116" s="52" t="n"/>
      <c r="CF116" s="52" t="n"/>
      <c r="CG116" s="43" t="n"/>
      <c r="CH116" s="43" t="n"/>
      <c r="CI116" s="43" t="n"/>
      <c r="CJ116" s="43" t="n"/>
      <c r="CK116" s="43" t="n"/>
      <c r="CL116" s="43" t="n"/>
      <c r="CM116" s="43" t="n"/>
      <c r="CN116" s="43" t="n"/>
      <c r="CO116" s="43" t="n"/>
      <c r="CP116" s="43" t="inlineStr">
        <is>
          <t>IEG财务管理</t>
        </is>
      </c>
      <c r="CQ116" s="43" t="inlineStr">
        <is>
          <t>5,3</t>
        </is>
      </c>
      <c r="CR116" s="43" t="n">
        <v>7</v>
      </c>
      <c r="CS116" s="43" t="inlineStr">
        <is>
          <t>Others</t>
        </is>
      </c>
      <c r="CT116" s="187" t="inlineStr">
        <is>
          <t>N</t>
        </is>
      </c>
      <c r="CU116" s="187" t="n"/>
      <c r="CV116" s="187" t="n"/>
      <c r="CW116" s="1" t="n"/>
      <c r="CX116" s="1" t="n"/>
      <c r="CY116" s="1" t="n"/>
      <c r="CZ116" s="1" t="n"/>
      <c r="DA116" s="1" t="n"/>
      <c r="DB116" s="1" t="n"/>
      <c r="DC116" s="1" t="n"/>
    </row>
    <row r="117" ht="15" customFormat="1" customHeight="1" s="42">
      <c r="A117" s="43" t="inlineStr">
        <is>
          <t>dennisLv(吕华锐)</t>
        </is>
      </c>
      <c r="B117" s="43" t="n"/>
      <c r="C117" s="43" t="n">
        <v>16709043</v>
      </c>
      <c r="D117" s="43" t="inlineStr">
        <is>
          <t>WXG财务管理</t>
        </is>
      </c>
      <c r="E117" s="43" t="inlineStr">
        <is>
          <t>WXG财务管理</t>
        </is>
      </c>
      <c r="F117" s="43" t="n"/>
      <c r="G117" s="44" t="inlineStr">
        <is>
          <t>S2职能系统－财经线/WXG财务管理</t>
        </is>
      </c>
      <c r="H117" s="179" t="n">
        <v>38985</v>
      </c>
      <c r="I117" s="43" t="inlineStr">
        <is>
          <t>高校招聘</t>
        </is>
      </c>
      <c r="J117" s="43" t="inlineStr">
        <is>
          <t>财经类－FN</t>
        </is>
      </c>
      <c r="K117" s="43" t="inlineStr">
        <is>
          <t>财务管理</t>
        </is>
      </c>
      <c r="L117" s="46" t="inlineStr">
        <is>
          <t>S10</t>
        </is>
      </c>
      <c r="M117" s="46" t="n"/>
      <c r="N117" s="43" t="inlineStr">
        <is>
          <t>T1</t>
        </is>
      </c>
      <c r="O117" s="43" t="n"/>
      <c r="P117" s="180" t="n"/>
      <c r="Q117" s="44" t="inlineStr">
        <is>
          <t>G,G</t>
        </is>
      </c>
      <c r="R117" s="44" t="n"/>
      <c r="S117" s="43" t="n"/>
      <c r="T117" s="180" t="n"/>
      <c r="U117" s="1" t="n">
        <v>36422.85</v>
      </c>
      <c r="V117" s="108" t="n">
        <v>0.083333</v>
      </c>
      <c r="W117" s="46" t="inlineStr">
        <is>
          <t>CNY</t>
        </is>
      </c>
      <c r="X117" s="181" t="n">
        <v>1</v>
      </c>
      <c r="Y117" s="1" t="n">
        <v>35144.12</v>
      </c>
      <c r="Z117" s="1" t="n">
        <v>0</v>
      </c>
      <c r="AA117" s="1" t="n">
        <v>72845.7</v>
      </c>
      <c r="AB117" s="1" t="n">
        <v>82620</v>
      </c>
      <c r="AC117" s="48" t="n">
        <v>37895</v>
      </c>
      <c r="AD117" s="1" t="n"/>
      <c r="AE117" s="48" t="n"/>
      <c r="AF117" s="1" t="n">
        <v>0</v>
      </c>
      <c r="AG117" s="1" t="n">
        <v>193360.7</v>
      </c>
      <c r="AH117" s="182" t="n">
        <v>5.501936027989888</v>
      </c>
      <c r="AI117" s="1" t="n">
        <v>193360.7</v>
      </c>
      <c r="AJ117" s="183" t="n">
        <v>5.501936027989888</v>
      </c>
      <c r="AK117" s="183" t="n">
        <v>4.423661767601522</v>
      </c>
      <c r="AL117" s="108" t="n"/>
      <c r="AM117" s="183" t="n"/>
      <c r="AN117" s="183" t="n"/>
      <c r="AO117" s="1" t="n"/>
      <c r="AP117" s="48" t="n"/>
      <c r="AQ117" s="1" t="n">
        <v>193360.7</v>
      </c>
      <c r="AR117" s="183" t="n">
        <v>5.501936027989888</v>
      </c>
      <c r="AS117" s="98" t="n">
        <v>1.069532053764036</v>
      </c>
      <c r="AT117" s="183" t="n"/>
      <c r="AU117" s="1" t="n"/>
      <c r="AV117" s="48" t="n"/>
      <c r="AW117" s="1" t="n"/>
      <c r="AX117" s="48" t="n"/>
      <c r="AY117" s="1" t="n"/>
      <c r="AZ117" s="48" t="n"/>
      <c r="BA117" s="51" t="n"/>
      <c r="BB117" s="180" t="n"/>
      <c r="BC117" s="1" t="n"/>
      <c r="BD117" s="1" t="n"/>
      <c r="BE117" s="180" t="n"/>
      <c r="BF117" s="1" t="n"/>
      <c r="BG117" s="1" t="n"/>
      <c r="BH117" s="1" t="n"/>
      <c r="BI117" s="1" t="n"/>
      <c r="BJ117" s="52" t="n"/>
      <c r="BK117" s="52" t="n"/>
      <c r="BL117" s="184" t="n">
        <v>1</v>
      </c>
      <c r="BM117" s="1" t="n">
        <v>30250</v>
      </c>
      <c r="BN117" s="1" t="n">
        <v>0</v>
      </c>
      <c r="BO117" s="1" t="n">
        <v>32065</v>
      </c>
      <c r="BP117" s="43" t="inlineStr">
        <is>
          <t>O,G</t>
        </is>
      </c>
      <c r="BQ117" s="43" t="inlineStr">
        <is>
          <t>T1</t>
        </is>
      </c>
      <c r="BR117" s="1" t="n">
        <v>131275</v>
      </c>
      <c r="BS117" s="185" t="n">
        <v>4.339669421487604</v>
      </c>
      <c r="BT117" s="1" t="n">
        <v>49515</v>
      </c>
      <c r="BU117" s="1" t="n">
        <v>180790</v>
      </c>
      <c r="BV117" s="54" t="n">
        <v>5.976528925619835</v>
      </c>
      <c r="BW117" s="54" t="n"/>
      <c r="BX117" s="1" t="n"/>
      <c r="BY117" s="1" t="n">
        <v>180790</v>
      </c>
      <c r="BZ117" s="54" t="n">
        <v>5.976528925619835</v>
      </c>
      <c r="CA117" s="54" t="n"/>
      <c r="CB117" s="186" t="n"/>
      <c r="CC117" s="186" t="n"/>
      <c r="CD117" s="186" t="n"/>
      <c r="CE117" s="52" t="n"/>
      <c r="CF117" s="52" t="n"/>
      <c r="CG117" s="43" t="n"/>
      <c r="CH117" s="43" t="n"/>
      <c r="CI117" s="43" t="n"/>
      <c r="CJ117" s="43" t="n"/>
      <c r="CK117" s="43" t="n"/>
      <c r="CL117" s="43" t="n"/>
      <c r="CM117" s="43" t="n"/>
      <c r="CN117" s="43" t="n"/>
      <c r="CO117" s="43" t="n"/>
      <c r="CP117" s="43" t="inlineStr">
        <is>
          <t>WXG财务管理</t>
        </is>
      </c>
      <c r="CQ117" s="43" t="inlineStr">
        <is>
          <t>3,3</t>
        </is>
      </c>
      <c r="CR117" s="43" t="n">
        <v>10</v>
      </c>
      <c r="CS117" s="43" t="inlineStr">
        <is>
          <t>T1</t>
        </is>
      </c>
      <c r="CT117" s="187" t="inlineStr">
        <is>
          <t>N</t>
        </is>
      </c>
      <c r="CU117" s="187" t="n"/>
      <c r="CV117" s="187" t="n"/>
      <c r="CW117" s="1" t="n"/>
      <c r="CX117" s="1" t="n"/>
      <c r="CY117" s="1" t="n"/>
      <c r="CZ117" s="1" t="n"/>
      <c r="DA117" s="1" t="n"/>
      <c r="DB117" s="1" t="n"/>
      <c r="DC117" s="1" t="n"/>
    </row>
    <row r="118" ht="15" customFormat="1" customHeight="1" s="42">
      <c r="A118" s="43" t="inlineStr">
        <is>
          <t>walterDong(董超晨)</t>
        </is>
      </c>
      <c r="B118" s="43" t="n"/>
      <c r="C118" s="43" t="n">
        <v>30880325</v>
      </c>
      <c r="D118" s="43" t="inlineStr">
        <is>
          <t>财经IT管理部</t>
        </is>
      </c>
      <c r="E118" s="43" t="inlineStr">
        <is>
          <t>业务开发中心</t>
        </is>
      </c>
      <c r="F118" s="43" t="n"/>
      <c r="G118" s="44" t="inlineStr">
        <is>
          <t>S2职能系统－财经线/财经IT管理部/业务开发中心</t>
        </is>
      </c>
      <c r="H118" s="179" t="n">
        <v>38852</v>
      </c>
      <c r="I118" s="43" t="inlineStr">
        <is>
          <t>社会招聘</t>
        </is>
      </c>
      <c r="J118" s="43" t="inlineStr">
        <is>
          <t>技术研发类－TRD</t>
        </is>
      </c>
      <c r="K118" s="43" t="inlineStr">
        <is>
          <t>应用开发</t>
        </is>
      </c>
      <c r="L118" s="46" t="inlineStr">
        <is>
          <t>T7</t>
        </is>
      </c>
      <c r="M118" s="46" t="n"/>
      <c r="N118" s="43" t="inlineStr">
        <is>
          <t>T1#</t>
        </is>
      </c>
      <c r="O118" s="43" t="n"/>
      <c r="P118" s="180" t="n"/>
      <c r="Q118" s="44" t="inlineStr">
        <is>
          <t>G,G</t>
        </is>
      </c>
      <c r="R118" s="44" t="n"/>
      <c r="S118" s="43" t="n"/>
      <c r="T118" s="180" t="n"/>
      <c r="U118" s="1" t="n">
        <v>31733.55</v>
      </c>
      <c r="V118" s="108" t="n">
        <v>0.083333</v>
      </c>
      <c r="W118" s="46" t="inlineStr">
        <is>
          <t>CNY</t>
        </is>
      </c>
      <c r="X118" s="181" t="n">
        <v>1</v>
      </c>
      <c r="Y118" s="1" t="n">
        <v>29159.21</v>
      </c>
      <c r="Z118" s="1" t="n">
        <v>0</v>
      </c>
      <c r="AA118" s="1" t="n">
        <v>63467.1</v>
      </c>
      <c r="AB118" s="1" t="n">
        <v>95885</v>
      </c>
      <c r="AC118" s="48" t="n">
        <v>62625</v>
      </c>
      <c r="AD118" s="1" t="n"/>
      <c r="AE118" s="48" t="n"/>
      <c r="AF118" s="1" t="n">
        <v>0</v>
      </c>
      <c r="AG118" s="1" t="n">
        <v>221977.1</v>
      </c>
      <c r="AH118" s="182" t="n">
        <v>7.612589641488916</v>
      </c>
      <c r="AI118" s="1" t="n">
        <v>221977.1</v>
      </c>
      <c r="AJ118" s="183" t="n">
        <v>7.612589641488916</v>
      </c>
      <c r="AK118" s="183" t="n">
        <v>5.464897711563516</v>
      </c>
      <c r="AL118" s="108" t="n"/>
      <c r="AM118" s="183" t="n"/>
      <c r="AN118" s="183" t="n"/>
      <c r="AO118" s="1" t="n"/>
      <c r="AP118" s="48" t="n"/>
      <c r="AQ118" s="1" t="n">
        <v>221977.1</v>
      </c>
      <c r="AR118" s="183" t="n">
        <v>7.612589641488916</v>
      </c>
      <c r="AS118" s="98" t="n">
        <v>1.23988772831369</v>
      </c>
      <c r="AT118" s="183" t="n"/>
      <c r="AU118" s="1" t="n"/>
      <c r="AV118" s="48" t="n"/>
      <c r="AW118" s="1" t="n"/>
      <c r="AX118" s="48" t="n"/>
      <c r="AY118" s="1" t="n"/>
      <c r="AZ118" s="48" t="n"/>
      <c r="BA118" s="51" t="n"/>
      <c r="BB118" s="180" t="n"/>
      <c r="BC118" s="1" t="n"/>
      <c r="BD118" s="1" t="n"/>
      <c r="BE118" s="180" t="n"/>
      <c r="BF118" s="1" t="n"/>
      <c r="BG118" s="1" t="n"/>
      <c r="BH118" s="1" t="n"/>
      <c r="BI118" s="1" t="n"/>
      <c r="BJ118" s="52" t="n"/>
      <c r="BK118" s="52" t="n"/>
      <c r="BL118" s="184" t="n">
        <v>1</v>
      </c>
      <c r="BM118" s="1" t="n">
        <v>28060</v>
      </c>
      <c r="BN118" s="1" t="n">
        <v>0</v>
      </c>
      <c r="BO118" s="1" t="n">
        <v>28745</v>
      </c>
      <c r="BP118" s="43" t="inlineStr">
        <is>
          <t>G,G</t>
        </is>
      </c>
      <c r="BQ118" s="43" t="inlineStr">
        <is>
          <t>T1#</t>
        </is>
      </c>
      <c r="BR118" s="1" t="n">
        <v>144770</v>
      </c>
      <c r="BS118" s="185" t="n">
        <v>5.159301496792588</v>
      </c>
      <c r="BT118" s="1" t="n">
        <v>34260</v>
      </c>
      <c r="BU118" s="1" t="n">
        <v>179030</v>
      </c>
      <c r="BV118" s="54" t="n">
        <v>6.380256593014968</v>
      </c>
      <c r="BW118" s="54" t="n"/>
      <c r="BX118" s="1" t="n"/>
      <c r="BY118" s="1" t="n">
        <v>179030</v>
      </c>
      <c r="BZ118" s="54" t="n">
        <v>6.380256593014968</v>
      </c>
      <c r="CA118" s="54" t="n"/>
      <c r="CB118" s="186" t="n"/>
      <c r="CC118" s="186" t="n"/>
      <c r="CD118" s="186" t="n"/>
      <c r="CE118" s="52" t="n"/>
      <c r="CF118" s="52" t="n"/>
      <c r="CG118" s="43" t="n"/>
      <c r="CH118" s="43" t="n"/>
      <c r="CI118" s="43" t="n"/>
      <c r="CJ118" s="43" t="n"/>
      <c r="CK118" s="43" t="n"/>
      <c r="CL118" s="43" t="n"/>
      <c r="CM118" s="43" t="n"/>
      <c r="CN118" s="43" t="n"/>
      <c r="CO118" s="43" t="n"/>
      <c r="CP118" s="43" t="inlineStr">
        <is>
          <t>财经IT管理部</t>
        </is>
      </c>
      <c r="CQ118" s="43" t="inlineStr">
        <is>
          <t>3,3</t>
        </is>
      </c>
      <c r="CR118" s="43" t="n">
        <v>7</v>
      </c>
      <c r="CS118" s="43" t="inlineStr">
        <is>
          <t>T1#</t>
        </is>
      </c>
      <c r="CT118" s="187" t="inlineStr">
        <is>
          <t>N</t>
        </is>
      </c>
      <c r="CU118" s="187" t="n"/>
      <c r="CV118" s="187" t="n"/>
      <c r="CW118" s="1" t="n"/>
      <c r="CX118" s="1" t="n"/>
      <c r="CY118" s="1" t="n"/>
      <c r="CZ118" s="1" t="n"/>
      <c r="DA118" s="1" t="n"/>
      <c r="DB118" s="1" t="n"/>
      <c r="DC118" s="1" t="n"/>
    </row>
    <row r="119" ht="15" customFormat="1" customHeight="1" s="42">
      <c r="A119" s="43" t="inlineStr">
        <is>
          <t>claireZhou(周涵)</t>
        </is>
      </c>
      <c r="B119" s="43" t="n"/>
      <c r="C119" s="43" t="n">
        <v>82815513</v>
      </c>
      <c r="D119" s="43" t="inlineStr">
        <is>
          <t>资金管理</t>
        </is>
      </c>
      <c r="E119" s="43" t="inlineStr">
        <is>
          <t>融资及资金筹划中心</t>
        </is>
      </c>
      <c r="F119" s="43" t="n"/>
      <c r="G119" s="44" t="inlineStr">
        <is>
          <t>S2职能系统－财经线/资金管理/融资及资金筹划中心</t>
        </is>
      </c>
      <c r="H119" s="179" t="n">
        <v>36932</v>
      </c>
      <c r="I119" s="43" t="inlineStr">
        <is>
          <t>社会招聘</t>
        </is>
      </c>
      <c r="J119" s="43" t="inlineStr">
        <is>
          <t>财经类－FN</t>
        </is>
      </c>
      <c r="K119" s="43" t="inlineStr">
        <is>
          <t>资金管理</t>
        </is>
      </c>
      <c r="L119" s="46" t="inlineStr">
        <is>
          <t>S5</t>
        </is>
      </c>
      <c r="M119" s="46" t="n"/>
      <c r="N119" s="43" t="inlineStr">
        <is>
          <t>T1</t>
        </is>
      </c>
      <c r="O119" s="43" t="n"/>
      <c r="P119" s="180" t="n"/>
      <c r="Q119" s="44" t="inlineStr">
        <is>
          <t>G,G</t>
        </is>
      </c>
      <c r="R119" s="44" t="n"/>
      <c r="S119" s="43" t="n"/>
      <c r="T119" s="180" t="n"/>
      <c r="U119" s="1" t="n">
        <v>24386.4</v>
      </c>
      <c r="V119" s="108" t="n">
        <v>0.083333</v>
      </c>
      <c r="W119" s="46" t="inlineStr">
        <is>
          <t>CNY</t>
        </is>
      </c>
      <c r="X119" s="181" t="n">
        <v>1</v>
      </c>
      <c r="Y119" s="1" t="n">
        <v>23402.38</v>
      </c>
      <c r="Z119" s="1" t="n">
        <v>0</v>
      </c>
      <c r="AA119" s="1" t="n">
        <v>48772.8</v>
      </c>
      <c r="AB119" s="1" t="n">
        <v>51275</v>
      </c>
      <c r="AC119" s="48" t="n">
        <v>24850</v>
      </c>
      <c r="AD119" s="1" t="n"/>
      <c r="AE119" s="48" t="n"/>
      <c r="AF119" s="1" t="n">
        <v>0</v>
      </c>
      <c r="AG119" s="1" t="n">
        <v>124897.8</v>
      </c>
      <c r="AH119" s="182" t="n">
        <v>5.336970000487129</v>
      </c>
      <c r="AI119" s="1" t="n">
        <v>124897.8</v>
      </c>
      <c r="AJ119" s="183" t="n">
        <v>5.336970000487129</v>
      </c>
      <c r="AK119" s="183" t="n">
        <v>4.27511218944398</v>
      </c>
      <c r="AL119" s="108" t="n"/>
      <c r="AM119" s="183" t="n"/>
      <c r="AN119" s="183" t="n"/>
      <c r="AO119" s="1" t="n"/>
      <c r="AP119" s="48" t="n"/>
      <c r="AQ119" s="1" t="n">
        <v>124897.8</v>
      </c>
      <c r="AR119" s="183" t="n">
        <v>5.336970000487129</v>
      </c>
      <c r="AS119" s="98" t="n">
        <v>1.231733727810651</v>
      </c>
      <c r="AT119" s="183" t="n"/>
      <c r="AU119" s="1" t="n"/>
      <c r="AV119" s="48" t="n"/>
      <c r="AW119" s="1" t="n"/>
      <c r="AX119" s="48" t="n"/>
      <c r="AY119" s="1" t="n"/>
      <c r="AZ119" s="48" t="n"/>
      <c r="BA119" s="51" t="n"/>
      <c r="BB119" s="180" t="n"/>
      <c r="BC119" s="1" t="n"/>
      <c r="BD119" s="1" t="n"/>
      <c r="BE119" s="180" t="n"/>
      <c r="BF119" s="1" t="n"/>
      <c r="BG119" s="1" t="n"/>
      <c r="BH119" s="1" t="n"/>
      <c r="BI119" s="1" t="n"/>
      <c r="BJ119" s="52" t="n"/>
      <c r="BK119" s="52" t="n"/>
      <c r="BL119" s="184" t="n">
        <v>1</v>
      </c>
      <c r="BM119" s="1" t="n">
        <v>21400</v>
      </c>
      <c r="BN119" s="1" t="n">
        <v>0</v>
      </c>
      <c r="BO119" s="1" t="n">
        <v>22265</v>
      </c>
      <c r="BP119" s="43" t="inlineStr">
        <is>
          <t>G,G</t>
        </is>
      </c>
      <c r="BQ119" s="43" t="inlineStr">
        <is>
          <t>T1</t>
        </is>
      </c>
      <c r="BR119" s="1" t="n">
        <v>75835</v>
      </c>
      <c r="BS119" s="185" t="n">
        <v>3.543691588785047</v>
      </c>
      <c r="BT119" s="1" t="n">
        <v>25565</v>
      </c>
      <c r="BU119" s="1" t="n">
        <v>101400</v>
      </c>
      <c r="BV119" s="54" t="n">
        <v>4.738317757009346</v>
      </c>
      <c r="BW119" s="54" t="n"/>
      <c r="BX119" s="1" t="n"/>
      <c r="BY119" s="1" t="n">
        <v>101400</v>
      </c>
      <c r="BZ119" s="54" t="n">
        <v>4.738317757009346</v>
      </c>
      <c r="CA119" s="54" t="n"/>
      <c r="CB119" s="186" t="n"/>
      <c r="CC119" s="186" t="n"/>
      <c r="CD119" s="186" t="n"/>
      <c r="CE119" s="52" t="n"/>
      <c r="CF119" s="52" t="n"/>
      <c r="CG119" s="43" t="n"/>
      <c r="CH119" s="43" t="n"/>
      <c r="CI119" s="43" t="n"/>
      <c r="CJ119" s="43" t="n"/>
      <c r="CK119" s="43" t="n"/>
      <c r="CL119" s="43" t="n"/>
      <c r="CM119" s="43" t="n"/>
      <c r="CN119" s="43" t="n"/>
      <c r="CO119" s="43" t="n"/>
      <c r="CP119" s="43" t="inlineStr">
        <is>
          <t>资金管理</t>
        </is>
      </c>
      <c r="CQ119" s="43" t="inlineStr">
        <is>
          <t>3,3</t>
        </is>
      </c>
      <c r="CR119" s="43" t="n">
        <v>5</v>
      </c>
      <c r="CS119" s="43" t="inlineStr">
        <is>
          <t>T1</t>
        </is>
      </c>
      <c r="CT119" s="187" t="inlineStr">
        <is>
          <t>N</t>
        </is>
      </c>
      <c r="CU119" s="187" t="n"/>
      <c r="CV119" s="187" t="n"/>
      <c r="CW119" s="1" t="n"/>
      <c r="CX119" s="1" t="n"/>
      <c r="CY119" s="1" t="n"/>
      <c r="CZ119" s="1" t="n"/>
      <c r="DA119" s="1" t="n"/>
      <c r="DB119" s="1" t="n"/>
      <c r="DC119" s="1" t="n"/>
    </row>
    <row r="120" ht="15" customFormat="1" customHeight="1" s="42">
      <c r="A120" s="43" t="inlineStr">
        <is>
          <t>lauraChang(常雅梦)</t>
        </is>
      </c>
      <c r="B120" s="43" t="n"/>
      <c r="C120" s="43" t="n">
        <v>98397758</v>
      </c>
      <c r="D120" s="43" t="inlineStr">
        <is>
          <t>FiT财务管理</t>
        </is>
      </c>
      <c r="E120" s="43" t="inlineStr">
        <is>
          <t>结算支持中心</t>
        </is>
      </c>
      <c r="F120" s="43" t="n"/>
      <c r="G120" s="44" t="inlineStr">
        <is>
          <t>S2职能系统－财经线/FiT财务管理/结算支持中心</t>
        </is>
      </c>
      <c r="H120" s="179" t="n">
        <v>43606</v>
      </c>
      <c r="I120" s="43" t="inlineStr">
        <is>
          <t>社会招聘</t>
        </is>
      </c>
      <c r="J120" s="43" t="inlineStr">
        <is>
          <t>财经类－FN</t>
        </is>
      </c>
      <c r="K120" s="43" t="inlineStr">
        <is>
          <t>财务管理</t>
        </is>
      </c>
      <c r="L120" s="46" t="inlineStr">
        <is>
          <t>S7</t>
        </is>
      </c>
      <c r="M120" s="46" t="n"/>
      <c r="N120" s="43" t="inlineStr">
        <is>
          <t>T1#</t>
        </is>
      </c>
      <c r="O120" s="43" t="n"/>
      <c r="P120" s="180" t="n"/>
      <c r="Q120" s="44" t="inlineStr">
        <is>
          <t>G,G</t>
        </is>
      </c>
      <c r="R120" s="44" t="n"/>
      <c r="S120" s="43" t="n"/>
      <c r="T120" s="180" t="n"/>
      <c r="U120" s="1" t="n">
        <v>42766.95</v>
      </c>
      <c r="V120" s="108" t="n">
        <v>0.083333</v>
      </c>
      <c r="W120" s="46" t="inlineStr">
        <is>
          <t>CNY</t>
        </is>
      </c>
      <c r="X120" s="181" t="n">
        <v>1</v>
      </c>
      <c r="Y120" s="1" t="n">
        <v>41930.2</v>
      </c>
      <c r="Z120" s="1" t="n">
        <v>0</v>
      </c>
      <c r="AA120" s="1" t="n">
        <v>85533.89999999999</v>
      </c>
      <c r="AB120" s="1" t="n">
        <v>135455</v>
      </c>
      <c r="AC120" s="48" t="n">
        <v>53835</v>
      </c>
      <c r="AD120" s="1" t="n"/>
      <c r="AE120" s="48" t="n"/>
      <c r="AF120" s="1" t="n">
        <v>0</v>
      </c>
      <c r="AG120" s="1" t="n">
        <v>274823.9</v>
      </c>
      <c r="AH120" s="182" t="n">
        <v>6.554318844174367</v>
      </c>
      <c r="AI120" s="1" t="n">
        <v>274823.9</v>
      </c>
      <c r="AJ120" s="183" t="n">
        <v>6.554318844174367</v>
      </c>
      <c r="AK120" s="183" t="n">
        <v>5.270399378013938</v>
      </c>
      <c r="AL120" s="108" t="n"/>
      <c r="AM120" s="183" t="n"/>
      <c r="AN120" s="183" t="n"/>
      <c r="AO120" s="1" t="n"/>
      <c r="AP120" s="48" t="n"/>
      <c r="AQ120" s="1" t="n">
        <v>274823.9</v>
      </c>
      <c r="AR120" s="183" t="n">
        <v>6.554318844174367</v>
      </c>
      <c r="AS120" s="98" t="n">
        <v>1.129243127747874</v>
      </c>
      <c r="AT120" s="183" t="n"/>
      <c r="AU120" s="1" t="n"/>
      <c r="AV120" s="48" t="n"/>
      <c r="AW120" s="1" t="n"/>
      <c r="AX120" s="48" t="n"/>
      <c r="AY120" s="1" t="n"/>
      <c r="AZ120" s="48" t="n"/>
      <c r="BA120" s="51" t="n"/>
      <c r="BB120" s="180" t="n"/>
      <c r="BC120" s="1" t="n"/>
      <c r="BD120" s="1" t="n"/>
      <c r="BE120" s="180" t="n"/>
      <c r="BF120" s="1" t="n"/>
      <c r="BG120" s="1" t="n"/>
      <c r="BH120" s="1" t="n"/>
      <c r="BI120" s="1" t="n"/>
      <c r="BJ120" s="52" t="n"/>
      <c r="BK120" s="52" t="n"/>
      <c r="BL120" s="184" t="n">
        <v>1</v>
      </c>
      <c r="BM120" s="1" t="n">
        <v>36410</v>
      </c>
      <c r="BN120" s="1" t="n">
        <v>0</v>
      </c>
      <c r="BO120" s="1" t="n">
        <v>36940</v>
      </c>
      <c r="BP120" s="43" t="inlineStr">
        <is>
          <t>G,G</t>
        </is>
      </c>
      <c r="BQ120" s="43" t="inlineStr">
        <is>
          <t>T1#</t>
        </is>
      </c>
      <c r="BR120" s="1" t="n">
        <v>194080</v>
      </c>
      <c r="BS120" s="185" t="n">
        <v>5.330403735237572</v>
      </c>
      <c r="BT120" s="1" t="n">
        <v>49290</v>
      </c>
      <c r="BU120" s="1" t="n">
        <v>243370</v>
      </c>
      <c r="BV120" s="54" t="n">
        <v>6.684152705300741</v>
      </c>
      <c r="BW120" s="54" t="n"/>
      <c r="BX120" s="1" t="n"/>
      <c r="BY120" s="1" t="n">
        <v>243370</v>
      </c>
      <c r="BZ120" s="54" t="n">
        <v>6.684152705300741</v>
      </c>
      <c r="CA120" s="54" t="n"/>
      <c r="CB120" s="186" t="n"/>
      <c r="CC120" s="186" t="n"/>
      <c r="CD120" s="186" t="n"/>
      <c r="CE120" s="52" t="n"/>
      <c r="CF120" s="52" t="n"/>
      <c r="CG120" s="43" t="n"/>
      <c r="CH120" s="43" t="n"/>
      <c r="CI120" s="43" t="n"/>
      <c r="CJ120" s="43" t="n"/>
      <c r="CK120" s="43" t="n"/>
      <c r="CL120" s="43" t="n"/>
      <c r="CM120" s="43" t="n"/>
      <c r="CN120" s="43" t="n"/>
      <c r="CO120" s="43" t="n"/>
      <c r="CP120" s="43" t="inlineStr">
        <is>
          <t>FiT财务管理</t>
        </is>
      </c>
      <c r="CQ120" s="43" t="inlineStr">
        <is>
          <t>3,3</t>
        </is>
      </c>
      <c r="CR120" s="43" t="n">
        <v>7</v>
      </c>
      <c r="CS120" s="43" t="inlineStr">
        <is>
          <t>T1#</t>
        </is>
      </c>
      <c r="CT120" s="187" t="inlineStr">
        <is>
          <t>N</t>
        </is>
      </c>
      <c r="CU120" s="187" t="n"/>
      <c r="CV120" s="187" t="n"/>
      <c r="CW120" s="1" t="n"/>
      <c r="CX120" s="1" t="n"/>
      <c r="CY120" s="1" t="n"/>
      <c r="CZ120" s="1" t="n"/>
      <c r="DA120" s="1" t="n"/>
      <c r="DB120" s="1" t="n"/>
      <c r="DC120" s="1" t="n"/>
    </row>
    <row r="121" ht="15" customFormat="1" customHeight="1" s="42">
      <c r="A121" s="43" t="inlineStr">
        <is>
          <t>arthurHu(胡然)</t>
        </is>
      </c>
      <c r="B121" s="43" t="n"/>
      <c r="C121" s="43" t="n">
        <v>98234022</v>
      </c>
      <c r="D121" s="43" t="inlineStr">
        <is>
          <t>财经投资并购及管理部</t>
        </is>
      </c>
      <c r="E121" s="43" t="inlineStr">
        <is>
          <t>运营支持中心</t>
        </is>
      </c>
      <c r="F121" s="43" t="n"/>
      <c r="G121" s="44" t="inlineStr">
        <is>
          <t>S2职能系统－财经线/财经投资并购及管理部/运营支持中心</t>
        </is>
      </c>
      <c r="H121" s="179" t="n">
        <v>37602</v>
      </c>
      <c r="I121" s="43" t="inlineStr">
        <is>
          <t>高校招聘</t>
        </is>
      </c>
      <c r="J121" s="43" t="inlineStr">
        <is>
          <t>财经类－FN</t>
        </is>
      </c>
      <c r="K121" s="43" t="inlineStr">
        <is>
          <t>投资并购</t>
        </is>
      </c>
      <c r="L121" s="46" t="inlineStr">
        <is>
          <t>S9</t>
        </is>
      </c>
      <c r="M121" s="46" t="n"/>
      <c r="N121" s="43" t="inlineStr">
        <is>
          <t>T1#</t>
        </is>
      </c>
      <c r="O121" s="43" t="n"/>
      <c r="P121" s="180" t="n"/>
      <c r="Q121" s="44" t="inlineStr">
        <is>
          <t>G,G</t>
        </is>
      </c>
      <c r="R121" s="44" t="n"/>
      <c r="S121" s="43" t="n"/>
      <c r="T121" s="180" t="n"/>
      <c r="U121" s="1" t="n">
        <v>50151.15</v>
      </c>
      <c r="V121" s="108" t="n">
        <v>0.083333</v>
      </c>
      <c r="W121" s="46" t="inlineStr">
        <is>
          <t>CNY</t>
        </is>
      </c>
      <c r="X121" s="181" t="n">
        <v>1</v>
      </c>
      <c r="Y121" s="1" t="n">
        <v>46342.47</v>
      </c>
      <c r="Z121" s="1" t="n">
        <v>0</v>
      </c>
      <c r="AA121" s="1" t="n">
        <v>100302.3</v>
      </c>
      <c r="AB121" s="1" t="n">
        <v>172580</v>
      </c>
      <c r="AC121" s="48" t="n">
        <v>52960</v>
      </c>
      <c r="AD121" s="1" t="n"/>
      <c r="AE121" s="48" t="n"/>
      <c r="AF121" s="1" t="n">
        <v>0</v>
      </c>
      <c r="AG121" s="1" t="n">
        <v>325842.3</v>
      </c>
      <c r="AH121" s="182" t="n">
        <v>7.031181117450148</v>
      </c>
      <c r="AI121" s="1" t="n">
        <v>325842.3</v>
      </c>
      <c r="AJ121" s="183" t="n">
        <v>7.031181117450148</v>
      </c>
      <c r="AK121" s="183" t="n">
        <v>5.888384887555627</v>
      </c>
      <c r="AL121" s="108" t="n"/>
      <c r="AM121" s="183" t="n"/>
      <c r="AN121" s="183" t="n"/>
      <c r="AO121" s="1" t="n"/>
      <c r="AP121" s="48" t="n"/>
      <c r="AQ121" s="1" t="n">
        <v>325842.3</v>
      </c>
      <c r="AR121" s="183" t="n">
        <v>7.031181117450148</v>
      </c>
      <c r="AS121" s="98" t="n">
        <v>1.176857065462754</v>
      </c>
      <c r="AT121" s="183" t="n"/>
      <c r="AU121" s="1" t="n"/>
      <c r="AV121" s="48" t="n"/>
      <c r="AW121" s="1" t="n"/>
      <c r="AX121" s="48" t="n"/>
      <c r="AY121" s="1" t="n"/>
      <c r="AZ121" s="48" t="n"/>
      <c r="BA121" s="51" t="n"/>
      <c r="BB121" s="180" t="n"/>
      <c r="BC121" s="1" t="n"/>
      <c r="BD121" s="1" t="n"/>
      <c r="BE121" s="180" t="n"/>
      <c r="BF121" s="1" t="n"/>
      <c r="BG121" s="1" t="n"/>
      <c r="BH121" s="1" t="n"/>
      <c r="BI121" s="1" t="n"/>
      <c r="BJ121" s="52" t="n"/>
      <c r="BK121" s="52" t="n"/>
      <c r="BL121" s="184" t="n">
        <v>1</v>
      </c>
      <c r="BM121" s="1" t="n">
        <v>41560</v>
      </c>
      <c r="BN121" s="1" t="n">
        <v>0</v>
      </c>
      <c r="BO121" s="1" t="n">
        <v>41735</v>
      </c>
      <c r="BP121" s="43" t="inlineStr">
        <is>
          <t>G,G</t>
        </is>
      </c>
      <c r="BQ121" s="43" t="inlineStr">
        <is>
          <t>T1#</t>
        </is>
      </c>
      <c r="BR121" s="1" t="n">
        <v>214830</v>
      </c>
      <c r="BS121" s="185" t="n">
        <v>5.169153031761309</v>
      </c>
      <c r="BT121" s="1" t="n">
        <v>62045</v>
      </c>
      <c r="BU121" s="1" t="n">
        <v>276875</v>
      </c>
      <c r="BV121" s="54" t="n">
        <v>6.662054860442733</v>
      </c>
      <c r="BW121" s="54" t="n"/>
      <c r="BX121" s="1" t="n"/>
      <c r="BY121" s="1" t="n">
        <v>276875</v>
      </c>
      <c r="BZ121" s="54" t="n">
        <v>6.662054860442733</v>
      </c>
      <c r="CA121" s="54" t="n"/>
      <c r="CB121" s="186" t="n"/>
      <c r="CC121" s="186" t="n"/>
      <c r="CD121" s="186" t="n"/>
      <c r="CE121" s="52" t="n"/>
      <c r="CF121" s="52" t="n"/>
      <c r="CG121" s="43" t="n"/>
      <c r="CH121" s="43" t="n"/>
      <c r="CI121" s="43" t="n"/>
      <c r="CJ121" s="43" t="n"/>
      <c r="CK121" s="43" t="n"/>
      <c r="CL121" s="43" t="n"/>
      <c r="CM121" s="43" t="n"/>
      <c r="CN121" s="43" t="n"/>
      <c r="CO121" s="43" t="n"/>
      <c r="CP121" s="43" t="inlineStr">
        <is>
          <t>财经投资并购及管理部</t>
        </is>
      </c>
      <c r="CQ121" s="43" t="inlineStr">
        <is>
          <t>3,3</t>
        </is>
      </c>
      <c r="CR121" s="43" t="n">
        <v>9</v>
      </c>
      <c r="CS121" s="43" t="inlineStr">
        <is>
          <t>T1#</t>
        </is>
      </c>
      <c r="CT121" s="187" t="inlineStr">
        <is>
          <t>N</t>
        </is>
      </c>
      <c r="CU121" s="187" t="n"/>
      <c r="CV121" s="187" t="n"/>
      <c r="CW121" s="1" t="n"/>
      <c r="CX121" s="1" t="n"/>
      <c r="CY121" s="1" t="n"/>
      <c r="CZ121" s="1" t="n"/>
      <c r="DA121" s="1" t="n"/>
      <c r="DB121" s="1" t="n"/>
      <c r="DC121" s="1" t="n"/>
    </row>
    <row r="122" ht="15" customFormat="1" customHeight="1" s="42">
      <c r="A122" s="43" t="inlineStr">
        <is>
          <t>jessicaTian(田雅雪)</t>
        </is>
      </c>
      <c r="B122" s="43" t="n"/>
      <c r="C122" s="43" t="n">
        <v>52822396</v>
      </c>
      <c r="D122" s="43" t="inlineStr">
        <is>
          <t>财会及报告管理部</t>
        </is>
      </c>
      <c r="E122" s="43" t="inlineStr">
        <is>
          <t>账务中心</t>
        </is>
      </c>
      <c r="F122" s="43" t="n"/>
      <c r="G122" s="44" t="inlineStr">
        <is>
          <t>S2职能系统－财经线/财会及报告管理部/账务中心</t>
        </is>
      </c>
      <c r="H122" s="179" t="n">
        <v>36794</v>
      </c>
      <c r="I122" s="43" t="inlineStr">
        <is>
          <t>社会招聘</t>
        </is>
      </c>
      <c r="J122" s="43" t="inlineStr">
        <is>
          <t>财经类－FN</t>
        </is>
      </c>
      <c r="K122" s="43" t="inlineStr">
        <is>
          <t>会计</t>
        </is>
      </c>
      <c r="L122" s="46" t="inlineStr">
        <is>
          <t>S9</t>
        </is>
      </c>
      <c r="M122" s="46" t="n"/>
      <c r="N122" s="43" t="inlineStr">
        <is>
          <t>T1</t>
        </is>
      </c>
      <c r="O122" s="43" t="n"/>
      <c r="P122" s="180" t="n"/>
      <c r="Q122" s="44" t="inlineStr">
        <is>
          <t>O,U</t>
        </is>
      </c>
      <c r="R122" s="44" t="n"/>
      <c r="S122" s="43" t="n"/>
      <c r="T122" s="180" t="n"/>
      <c r="U122" s="1" t="n">
        <v>47301.65</v>
      </c>
      <c r="V122" s="108" t="n">
        <v>0.083333</v>
      </c>
      <c r="W122" s="46" t="inlineStr">
        <is>
          <t>CNY</t>
        </is>
      </c>
      <c r="X122" s="181" t="n">
        <v>1</v>
      </c>
      <c r="Y122" s="1" t="n">
        <v>46469.07</v>
      </c>
      <c r="Z122" s="1" t="n">
        <v>0</v>
      </c>
      <c r="AA122" s="1" t="n">
        <v>94603.3</v>
      </c>
      <c r="AB122" s="1" t="n">
        <v>100520</v>
      </c>
      <c r="AC122" s="48" t="n">
        <v>0</v>
      </c>
      <c r="AD122" s="1" t="n"/>
      <c r="AE122" s="48" t="n"/>
      <c r="AF122" s="1" t="n">
        <v>0</v>
      </c>
      <c r="AG122" s="1" t="n">
        <v>195123.3</v>
      </c>
      <c r="AH122" s="182" t="n">
        <v>4.198993007606995</v>
      </c>
      <c r="AI122" s="1" t="n">
        <v>195123.3</v>
      </c>
      <c r="AJ122" s="183" t="n">
        <v>4.198993007606995</v>
      </c>
      <c r="AK122" s="183" t="n">
        <v>4.198993007606995</v>
      </c>
      <c r="AL122" s="108" t="n"/>
      <c r="AM122" s="183" t="n"/>
      <c r="AN122" s="183" t="n"/>
      <c r="AO122" s="1" t="n"/>
      <c r="AP122" s="48" t="n"/>
      <c r="AQ122" s="1" t="n">
        <v>195123.3</v>
      </c>
      <c r="AR122" s="183" t="n">
        <v>4.198993007606995</v>
      </c>
      <c r="AS122" s="98" t="n">
        <v>0.9136055249912208</v>
      </c>
      <c r="AT122" s="183" t="n"/>
      <c r="AU122" s="1" t="n"/>
      <c r="AV122" s="48" t="n"/>
      <c r="AW122" s="1" t="n"/>
      <c r="AX122" s="48" t="n"/>
      <c r="AY122" s="1" t="n"/>
      <c r="AZ122" s="48" t="n"/>
      <c r="BA122" s="51" t="n"/>
      <c r="BB122" s="180" t="n"/>
      <c r="BC122" s="1" t="n"/>
      <c r="BD122" s="1" t="n"/>
      <c r="BE122" s="180" t="n"/>
      <c r="BF122" s="1" t="n"/>
      <c r="BG122" s="1" t="n"/>
      <c r="BH122" s="1" t="n"/>
      <c r="BI122" s="1" t="n"/>
      <c r="BJ122" s="52" t="n"/>
      <c r="BK122" s="52" t="n"/>
      <c r="BL122" s="184" t="n">
        <v>1</v>
      </c>
      <c r="BM122" s="1" t="n">
        <v>38500</v>
      </c>
      <c r="BN122" s="1" t="n">
        <v>0</v>
      </c>
      <c r="BO122" s="1" t="n">
        <v>41545</v>
      </c>
      <c r="BP122" s="43" t="inlineStr">
        <is>
          <t>G,G</t>
        </is>
      </c>
      <c r="BQ122" s="43" t="inlineStr">
        <is>
          <t>T1</t>
        </is>
      </c>
      <c r="BR122" s="1" t="n">
        <v>137640</v>
      </c>
      <c r="BS122" s="185" t="n">
        <v>3.575064935064935</v>
      </c>
      <c r="BT122" s="1" t="n">
        <v>75935</v>
      </c>
      <c r="BU122" s="1" t="n">
        <v>213575</v>
      </c>
      <c r="BV122" s="54" t="n">
        <v>5.547402597402598</v>
      </c>
      <c r="BW122" s="54" t="n"/>
      <c r="BX122" s="1" t="n"/>
      <c r="BY122" s="1" t="n">
        <v>213575</v>
      </c>
      <c r="BZ122" s="54" t="n">
        <v>5.547402597402598</v>
      </c>
      <c r="CA122" s="54" t="n"/>
      <c r="CB122" s="186" t="n"/>
      <c r="CC122" s="186" t="n"/>
      <c r="CD122" s="186" t="n"/>
      <c r="CE122" s="52" t="n"/>
      <c r="CF122" s="52" t="n"/>
      <c r="CG122" s="43" t="n"/>
      <c r="CH122" s="43" t="n"/>
      <c r="CI122" s="43" t="n"/>
      <c r="CJ122" s="43" t="n"/>
      <c r="CK122" s="43" t="n"/>
      <c r="CL122" s="43" t="n"/>
      <c r="CM122" s="43" t="n"/>
      <c r="CN122" s="43" t="n"/>
      <c r="CO122" s="43" t="n"/>
      <c r="CP122" s="43" t="inlineStr">
        <is>
          <t>财会及报告管理部</t>
        </is>
      </c>
      <c r="CQ122" s="43" t="inlineStr">
        <is>
          <t>5,1</t>
        </is>
      </c>
      <c r="CR122" s="43" t="n">
        <v>9</v>
      </c>
      <c r="CS122" s="43" t="inlineStr">
        <is>
          <t>T1</t>
        </is>
      </c>
      <c r="CT122" s="187" t="inlineStr">
        <is>
          <t>N</t>
        </is>
      </c>
      <c r="CU122" s="187" t="n"/>
      <c r="CV122" s="187" t="n"/>
      <c r="CW122" s="1" t="n"/>
      <c r="CX122" s="1" t="n"/>
      <c r="CY122" s="1" t="n"/>
      <c r="CZ122" s="1" t="n"/>
      <c r="DA122" s="1" t="n"/>
      <c r="DB122" s="1" t="n"/>
      <c r="DC122" s="1" t="n"/>
    </row>
    <row r="123" ht="15" customFormat="1" customHeight="1" s="42">
      <c r="A123" s="43" t="inlineStr">
        <is>
          <t>janetHao(郝璇)</t>
        </is>
      </c>
      <c r="B123" s="43" t="n"/>
      <c r="C123" s="43" t="n">
        <v>95248687</v>
      </c>
      <c r="D123" s="43" t="inlineStr">
        <is>
          <t>财会及报告管理部</t>
        </is>
      </c>
      <c r="E123" s="43" t="inlineStr">
        <is>
          <t>供应商支付管理中心</t>
        </is>
      </c>
      <c r="F123" s="43" t="n"/>
      <c r="G123" s="44" t="inlineStr">
        <is>
          <t>S2职能系统－财经线/财会及报告管理部/供应商支付管理中心</t>
        </is>
      </c>
      <c r="H123" s="179" t="n">
        <v>43472</v>
      </c>
      <c r="I123" s="43" t="inlineStr">
        <is>
          <t>社会招聘</t>
        </is>
      </c>
      <c r="J123" s="43" t="inlineStr">
        <is>
          <t>财经类－FN</t>
        </is>
      </c>
      <c r="K123" s="43" t="inlineStr">
        <is>
          <t>会计</t>
        </is>
      </c>
      <c r="L123" s="46" t="inlineStr">
        <is>
          <t>S7</t>
        </is>
      </c>
      <c r="M123" s="46" t="n"/>
      <c r="N123" s="43" t="inlineStr">
        <is>
          <t>T2</t>
        </is>
      </c>
      <c r="O123" s="43" t="n"/>
      <c r="P123" s="180" t="n"/>
      <c r="Q123" s="44" t="inlineStr">
        <is>
          <t>G,O</t>
        </is>
      </c>
      <c r="R123" s="44" t="n"/>
      <c r="S123" s="43" t="n"/>
      <c r="T123" s="180" t="n"/>
      <c r="U123" s="1" t="n">
        <v>41358.75</v>
      </c>
      <c r="V123" s="108" t="n">
        <v>0.083333</v>
      </c>
      <c r="W123" s="46" t="inlineStr">
        <is>
          <t>CNY</t>
        </is>
      </c>
      <c r="X123" s="181" t="n">
        <v>1</v>
      </c>
      <c r="Y123" s="1" t="n">
        <v>37570.74</v>
      </c>
      <c r="Z123" s="1" t="n">
        <v>0</v>
      </c>
      <c r="AA123" s="1" t="n">
        <v>124076.25</v>
      </c>
      <c r="AB123" s="1" t="n">
        <v>41845</v>
      </c>
      <c r="AC123" s="48" t="n">
        <v>0</v>
      </c>
      <c r="AD123" s="1" t="n"/>
      <c r="AE123" s="48" t="n"/>
      <c r="AF123" s="1" t="n">
        <v>0</v>
      </c>
      <c r="AG123" s="1" t="n">
        <v>165921.25</v>
      </c>
      <c r="AH123" s="182" t="n">
        <v>4.416235879303948</v>
      </c>
      <c r="AI123" s="1" t="n">
        <v>165921.25</v>
      </c>
      <c r="AJ123" s="183" t="n">
        <v>4.416235879303948</v>
      </c>
      <c r="AK123" s="183" t="n">
        <v>4.416235879303948</v>
      </c>
      <c r="AL123" s="108" t="n"/>
      <c r="AM123" s="183" t="n"/>
      <c r="AN123" s="183" t="n"/>
      <c r="AO123" s="1" t="n"/>
      <c r="AP123" s="48" t="n"/>
      <c r="AQ123" s="1" t="n">
        <v>165921.25</v>
      </c>
      <c r="AR123" s="183" t="n">
        <v>4.416235879303948</v>
      </c>
      <c r="AS123" s="98" t="n">
        <v>1.136291261471031</v>
      </c>
      <c r="AT123" s="183" t="n"/>
      <c r="AU123" s="1" t="n"/>
      <c r="AV123" s="48" t="n"/>
      <c r="AW123" s="1" t="n"/>
      <c r="AX123" s="48" t="n"/>
      <c r="AY123" s="1" t="n"/>
      <c r="AZ123" s="48" t="n"/>
      <c r="BA123" s="51" t="n"/>
      <c r="BB123" s="180" t="n"/>
      <c r="BC123" s="1" t="n"/>
      <c r="BD123" s="1" t="n"/>
      <c r="BE123" s="180" t="n"/>
      <c r="BF123" s="1" t="n"/>
      <c r="BG123" s="1" t="n"/>
      <c r="BH123" s="1" t="n"/>
      <c r="BI123" s="1" t="n"/>
      <c r="BJ123" s="52" t="n"/>
      <c r="BK123" s="52" t="n"/>
      <c r="BL123" s="184" t="n">
        <v>1</v>
      </c>
      <c r="BM123" s="1" t="n">
        <v>33340</v>
      </c>
      <c r="BN123" s="1" t="n">
        <v>0</v>
      </c>
      <c r="BO123" s="1" t="n">
        <v>35165</v>
      </c>
      <c r="BP123" s="43" t="inlineStr">
        <is>
          <t>O,G</t>
        </is>
      </c>
      <c r="BQ123" s="43" t="inlineStr">
        <is>
          <t>Others</t>
        </is>
      </c>
      <c r="BR123" s="1" t="n">
        <v>146020</v>
      </c>
      <c r="BS123" s="185" t="n">
        <v>4.379724055188962</v>
      </c>
      <c r="BT123" s="1" t="n">
        <v>0</v>
      </c>
      <c r="BU123" s="1" t="n">
        <v>146020</v>
      </c>
      <c r="BV123" s="54" t="n">
        <v>4.379724055188962</v>
      </c>
      <c r="BW123" s="54" t="n"/>
      <c r="BX123" s="1" t="n"/>
      <c r="BY123" s="1" t="n">
        <v>146020</v>
      </c>
      <c r="BZ123" s="54" t="n">
        <v>4.379724055188962</v>
      </c>
      <c r="CA123" s="54" t="n"/>
      <c r="CB123" s="186" t="n"/>
      <c r="CC123" s="186" t="n"/>
      <c r="CD123" s="186" t="n"/>
      <c r="CE123" s="52" t="n"/>
      <c r="CF123" s="52" t="n"/>
      <c r="CG123" s="43" t="n"/>
      <c r="CH123" s="43" t="n"/>
      <c r="CI123" s="43" t="n"/>
      <c r="CJ123" s="43" t="n"/>
      <c r="CK123" s="43" t="n"/>
      <c r="CL123" s="43" t="n"/>
      <c r="CM123" s="43" t="n"/>
      <c r="CN123" s="43" t="n"/>
      <c r="CO123" s="43" t="n"/>
      <c r="CP123" s="43" t="inlineStr">
        <is>
          <t>财会及报告管理部</t>
        </is>
      </c>
      <c r="CQ123" s="43" t="inlineStr">
        <is>
          <t>5,3</t>
        </is>
      </c>
      <c r="CR123" s="43" t="n">
        <v>7</v>
      </c>
      <c r="CS123" s="43" t="inlineStr">
        <is>
          <t>T2</t>
        </is>
      </c>
      <c r="CT123" s="187" t="inlineStr">
        <is>
          <t>N</t>
        </is>
      </c>
      <c r="CU123" s="187" t="n"/>
      <c r="CV123" s="187" t="n"/>
      <c r="CW123" s="1" t="n"/>
      <c r="CX123" s="1" t="n"/>
      <c r="CY123" s="1" t="n"/>
      <c r="CZ123" s="1" t="n"/>
      <c r="DA123" s="1" t="n"/>
      <c r="DB123" s="1" t="n"/>
      <c r="DC123" s="1" t="n"/>
    </row>
    <row r="124" ht="15" customFormat="1" customHeight="1" s="42">
      <c r="A124" s="43" t="inlineStr">
        <is>
          <t>johnHe(何宁俊)</t>
        </is>
      </c>
      <c r="B124" s="43" t="n"/>
      <c r="C124" s="43" t="n">
        <v>24046692</v>
      </c>
      <c r="D124" s="43" t="inlineStr">
        <is>
          <t>CFO办公室</t>
        </is>
      </c>
      <c r="E124" s="43" t="inlineStr">
        <is>
          <t>ESG协同办公室</t>
        </is>
      </c>
      <c r="F124" s="43" t="n"/>
      <c r="G124" s="44" t="inlineStr">
        <is>
          <t>S2职能系统－财经线/CFO办公室/ESG协同办公室</t>
        </is>
      </c>
      <c r="H124" s="179" t="n">
        <v>36825</v>
      </c>
      <c r="I124" s="43" t="inlineStr">
        <is>
          <t>社会招聘</t>
        </is>
      </c>
      <c r="J124" s="43" t="inlineStr">
        <is>
          <t>财经类－FN</t>
        </is>
      </c>
      <c r="K124" s="43" t="inlineStr">
        <is>
          <t>投资者关系</t>
        </is>
      </c>
      <c r="L124" s="46" t="inlineStr">
        <is>
          <t>S10</t>
        </is>
      </c>
      <c r="M124" s="46" t="n"/>
      <c r="N124" s="43" t="inlineStr">
        <is>
          <t>T1</t>
        </is>
      </c>
      <c r="O124" s="43" t="n"/>
      <c r="P124" s="180" t="n"/>
      <c r="Q124" s="44" t="inlineStr">
        <is>
          <t>G,G</t>
        </is>
      </c>
      <c r="R124" s="44" t="n"/>
      <c r="S124" s="43" t="n"/>
      <c r="T124" s="180" t="n"/>
      <c r="U124" s="1" t="n">
        <v>35133.95</v>
      </c>
      <c r="V124" s="108" t="n">
        <v>0.083333</v>
      </c>
      <c r="W124" s="46" t="inlineStr">
        <is>
          <t>CNY</t>
        </is>
      </c>
      <c r="X124" s="181" t="n">
        <v>1</v>
      </c>
      <c r="Y124" s="1" t="n">
        <v>33909.68</v>
      </c>
      <c r="Z124" s="1" t="n">
        <v>0</v>
      </c>
      <c r="AA124" s="1" t="n">
        <v>70267.89999999999</v>
      </c>
      <c r="AB124" s="1" t="n">
        <v>78545</v>
      </c>
      <c r="AC124" s="48" t="n">
        <v>38955</v>
      </c>
      <c r="AD124" s="1" t="n"/>
      <c r="AE124" s="48" t="n"/>
      <c r="AF124" s="1" t="n">
        <v>0</v>
      </c>
      <c r="AG124" s="1" t="n">
        <v>187767.9</v>
      </c>
      <c r="AH124" s="182" t="n">
        <v>5.537294955304798</v>
      </c>
      <c r="AI124" s="1" t="n">
        <v>187767.9</v>
      </c>
      <c r="AJ124" s="183" t="n">
        <v>5.537294955304798</v>
      </c>
      <c r="AK124" s="183" t="n">
        <v>4.38850794227489</v>
      </c>
      <c r="AL124" s="108" t="n"/>
      <c r="AM124" s="183" t="n"/>
      <c r="AN124" s="183" t="n"/>
      <c r="AO124" s="1" t="n"/>
      <c r="AP124" s="48" t="n"/>
      <c r="AQ124" s="1" t="n">
        <v>187767.9</v>
      </c>
      <c r="AR124" s="183" t="n">
        <v>5.537294955304798</v>
      </c>
      <c r="AS124" s="98" t="n">
        <v>1.240825375846688</v>
      </c>
      <c r="AT124" s="183" t="n"/>
      <c r="AU124" s="1" t="n"/>
      <c r="AV124" s="48" t="n"/>
      <c r="AW124" s="1" t="n"/>
      <c r="AX124" s="48" t="n"/>
      <c r="AY124" s="1" t="n"/>
      <c r="AZ124" s="48" t="n"/>
      <c r="BA124" s="51" t="n"/>
      <c r="BB124" s="180" t="n"/>
      <c r="BC124" s="1" t="n"/>
      <c r="BD124" s="1" t="n"/>
      <c r="BE124" s="180" t="n"/>
      <c r="BF124" s="1" t="n"/>
      <c r="BG124" s="1" t="n"/>
      <c r="BH124" s="1" t="n"/>
      <c r="BI124" s="1" t="n"/>
      <c r="BJ124" s="52" t="n"/>
      <c r="BK124" s="52" t="n"/>
      <c r="BL124" s="184" t="n">
        <v>1</v>
      </c>
      <c r="BM124" s="1" t="n">
        <v>31135</v>
      </c>
      <c r="BN124" s="1" t="n">
        <v>0</v>
      </c>
      <c r="BO124" s="1" t="n">
        <v>32020</v>
      </c>
      <c r="BP124" s="43" t="inlineStr">
        <is>
          <t>G,G</t>
        </is>
      </c>
      <c r="BQ124" s="43" t="inlineStr">
        <is>
          <t>T1</t>
        </is>
      </c>
      <c r="BR124" s="1" t="n">
        <v>99880</v>
      </c>
      <c r="BS124" s="185" t="n">
        <v>3.207965312349446</v>
      </c>
      <c r="BT124" s="1" t="n">
        <v>51445</v>
      </c>
      <c r="BU124" s="1" t="n">
        <v>151325</v>
      </c>
      <c r="BV124" s="54" t="n">
        <v>4.860285851935121</v>
      </c>
      <c r="BW124" s="54" t="n"/>
      <c r="BX124" s="1" t="n"/>
      <c r="BY124" s="1" t="n">
        <v>151325</v>
      </c>
      <c r="BZ124" s="54" t="n">
        <v>4.860285851935121</v>
      </c>
      <c r="CA124" s="54" t="n"/>
      <c r="CB124" s="186" t="n"/>
      <c r="CC124" s="186" t="n"/>
      <c r="CD124" s="186" t="n"/>
      <c r="CE124" s="52" t="n"/>
      <c r="CF124" s="52" t="n"/>
      <c r="CG124" s="43" t="n"/>
      <c r="CH124" s="43" t="n"/>
      <c r="CI124" s="43" t="n"/>
      <c r="CJ124" s="43" t="n"/>
      <c r="CK124" s="43" t="n"/>
      <c r="CL124" s="43" t="n"/>
      <c r="CM124" s="43" t="n"/>
      <c r="CN124" s="43" t="n"/>
      <c r="CO124" s="43" t="n"/>
      <c r="CP124" s="43" t="inlineStr">
        <is>
          <t>CFO办公室</t>
        </is>
      </c>
      <c r="CQ124" s="43" t="inlineStr">
        <is>
          <t>3,3</t>
        </is>
      </c>
      <c r="CR124" s="43" t="n">
        <v>10</v>
      </c>
      <c r="CS124" s="43" t="inlineStr">
        <is>
          <t>T1</t>
        </is>
      </c>
      <c r="CT124" s="187" t="inlineStr">
        <is>
          <t>N</t>
        </is>
      </c>
      <c r="CU124" s="187" t="n"/>
      <c r="CV124" s="187" t="n"/>
      <c r="CW124" s="1" t="n"/>
      <c r="CX124" s="1" t="n"/>
      <c r="CY124" s="1" t="n"/>
      <c r="CZ124" s="1" t="n"/>
      <c r="DA124" s="1" t="n"/>
      <c r="DB124" s="1" t="n"/>
      <c r="DC124" s="1" t="n"/>
    </row>
    <row r="125" ht="15" customFormat="1" customHeight="1" s="42">
      <c r="A125" s="43" t="inlineStr">
        <is>
          <t>emmaLi(李敏君)</t>
        </is>
      </c>
      <c r="B125" s="43" t="n"/>
      <c r="C125" s="43" t="n">
        <v>38430930</v>
      </c>
      <c r="D125" s="43" t="inlineStr">
        <is>
          <t>CSIG财务管理</t>
        </is>
      </c>
      <c r="E125" s="43" t="inlineStr">
        <is>
          <t>产品财务管理中心</t>
        </is>
      </c>
      <c r="F125" s="43" t="n"/>
      <c r="G125" s="44" t="inlineStr">
        <is>
          <t>S2职能系统－财经线/CSIG财务管理/产品财务管理中心</t>
        </is>
      </c>
      <c r="H125" s="179" t="n">
        <v>43706</v>
      </c>
      <c r="I125" s="43" t="inlineStr">
        <is>
          <t>社会招聘</t>
        </is>
      </c>
      <c r="J125" s="43" t="inlineStr">
        <is>
          <t>财经类－FN</t>
        </is>
      </c>
      <c r="K125" s="43" t="inlineStr">
        <is>
          <t>财务管理</t>
        </is>
      </c>
      <c r="L125" s="46" t="inlineStr">
        <is>
          <t>S7</t>
        </is>
      </c>
      <c r="M125" s="46" t="n"/>
      <c r="N125" s="43" t="inlineStr">
        <is>
          <t>T2</t>
        </is>
      </c>
      <c r="O125" s="43" t="n"/>
      <c r="P125" s="180" t="n"/>
      <c r="Q125" s="44" t="inlineStr">
        <is>
          <t>U,G</t>
        </is>
      </c>
      <c r="R125" s="44" t="n"/>
      <c r="S125" s="43" t="n"/>
      <c r="T125" s="180" t="n"/>
      <c r="U125" s="1" t="n">
        <v>28003.15</v>
      </c>
      <c r="V125" s="108" t="n">
        <v>0.083333</v>
      </c>
      <c r="W125" s="46" t="inlineStr">
        <is>
          <t>CNY</t>
        </is>
      </c>
      <c r="X125" s="181" t="n">
        <v>1</v>
      </c>
      <c r="Y125" s="1" t="n">
        <v>26232.14</v>
      </c>
      <c r="Z125" s="1" t="n">
        <v>0</v>
      </c>
      <c r="AA125" s="1" t="n">
        <v>28003.15</v>
      </c>
      <c r="AB125" s="1" t="n">
        <v>38040</v>
      </c>
      <c r="AC125" s="48" t="n">
        <v>0</v>
      </c>
      <c r="AD125" s="1" t="n"/>
      <c r="AE125" s="48" t="n"/>
      <c r="AF125" s="1" t="n">
        <v>0</v>
      </c>
      <c r="AG125" s="1" t="n">
        <v>66043.14999999999</v>
      </c>
      <c r="AH125" s="182" t="n">
        <v>2.517642479797683</v>
      </c>
      <c r="AI125" s="1" t="n">
        <v>66043.14999999999</v>
      </c>
      <c r="AJ125" s="183" t="n">
        <v>2.517642479797683</v>
      </c>
      <c r="AK125" s="183" t="n">
        <v>2.517642479797683</v>
      </c>
      <c r="AL125" s="108" t="n"/>
      <c r="AM125" s="183" t="n"/>
      <c r="AN125" s="183" t="n"/>
      <c r="AO125" s="1" t="n"/>
      <c r="AP125" s="48" t="n"/>
      <c r="AQ125" s="1" t="n">
        <v>66043.14999999999</v>
      </c>
      <c r="AR125" s="183" t="n">
        <v>2.517642479797683</v>
      </c>
      <c r="AS125" s="98" t="n">
        <v>0.8129388232397833</v>
      </c>
      <c r="AT125" s="183" t="n"/>
      <c r="AU125" s="1" t="n"/>
      <c r="AV125" s="48" t="n"/>
      <c r="AW125" s="1" t="n"/>
      <c r="AX125" s="48" t="n"/>
      <c r="AY125" s="1" t="n"/>
      <c r="AZ125" s="48" t="n"/>
      <c r="BA125" s="51" t="n"/>
      <c r="BB125" s="180" t="n"/>
      <c r="BC125" s="1" t="n"/>
      <c r="BD125" s="1" t="n"/>
      <c r="BE125" s="180" t="n"/>
      <c r="BF125" s="1" t="n"/>
      <c r="BG125" s="1" t="n"/>
      <c r="BH125" s="1" t="n"/>
      <c r="BI125" s="1" t="n"/>
      <c r="BJ125" s="52" t="n"/>
      <c r="BK125" s="52" t="n"/>
      <c r="BL125" s="184" t="n">
        <v>1</v>
      </c>
      <c r="BM125" s="1" t="n">
        <v>23150</v>
      </c>
      <c r="BN125" s="1" t="n">
        <v>0</v>
      </c>
      <c r="BO125" s="1" t="n">
        <v>24040</v>
      </c>
      <c r="BP125" s="43" t="inlineStr">
        <is>
          <t>G,G</t>
        </is>
      </c>
      <c r="BQ125" s="43" t="inlineStr">
        <is>
          <t>T2</t>
        </is>
      </c>
      <c r="BR125" s="1" t="n">
        <v>81240</v>
      </c>
      <c r="BS125" s="185" t="n">
        <v>3.509287257019439</v>
      </c>
      <c r="BT125" s="1" t="n">
        <v>0</v>
      </c>
      <c r="BU125" s="1" t="n">
        <v>81240</v>
      </c>
      <c r="BV125" s="54" t="n">
        <v>3.509287257019439</v>
      </c>
      <c r="BW125" s="54" t="n"/>
      <c r="BX125" s="1" t="n"/>
      <c r="BY125" s="1" t="n">
        <v>81240</v>
      </c>
      <c r="BZ125" s="54" t="n">
        <v>3.509287257019439</v>
      </c>
      <c r="CA125" s="54" t="n"/>
      <c r="CB125" s="186" t="n"/>
      <c r="CC125" s="186" t="n"/>
      <c r="CD125" s="186" t="n"/>
      <c r="CE125" s="52" t="n"/>
      <c r="CF125" s="52" t="n"/>
      <c r="CG125" s="43" t="n"/>
      <c r="CH125" s="43" t="n"/>
      <c r="CI125" s="43" t="n"/>
      <c r="CJ125" s="43" t="n"/>
      <c r="CK125" s="43" t="n"/>
      <c r="CL125" s="43" t="n"/>
      <c r="CM125" s="43" t="n"/>
      <c r="CN125" s="43" t="n"/>
      <c r="CO125" s="43" t="n"/>
      <c r="CP125" s="43" t="inlineStr">
        <is>
          <t>CSIG财务管理</t>
        </is>
      </c>
      <c r="CQ125" s="43" t="inlineStr">
        <is>
          <t>3,1</t>
        </is>
      </c>
      <c r="CR125" s="43" t="n">
        <v>7</v>
      </c>
      <c r="CS125" s="43" t="inlineStr">
        <is>
          <t>T2</t>
        </is>
      </c>
      <c r="CT125" s="187" t="inlineStr">
        <is>
          <t>N</t>
        </is>
      </c>
      <c r="CU125" s="187" t="n"/>
      <c r="CV125" s="187" t="n"/>
      <c r="CW125" s="1" t="n"/>
      <c r="CX125" s="1" t="n"/>
      <c r="CY125" s="1" t="n"/>
      <c r="CZ125" s="1" t="n"/>
      <c r="DA125" s="1" t="n"/>
      <c r="DB125" s="1" t="n"/>
      <c r="DC125" s="1" t="n"/>
    </row>
    <row r="126" ht="15" customFormat="1" customHeight="1" s="42">
      <c r="A126" s="43" t="inlineStr">
        <is>
          <t>blakeTian(田凯嘉)</t>
        </is>
      </c>
      <c r="B126" s="43" t="n"/>
      <c r="C126" s="43" t="n">
        <v>36277768</v>
      </c>
      <c r="D126" s="43" t="inlineStr">
        <is>
          <t>财经IT管理部</t>
        </is>
      </c>
      <c r="E126" s="43" t="inlineStr">
        <is>
          <t>国际业务支持中心</t>
        </is>
      </c>
      <c r="F126" s="43" t="n"/>
      <c r="G126" s="44" t="inlineStr">
        <is>
          <t>S2职能系统－财经线/财经IT管理部/国际业务支持中心</t>
        </is>
      </c>
      <c r="H126" s="179" t="n">
        <v>45186</v>
      </c>
      <c r="I126" s="43" t="inlineStr">
        <is>
          <t>社会招聘</t>
        </is>
      </c>
      <c r="J126" s="43" t="inlineStr">
        <is>
          <t>技术研发类－TRD</t>
        </is>
      </c>
      <c r="K126" s="43" t="inlineStr">
        <is>
          <t>应用开发</t>
        </is>
      </c>
      <c r="L126" s="46" t="inlineStr">
        <is>
          <t>T6</t>
        </is>
      </c>
      <c r="M126" s="46" t="n"/>
      <c r="N126" s="43" t="inlineStr">
        <is>
          <t>T1</t>
        </is>
      </c>
      <c r="O126" s="43" t="n"/>
      <c r="P126" s="180" t="n"/>
      <c r="Q126" s="44" t="inlineStr">
        <is>
          <t>G,G</t>
        </is>
      </c>
      <c r="R126" s="44" t="n"/>
      <c r="S126" s="43" t="n"/>
      <c r="T126" s="180" t="n"/>
      <c r="U126" s="1" t="n">
        <v>28268.1</v>
      </c>
      <c r="V126" s="108" t="n">
        <v>0.083333</v>
      </c>
      <c r="W126" s="46" t="inlineStr">
        <is>
          <t>CNY</t>
        </is>
      </c>
      <c r="X126" s="181" t="n">
        <v>1</v>
      </c>
      <c r="Y126" s="1" t="n">
        <v>27405.61</v>
      </c>
      <c r="Z126" s="1" t="n">
        <v>0</v>
      </c>
      <c r="AA126" s="1" t="n">
        <v>56536.2</v>
      </c>
      <c r="AB126" s="1" t="n">
        <v>69965</v>
      </c>
      <c r="AC126" s="48" t="n">
        <v>49470</v>
      </c>
      <c r="AD126" s="1" t="n"/>
      <c r="AE126" s="48" t="n"/>
      <c r="AF126" s="1" t="n">
        <v>0</v>
      </c>
      <c r="AG126" s="1" t="n">
        <v>175971.2</v>
      </c>
      <c r="AH126" s="182" t="n">
        <v>6.420991906401646</v>
      </c>
      <c r="AI126" s="1" t="n">
        <v>175971.2</v>
      </c>
      <c r="AJ126" s="183" t="n">
        <v>6.420991906401646</v>
      </c>
      <c r="AK126" s="183" t="n">
        <v>4.615887039186502</v>
      </c>
      <c r="AL126" s="108" t="n"/>
      <c r="AM126" s="183" t="n"/>
      <c r="AN126" s="183" t="n"/>
      <c r="AO126" s="1" t="n"/>
      <c r="AP126" s="48" t="n"/>
      <c r="AQ126" s="1" t="n">
        <v>175971.2</v>
      </c>
      <c r="AR126" s="183" t="n">
        <v>6.420991906401646</v>
      </c>
      <c r="AS126" s="98" t="n">
        <v>24.32221147201106</v>
      </c>
      <c r="AT126" s="183" t="n"/>
      <c r="AU126" s="1" t="n"/>
      <c r="AV126" s="48" t="n"/>
      <c r="AW126" s="1" t="n"/>
      <c r="AX126" s="48" t="n"/>
      <c r="AY126" s="1" t="n"/>
      <c r="AZ126" s="48" t="n"/>
      <c r="BA126" s="51" t="n"/>
      <c r="BB126" s="180" t="n"/>
      <c r="BC126" s="1" t="n"/>
      <c r="BD126" s="1" t="n"/>
      <c r="BE126" s="180" t="n"/>
      <c r="BF126" s="1" t="n"/>
      <c r="BG126" s="1" t="n"/>
      <c r="BH126" s="1" t="n"/>
      <c r="BI126" s="1" t="n"/>
      <c r="BJ126" s="52" t="n"/>
      <c r="BK126" s="52" t="n"/>
      <c r="BL126" s="184" t="n">
        <v>0.287671232876712</v>
      </c>
      <c r="BM126" s="1" t="n">
        <v>25155</v>
      </c>
      <c r="BN126" s="1" t="n">
        <v>0</v>
      </c>
      <c r="BO126" s="1" t="n">
        <v>25155</v>
      </c>
      <c r="BP126" s="43" t="inlineStr">
        <is>
          <t>N,O</t>
        </is>
      </c>
      <c r="BQ126" s="43" t="inlineStr">
        <is>
          <t>T1</t>
        </is>
      </c>
      <c r="BR126" s="1" t="n">
        <v>7235</v>
      </c>
      <c r="BS126" s="185" t="n">
        <v>0.287616775988869</v>
      </c>
      <c r="BT126" s="1" t="n">
        <v>0</v>
      </c>
      <c r="BU126" s="1" t="n">
        <v>7235</v>
      </c>
      <c r="BV126" s="54" t="n">
        <v>0.287616775988869</v>
      </c>
      <c r="BW126" s="54" t="n"/>
      <c r="BX126" s="1" t="n"/>
      <c r="BY126" s="1" t="n">
        <v>7235</v>
      </c>
      <c r="BZ126" s="54" t="n">
        <v>0.287616775988869</v>
      </c>
      <c r="CA126" s="54" t="n"/>
      <c r="CB126" s="186" t="n"/>
      <c r="CC126" s="186" t="n"/>
      <c r="CD126" s="186" t="n"/>
      <c r="CE126" s="52" t="n"/>
      <c r="CF126" s="52" t="n"/>
      <c r="CG126" s="43" t="n"/>
      <c r="CH126" s="43" t="n"/>
      <c r="CI126" s="43" t="n"/>
      <c r="CJ126" s="43" t="n"/>
      <c r="CK126" s="43" t="n"/>
      <c r="CL126" s="43" t="n"/>
      <c r="CM126" s="43" t="n"/>
      <c r="CN126" s="43" t="n"/>
      <c r="CO126" s="43" t="n"/>
      <c r="CP126" s="43" t="inlineStr">
        <is>
          <t>财经IT管理部</t>
        </is>
      </c>
      <c r="CQ126" s="43" t="inlineStr">
        <is>
          <t>3,3</t>
        </is>
      </c>
      <c r="CR126" s="43" t="n">
        <v>6</v>
      </c>
      <c r="CS126" s="43" t="inlineStr">
        <is>
          <t>T1</t>
        </is>
      </c>
      <c r="CT126" s="187" t="inlineStr">
        <is>
          <t>N</t>
        </is>
      </c>
      <c r="CU126" s="187" t="n"/>
      <c r="CV126" s="187" t="n"/>
      <c r="CW126" s="1" t="n"/>
      <c r="CX126" s="1" t="n"/>
      <c r="CY126" s="1" t="n"/>
      <c r="CZ126" s="1" t="n"/>
      <c r="DA126" s="1" t="n"/>
      <c r="DB126" s="1" t="n"/>
      <c r="DC126" s="1" t="n"/>
    </row>
    <row r="127" ht="15" customFormat="1" customHeight="1" s="42">
      <c r="A127" s="43" t="inlineStr">
        <is>
          <t>howardLai(赖成)</t>
        </is>
      </c>
      <c r="B127" s="43" t="n"/>
      <c r="C127" s="43" t="n">
        <v>78402084</v>
      </c>
      <c r="D127" s="43" t="inlineStr">
        <is>
          <t>税务部</t>
        </is>
      </c>
      <c r="E127" s="43" t="inlineStr">
        <is>
          <t>海外税务中心</t>
        </is>
      </c>
      <c r="F127" s="43" t="n"/>
      <c r="G127" s="44" t="inlineStr">
        <is>
          <t>S2职能系统－财经线/税务部/海外税务中心</t>
        </is>
      </c>
      <c r="H127" s="179" t="n">
        <v>42704</v>
      </c>
      <c r="I127" s="43" t="inlineStr">
        <is>
          <t>社会招聘</t>
        </is>
      </c>
      <c r="J127" s="43" t="inlineStr">
        <is>
          <t>财经类－FN</t>
        </is>
      </c>
      <c r="K127" s="43" t="inlineStr">
        <is>
          <t>税务</t>
        </is>
      </c>
      <c r="L127" s="46" t="inlineStr">
        <is>
          <t>S7</t>
        </is>
      </c>
      <c r="M127" s="46" t="n"/>
      <c r="N127" s="43" t="inlineStr">
        <is>
          <t>T2</t>
        </is>
      </c>
      <c r="O127" s="43" t="n"/>
      <c r="P127" s="180" t="n"/>
      <c r="Q127" s="44" t="inlineStr">
        <is>
          <t>G,G</t>
        </is>
      </c>
      <c r="R127" s="44" t="n"/>
      <c r="S127" s="43" t="n"/>
      <c r="T127" s="180" t="n"/>
      <c r="U127" s="1" t="n">
        <v>41095.3</v>
      </c>
      <c r="V127" s="108" t="n">
        <v>0.083333</v>
      </c>
      <c r="W127" s="46" t="inlineStr">
        <is>
          <t>CNY</t>
        </is>
      </c>
      <c r="X127" s="181" t="n">
        <v>1</v>
      </c>
      <c r="Y127" s="1" t="n">
        <v>37237.72</v>
      </c>
      <c r="Z127" s="1" t="n">
        <v>0</v>
      </c>
      <c r="AA127" s="1" t="n">
        <v>82190.60000000001</v>
      </c>
      <c r="AB127" s="1" t="n">
        <v>43255</v>
      </c>
      <c r="AC127" s="48" t="n">
        <v>0</v>
      </c>
      <c r="AD127" s="1" t="n"/>
      <c r="AE127" s="48" t="n"/>
      <c r="AF127" s="1" t="n">
        <v>0</v>
      </c>
      <c r="AG127" s="1" t="n">
        <v>125445.6</v>
      </c>
      <c r="AH127" s="182" t="n">
        <v>3.368777680266139</v>
      </c>
      <c r="AI127" s="1" t="n">
        <v>125445.6</v>
      </c>
      <c r="AJ127" s="183" t="n">
        <v>3.368777680266139</v>
      </c>
      <c r="AK127" s="183" t="n">
        <v>3.368777680266139</v>
      </c>
      <c r="AL127" s="108" t="n"/>
      <c r="AM127" s="183" t="n"/>
      <c r="AN127" s="183" t="n"/>
      <c r="AO127" s="1" t="n"/>
      <c r="AP127" s="48" t="n"/>
      <c r="AQ127" s="1" t="n">
        <v>125445.6</v>
      </c>
      <c r="AR127" s="183" t="n">
        <v>3.368777680266139</v>
      </c>
      <c r="AS127" s="98" t="n">
        <v>1.110088934117959</v>
      </c>
      <c r="AT127" s="183" t="n"/>
      <c r="AU127" s="1" t="n"/>
      <c r="AV127" s="48" t="n"/>
      <c r="AW127" s="1" t="n"/>
      <c r="AX127" s="48" t="n"/>
      <c r="AY127" s="1" t="n"/>
      <c r="AZ127" s="48" t="n"/>
      <c r="BA127" s="51" t="n"/>
      <c r="BB127" s="180" t="n"/>
      <c r="BC127" s="1" t="n"/>
      <c r="BD127" s="1" t="n"/>
      <c r="BE127" s="180" t="n"/>
      <c r="BF127" s="1" t="n"/>
      <c r="BG127" s="1" t="n"/>
      <c r="BH127" s="1" t="n"/>
      <c r="BI127" s="1" t="n"/>
      <c r="BJ127" s="52" t="n"/>
      <c r="BK127" s="52" t="n"/>
      <c r="BL127" s="184" t="n">
        <v>1</v>
      </c>
      <c r="BM127" s="1" t="n">
        <v>35290</v>
      </c>
      <c r="BN127" s="1" t="n">
        <v>0</v>
      </c>
      <c r="BO127" s="1" t="n">
        <v>37040</v>
      </c>
      <c r="BP127" s="43" t="inlineStr">
        <is>
          <t>G,G</t>
        </is>
      </c>
      <c r="BQ127" s="43" t="inlineStr">
        <is>
          <t>T2</t>
        </is>
      </c>
      <c r="BR127" s="1" t="n">
        <v>113005</v>
      </c>
      <c r="BS127" s="185" t="n">
        <v>3.202181921224143</v>
      </c>
      <c r="BT127" s="1" t="n">
        <v>0</v>
      </c>
      <c r="BU127" s="1" t="n">
        <v>113005</v>
      </c>
      <c r="BV127" s="54" t="n">
        <v>3.202181921224143</v>
      </c>
      <c r="BW127" s="54" t="n"/>
      <c r="BX127" s="1" t="n"/>
      <c r="BY127" s="1" t="n">
        <v>113005</v>
      </c>
      <c r="BZ127" s="54" t="n">
        <v>3.202181921224143</v>
      </c>
      <c r="CA127" s="54" t="n"/>
      <c r="CB127" s="186" t="n"/>
      <c r="CC127" s="186" t="n"/>
      <c r="CD127" s="186" t="n"/>
      <c r="CE127" s="52" t="n"/>
      <c r="CF127" s="52" t="n"/>
      <c r="CG127" s="43" t="n"/>
      <c r="CH127" s="43" t="n"/>
      <c r="CI127" s="43" t="n"/>
      <c r="CJ127" s="43" t="n"/>
      <c r="CK127" s="43" t="n"/>
      <c r="CL127" s="43" t="n"/>
      <c r="CM127" s="43" t="n"/>
      <c r="CN127" s="43" t="n"/>
      <c r="CO127" s="43" t="n"/>
      <c r="CP127" s="43" t="inlineStr">
        <is>
          <t>税务部</t>
        </is>
      </c>
      <c r="CQ127" s="43" t="inlineStr">
        <is>
          <t>3,3</t>
        </is>
      </c>
      <c r="CR127" s="43" t="n">
        <v>7</v>
      </c>
      <c r="CS127" s="43" t="inlineStr">
        <is>
          <t>T2</t>
        </is>
      </c>
      <c r="CT127" s="187" t="inlineStr">
        <is>
          <t>N</t>
        </is>
      </c>
      <c r="CU127" s="187" t="n"/>
      <c r="CV127" s="187" t="n"/>
      <c r="CW127" s="1" t="n"/>
      <c r="CX127" s="1" t="n"/>
      <c r="CY127" s="1" t="n"/>
      <c r="CZ127" s="1" t="n"/>
      <c r="DA127" s="1" t="n"/>
      <c r="DB127" s="1" t="n"/>
      <c r="DC127" s="1" t="n"/>
    </row>
    <row r="128" ht="15" customFormat="1" customHeight="1" s="42">
      <c r="A128" s="43" t="inlineStr">
        <is>
          <t>marcusLong(龙立炜)</t>
        </is>
      </c>
      <c r="B128" s="43" t="n"/>
      <c r="C128" s="43" t="n">
        <v>57915941</v>
      </c>
      <c r="D128" s="43" t="inlineStr">
        <is>
          <t>财会及报告管理部</t>
        </is>
      </c>
      <c r="E128" s="43" t="inlineStr">
        <is>
          <t>资产管理组</t>
        </is>
      </c>
      <c r="F128" s="43" t="n"/>
      <c r="G128" s="44" t="inlineStr">
        <is>
          <t>S2职能系统－财经线/财会及报告管理部/资产管理组</t>
        </is>
      </c>
      <c r="H128" s="179" t="n">
        <v>39132</v>
      </c>
      <c r="I128" s="43" t="inlineStr">
        <is>
          <t>高校招聘</t>
        </is>
      </c>
      <c r="J128" s="43" t="inlineStr">
        <is>
          <t>财经类－FN</t>
        </is>
      </c>
      <c r="K128" s="43" t="inlineStr">
        <is>
          <t>会计</t>
        </is>
      </c>
      <c r="L128" s="46" t="inlineStr">
        <is>
          <t>S10</t>
        </is>
      </c>
      <c r="M128" s="46" t="n"/>
      <c r="N128" s="43" t="inlineStr">
        <is>
          <t>T1</t>
        </is>
      </c>
      <c r="O128" s="43" t="n"/>
      <c r="P128" s="180" t="n"/>
      <c r="Q128" s="44" t="inlineStr">
        <is>
          <t>G,G</t>
        </is>
      </c>
      <c r="R128" s="44" t="n"/>
      <c r="S128" s="43" t="n"/>
      <c r="T128" s="180" t="n"/>
      <c r="U128" s="1" t="n">
        <v>64404.8</v>
      </c>
      <c r="V128" s="108" t="n">
        <v>0.083333</v>
      </c>
      <c r="W128" s="46" t="inlineStr">
        <is>
          <t>CNY</t>
        </is>
      </c>
      <c r="X128" s="181" t="n">
        <v>1</v>
      </c>
      <c r="Y128" s="1" t="n">
        <v>61531.92</v>
      </c>
      <c r="Z128" s="1" t="n">
        <v>0</v>
      </c>
      <c r="AA128" s="1" t="n">
        <v>128809.6</v>
      </c>
      <c r="AB128" s="1" t="n">
        <v>133625</v>
      </c>
      <c r="AC128" s="48" t="n">
        <v>67480</v>
      </c>
      <c r="AD128" s="1" t="n"/>
      <c r="AE128" s="48" t="n"/>
      <c r="AF128" s="1" t="n">
        <v>0</v>
      </c>
      <c r="AG128" s="1" t="n">
        <v>329914.6</v>
      </c>
      <c r="AH128" s="182" t="n">
        <v>5.361682196817521</v>
      </c>
      <c r="AI128" s="1" t="n">
        <v>329914.6</v>
      </c>
      <c r="AJ128" s="183" t="n">
        <v>5.361682196817521</v>
      </c>
      <c r="AK128" s="183" t="n">
        <v>4.265015621160529</v>
      </c>
      <c r="AL128" s="108" t="n"/>
      <c r="AM128" s="183" t="n"/>
      <c r="AN128" s="183" t="n"/>
      <c r="AO128" s="1" t="n"/>
      <c r="AP128" s="48" t="n"/>
      <c r="AQ128" s="1" t="n">
        <v>329914.6</v>
      </c>
      <c r="AR128" s="183" t="n">
        <v>5.361682196817521</v>
      </c>
      <c r="AS128" s="98" t="n">
        <v>1.041035625256382</v>
      </c>
      <c r="AT128" s="183" t="n"/>
      <c r="AU128" s="1" t="n"/>
      <c r="AV128" s="48" t="n"/>
      <c r="AW128" s="1" t="n"/>
      <c r="AX128" s="48" t="n"/>
      <c r="AY128" s="1" t="n"/>
      <c r="AZ128" s="48" t="n"/>
      <c r="BA128" s="51" t="n"/>
      <c r="BB128" s="180" t="n"/>
      <c r="BC128" s="1" t="n"/>
      <c r="BD128" s="1" t="n"/>
      <c r="BE128" s="180" t="n"/>
      <c r="BF128" s="1" t="n"/>
      <c r="BG128" s="1" t="n"/>
      <c r="BH128" s="1" t="n"/>
      <c r="BI128" s="1" t="n"/>
      <c r="BJ128" s="52" t="n"/>
      <c r="BK128" s="52" t="n"/>
      <c r="BL128" s="184" t="n">
        <v>1</v>
      </c>
      <c r="BM128" s="1" t="n">
        <v>52990</v>
      </c>
      <c r="BN128" s="1" t="n">
        <v>0</v>
      </c>
      <c r="BO128" s="1" t="n">
        <v>57305</v>
      </c>
      <c r="BP128" s="43" t="inlineStr">
        <is>
          <t>O,G</t>
        </is>
      </c>
      <c r="BQ128" s="43" t="inlineStr">
        <is>
          <t>T1</t>
        </is>
      </c>
      <c r="BR128" s="1" t="n">
        <v>235170</v>
      </c>
      <c r="BS128" s="185" t="n">
        <v>4.43800717116437</v>
      </c>
      <c r="BT128" s="1" t="n">
        <v>81740</v>
      </c>
      <c r="BU128" s="1" t="n">
        <v>316910</v>
      </c>
      <c r="BV128" s="54" t="n">
        <v>5.980562370258539</v>
      </c>
      <c r="BW128" s="54" t="n"/>
      <c r="BX128" s="1" t="n"/>
      <c r="BY128" s="1" t="n">
        <v>316910</v>
      </c>
      <c r="BZ128" s="54" t="n">
        <v>5.980562370258539</v>
      </c>
      <c r="CA128" s="54" t="n"/>
      <c r="CB128" s="186" t="n"/>
      <c r="CC128" s="186" t="n"/>
      <c r="CD128" s="186" t="n"/>
      <c r="CE128" s="52" t="n"/>
      <c r="CF128" s="52" t="n"/>
      <c r="CG128" s="43" t="n"/>
      <c r="CH128" s="43" t="n"/>
      <c r="CI128" s="43" t="n"/>
      <c r="CJ128" s="43" t="n"/>
      <c r="CK128" s="43" t="n"/>
      <c r="CL128" s="43" t="n"/>
      <c r="CM128" s="43" t="n"/>
      <c r="CN128" s="43" t="n"/>
      <c r="CO128" s="43" t="n"/>
      <c r="CP128" s="43" t="inlineStr">
        <is>
          <t>财会及报告管理部</t>
        </is>
      </c>
      <c r="CQ128" s="43" t="inlineStr">
        <is>
          <t>3,3</t>
        </is>
      </c>
      <c r="CR128" s="43" t="n">
        <v>10</v>
      </c>
      <c r="CS128" s="43" t="inlineStr">
        <is>
          <t>T1</t>
        </is>
      </c>
      <c r="CT128" s="187" t="inlineStr">
        <is>
          <t>N</t>
        </is>
      </c>
      <c r="CU128" s="187" t="n"/>
      <c r="CV128" s="187" t="n"/>
      <c r="CW128" s="1" t="n"/>
      <c r="CX128" s="1" t="n"/>
      <c r="CY128" s="1" t="n"/>
      <c r="CZ128" s="1" t="n"/>
      <c r="DA128" s="1" t="n"/>
      <c r="DB128" s="1" t="n"/>
      <c r="DC128" s="1" t="n"/>
    </row>
    <row r="129">
      <c r="A129" t="inlineStr">
        <is>
          <t>joycePeng(彭菲诗)</t>
        </is>
      </c>
      <c r="C129" t="n">
        <v>40195371</v>
      </c>
      <c r="D129" t="inlineStr">
        <is>
          <t>CFO办公室</t>
        </is>
      </c>
      <c r="E129" t="inlineStr">
        <is>
          <t>财经专业通道委员会</t>
        </is>
      </c>
      <c r="G129" t="inlineStr">
        <is>
          <t>S2职能系统－财经线/CFO办公室/财经专业通道委员会</t>
        </is>
      </c>
      <c r="H129" s="188" t="n">
        <v>40592</v>
      </c>
      <c r="I129" t="inlineStr">
        <is>
          <t>社会招聘</t>
        </is>
      </c>
      <c r="J129" t="inlineStr">
        <is>
          <t>财经类－FN</t>
        </is>
      </c>
      <c r="K129" t="inlineStr">
        <is>
          <t>投资者关系</t>
        </is>
      </c>
      <c r="L129" t="inlineStr">
        <is>
          <t>S9</t>
        </is>
      </c>
      <c r="N129" t="inlineStr">
        <is>
          <t>T2</t>
        </is>
      </c>
      <c r="P129" s="158" t="n"/>
      <c r="Q129" t="inlineStr">
        <is>
          <t>G,G</t>
        </is>
      </c>
      <c r="T129" s="158" t="n"/>
      <c r="U129" t="n">
        <v>32840.2</v>
      </c>
      <c r="V129" t="n">
        <v>0.083333</v>
      </c>
      <c r="W129" s="158" t="inlineStr">
        <is>
          <t>CNY</t>
        </is>
      </c>
      <c r="X129" t="n">
        <v>1</v>
      </c>
      <c r="Y129" s="26" t="n">
        <v>32462.62</v>
      </c>
      <c r="Z129" s="26" t="n">
        <v>0</v>
      </c>
      <c r="AA129" t="n">
        <v>65680.39999999999</v>
      </c>
      <c r="AB129" t="n">
        <v>47260</v>
      </c>
      <c r="AC129" t="n">
        <v>0</v>
      </c>
      <c r="AF129" t="n">
        <v>0</v>
      </c>
      <c r="AG129" t="n">
        <v>112940.4</v>
      </c>
      <c r="AH129" t="n">
        <v>3.47909072034235</v>
      </c>
      <c r="AI129" s="26" t="n">
        <v>112940.4</v>
      </c>
      <c r="AJ129" s="26" t="n">
        <v>3.47909072034235</v>
      </c>
      <c r="AK129" s="26" t="n">
        <v>3.47909072034235</v>
      </c>
      <c r="AO129" s="25" t="n"/>
      <c r="AQ129" t="n">
        <v>112940.4</v>
      </c>
      <c r="AR129" t="n">
        <v>3.47909072034235</v>
      </c>
      <c r="AS129" s="26" t="n">
        <v>1.225548261081873</v>
      </c>
      <c r="AU129" s="25" t="n"/>
      <c r="AV129" s="24" t="n"/>
      <c r="AW129" s="25" t="n"/>
      <c r="AX129" s="24" t="n"/>
      <c r="AY129" s="25" t="n"/>
      <c r="AZ129" s="24" t="n"/>
      <c r="BL129" t="n">
        <v>1</v>
      </c>
      <c r="BM129" s="26" t="n">
        <v>27135</v>
      </c>
      <c r="BN129" t="n">
        <v>0</v>
      </c>
      <c r="BO129" t="n">
        <v>28305</v>
      </c>
      <c r="BP129" t="inlineStr">
        <is>
          <t>U,O</t>
        </is>
      </c>
      <c r="BQ129" t="inlineStr">
        <is>
          <t>T2</t>
        </is>
      </c>
      <c r="BR129" t="n">
        <v>92155</v>
      </c>
      <c r="BS129" t="n">
        <v>3.396167311590197</v>
      </c>
      <c r="BT129" t="n">
        <v>0</v>
      </c>
      <c r="BU129" t="n">
        <v>92155</v>
      </c>
      <c r="BV129" s="26" t="n">
        <v>3.396167311590197</v>
      </c>
      <c r="BW129" s="26" t="n"/>
      <c r="BY129" t="n">
        <v>92155</v>
      </c>
      <c r="BZ129" t="n">
        <v>3.396167311590197</v>
      </c>
      <c r="CP129" t="inlineStr">
        <is>
          <t>CFO办公室</t>
        </is>
      </c>
      <c r="CQ129" t="inlineStr">
        <is>
          <t>3,3</t>
        </is>
      </c>
      <c r="CR129" t="n">
        <v>9</v>
      </c>
      <c r="CS129" t="inlineStr">
        <is>
          <t>T2</t>
        </is>
      </c>
      <c r="CT129" s="24" t="inlineStr">
        <is>
          <t>N</t>
        </is>
      </c>
      <c r="CU129" s="24" t="n"/>
      <c r="CV129" s="24" t="n"/>
    </row>
    <row r="130">
      <c r="A130" t="inlineStr">
        <is>
          <t>bryanXiao(萧豪磊)</t>
        </is>
      </c>
      <c r="C130" t="n">
        <v>97065359</v>
      </c>
      <c r="D130" t="inlineStr">
        <is>
          <t>基建财务管理</t>
        </is>
      </c>
      <c r="E130" t="inlineStr">
        <is>
          <t>基建财务管理</t>
        </is>
      </c>
      <c r="G130" t="inlineStr">
        <is>
          <t>S2职能系统－财经线/基建财务管理</t>
        </is>
      </c>
      <c r="H130" s="188" t="n">
        <v>44154</v>
      </c>
      <c r="I130" t="inlineStr">
        <is>
          <t>高校招聘</t>
        </is>
      </c>
      <c r="J130" t="inlineStr">
        <is>
          <t>财经类－FN</t>
        </is>
      </c>
      <c r="K130" t="inlineStr">
        <is>
          <t>财务管理</t>
        </is>
      </c>
      <c r="L130" t="inlineStr">
        <is>
          <t>S10</t>
        </is>
      </c>
      <c r="N130" t="inlineStr">
        <is>
          <t>T2</t>
        </is>
      </c>
      <c r="Q130" t="inlineStr">
        <is>
          <t>G,G</t>
        </is>
      </c>
      <c r="U130" t="n">
        <v>59384.15</v>
      </c>
      <c r="V130" t="n">
        <v>0.083333</v>
      </c>
      <c r="W130" t="inlineStr">
        <is>
          <t>CNY</t>
        </is>
      </c>
      <c r="X130" t="n">
        <v>1</v>
      </c>
      <c r="Y130" s="26" t="n">
        <v>56185.84</v>
      </c>
      <c r="Z130" t="n">
        <v>0</v>
      </c>
      <c r="AA130" t="n">
        <v>118768.3</v>
      </c>
      <c r="AB130" t="n">
        <v>87070</v>
      </c>
      <c r="AC130" t="n">
        <v>0</v>
      </c>
      <c r="AF130" t="n">
        <v>0</v>
      </c>
      <c r="AG130" t="n">
        <v>205838.3</v>
      </c>
      <c r="AH130" t="n">
        <v>3.663526255013719</v>
      </c>
      <c r="AI130" t="n">
        <v>205838.3</v>
      </c>
      <c r="AJ130" s="26" t="n">
        <v>3.663526255013719</v>
      </c>
      <c r="AK130" s="26" t="n">
        <v>3.663526255013719</v>
      </c>
      <c r="AQ130" t="n">
        <v>205838.3</v>
      </c>
      <c r="AR130" t="n">
        <v>3.663526255013719</v>
      </c>
      <c r="AS130" t="n">
        <v>1.808851882771651</v>
      </c>
      <c r="AU130" s="24" t="n"/>
      <c r="AV130" s="24" t="n"/>
      <c r="AW130" s="24" t="n"/>
      <c r="AX130" s="24" t="n"/>
      <c r="AY130" s="24" t="n"/>
      <c r="AZ130" s="24" t="n"/>
      <c r="BL130" t="n">
        <v>1</v>
      </c>
      <c r="BM130" s="26" t="n">
        <v>51850</v>
      </c>
      <c r="BN130" t="n">
        <v>0</v>
      </c>
      <c r="BO130" t="n">
        <v>52285</v>
      </c>
      <c r="BP130" t="inlineStr">
        <is>
          <t>G,U</t>
        </is>
      </c>
      <c r="BQ130" t="inlineStr">
        <is>
          <t>T2</t>
        </is>
      </c>
      <c r="BR130" t="n">
        <v>113795</v>
      </c>
      <c r="BS130" s="26" t="n">
        <v>2.194696239151398</v>
      </c>
      <c r="BT130" t="n">
        <v>0</v>
      </c>
      <c r="BU130" t="n">
        <v>113795</v>
      </c>
      <c r="BV130" s="26" t="n">
        <v>2.194696239151398</v>
      </c>
      <c r="BY130" t="n">
        <v>113795</v>
      </c>
      <c r="BZ130" t="n">
        <v>2.194696239151398</v>
      </c>
      <c r="CP130" t="inlineStr">
        <is>
          <t>基建财务管理</t>
        </is>
      </c>
      <c r="CQ130" t="inlineStr">
        <is>
          <t>3,3</t>
        </is>
      </c>
      <c r="CR130" t="n">
        <v>10</v>
      </c>
      <c r="CS130" t="inlineStr">
        <is>
          <t>T2</t>
        </is>
      </c>
      <c r="CT130" s="24" t="inlineStr">
        <is>
          <t>N</t>
        </is>
      </c>
      <c r="CU130" s="24" t="n"/>
      <c r="CV130" s="24" t="n"/>
    </row>
    <row r="131">
      <c r="A131" t="inlineStr">
        <is>
          <t>janetPeng(彭莹)</t>
        </is>
      </c>
      <c r="C131" t="n">
        <v>21668825</v>
      </c>
      <c r="D131" t="inlineStr">
        <is>
          <t>财经IT管理部</t>
        </is>
      </c>
      <c r="E131" t="inlineStr">
        <is>
          <t>国际业务支持中心</t>
        </is>
      </c>
      <c r="G131" t="inlineStr">
        <is>
          <t>S2职能系统－财经线/财经IT管理部/国际业务支持中心</t>
        </is>
      </c>
      <c r="H131" s="188" t="n">
        <v>44904</v>
      </c>
      <c r="I131" t="inlineStr">
        <is>
          <t>高校招聘</t>
        </is>
      </c>
      <c r="J131" t="inlineStr">
        <is>
          <t>技术研发类－TRD</t>
        </is>
      </c>
      <c r="K131" t="inlineStr">
        <is>
          <t>应用开发</t>
        </is>
      </c>
      <c r="L131" t="inlineStr">
        <is>
          <t>T9</t>
        </is>
      </c>
      <c r="N131" t="inlineStr">
        <is>
          <t>T1#</t>
        </is>
      </c>
      <c r="Q131" t="inlineStr">
        <is>
          <t>O,G</t>
        </is>
      </c>
      <c r="U131" t="n">
        <v>53515.7</v>
      </c>
      <c r="V131" t="n">
        <v>0.083333</v>
      </c>
      <c r="W131" t="inlineStr">
        <is>
          <t>CNY</t>
        </is>
      </c>
      <c r="X131" t="n">
        <v>1</v>
      </c>
      <c r="Y131" t="n">
        <v>52714.83</v>
      </c>
      <c r="Z131" t="n">
        <v>0</v>
      </c>
      <c r="AA131" t="n">
        <v>160547.1</v>
      </c>
      <c r="AB131" t="n">
        <v>164805</v>
      </c>
      <c r="AC131" t="n">
        <v>78795</v>
      </c>
      <c r="AF131" t="n">
        <v>0</v>
      </c>
      <c r="AG131" t="n">
        <v>404147.1</v>
      </c>
      <c r="AH131" t="n">
        <v>7.666667994566234</v>
      </c>
      <c r="AI131" t="n">
        <v>404147.1</v>
      </c>
      <c r="AJ131" t="n">
        <v>7.666667994566234</v>
      </c>
      <c r="AK131" t="n">
        <v>6.171927330506424</v>
      </c>
      <c r="AM131" s="24" t="n"/>
      <c r="AN131" s="24" t="n"/>
      <c r="AQ131" t="n">
        <v>404147.1</v>
      </c>
      <c r="AR131" t="n">
        <v>7.666667994566234</v>
      </c>
      <c r="AS131" s="26" t="n">
        <v>1.298402004722664</v>
      </c>
      <c r="BL131" t="n">
        <v>1</v>
      </c>
      <c r="BM131" t="n">
        <v>47310</v>
      </c>
      <c r="BN131" s="24" t="n">
        <v>0</v>
      </c>
      <c r="BO131" t="n">
        <v>48440</v>
      </c>
      <c r="BP131" t="inlineStr">
        <is>
          <t>G,G</t>
        </is>
      </c>
      <c r="BQ131" t="inlineStr">
        <is>
          <t>T1#</t>
        </is>
      </c>
      <c r="BR131" t="n">
        <v>256950</v>
      </c>
      <c r="BS131" t="n">
        <v>5.431198478123019</v>
      </c>
      <c r="BT131" t="n">
        <v>54315</v>
      </c>
      <c r="BU131" t="n">
        <v>311265</v>
      </c>
      <c r="BV131" t="n">
        <v>6.579264426125555</v>
      </c>
      <c r="BY131" t="n">
        <v>311265</v>
      </c>
      <c r="BZ131" t="n">
        <v>6.579264426125555</v>
      </c>
      <c r="CP131" t="inlineStr">
        <is>
          <t>财经IT管理部</t>
        </is>
      </c>
      <c r="CQ131" t="inlineStr">
        <is>
          <t>5,3</t>
        </is>
      </c>
      <c r="CR131" t="n">
        <v>9</v>
      </c>
      <c r="CS131" t="inlineStr">
        <is>
          <t>T1#</t>
        </is>
      </c>
      <c r="CT131" s="24" t="inlineStr">
        <is>
          <t>N</t>
        </is>
      </c>
      <c r="CU131" s="24" t="n"/>
      <c r="CV131" s="24" t="n"/>
    </row>
    <row r="132">
      <c r="A132" t="inlineStr">
        <is>
          <t>ethanNiu(牛勇志)</t>
        </is>
      </c>
      <c r="C132" t="n">
        <v>53964320</v>
      </c>
      <c r="D132" t="inlineStr">
        <is>
          <t>PCG财务管理</t>
        </is>
      </c>
      <c r="E132" t="inlineStr">
        <is>
          <t>在线视频财务管理中心</t>
        </is>
      </c>
      <c r="G132" t="inlineStr">
        <is>
          <t>S2职能系统－财经线/PCG财务管理/在线视频财务管理中心</t>
        </is>
      </c>
      <c r="H132" s="188" t="n">
        <v>42787</v>
      </c>
      <c r="I132" t="inlineStr">
        <is>
          <t>高校招聘</t>
        </is>
      </c>
      <c r="J132" t="inlineStr">
        <is>
          <t>财经类－FN</t>
        </is>
      </c>
      <c r="K132" t="inlineStr">
        <is>
          <t>财务管理</t>
        </is>
      </c>
      <c r="L132" t="inlineStr">
        <is>
          <t>S5</t>
        </is>
      </c>
      <c r="N132" t="inlineStr">
        <is>
          <t>T1</t>
        </is>
      </c>
      <c r="Q132" t="inlineStr">
        <is>
          <t>G,G</t>
        </is>
      </c>
      <c r="U132" t="n">
        <v>30340.25</v>
      </c>
      <c r="V132" t="n">
        <v>0.083333</v>
      </c>
      <c r="W132" t="inlineStr">
        <is>
          <t>CNY</t>
        </is>
      </c>
      <c r="X132" t="n">
        <v>1</v>
      </c>
      <c r="Y132" t="n">
        <v>28324.33</v>
      </c>
      <c r="Z132" t="n">
        <v>0</v>
      </c>
      <c r="AA132" t="n">
        <v>60680.5</v>
      </c>
      <c r="AB132" t="n">
        <v>62335</v>
      </c>
      <c r="AC132" t="n">
        <v>40705</v>
      </c>
      <c r="AF132" t="n">
        <v>0</v>
      </c>
      <c r="AG132" t="n">
        <v>163720.5</v>
      </c>
      <c r="AH132" t="n">
        <v>5.780207334118759</v>
      </c>
      <c r="AI132" t="n">
        <v>163720.5</v>
      </c>
      <c r="AJ132" t="n">
        <v>5.780207334118759</v>
      </c>
      <c r="AK132" t="n">
        <v>4.343103614454428</v>
      </c>
      <c r="AQ132" t="n">
        <v>163720.5</v>
      </c>
      <c r="AR132" t="n">
        <v>5.780207334118759</v>
      </c>
      <c r="AS132" s="26" t="n">
        <v>2.069529768676526</v>
      </c>
      <c r="BL132" t="n">
        <v>1</v>
      </c>
      <c r="BM132" t="n">
        <v>25000</v>
      </c>
      <c r="BN132" t="n">
        <v>0</v>
      </c>
      <c r="BO132" t="n">
        <v>25390</v>
      </c>
      <c r="BP132" t="inlineStr">
        <is>
          <t>G,G</t>
        </is>
      </c>
      <c r="BQ132" t="inlineStr">
        <is>
          <t>T2</t>
        </is>
      </c>
      <c r="BR132" t="n">
        <v>79110</v>
      </c>
      <c r="BS132" t="n">
        <v>3.1644</v>
      </c>
      <c r="BT132" t="n">
        <v>0</v>
      </c>
      <c r="BU132" t="n">
        <v>79110</v>
      </c>
      <c r="BV132" t="n">
        <v>3.1644</v>
      </c>
      <c r="BY132" t="n">
        <v>79110</v>
      </c>
      <c r="BZ132" t="n">
        <v>3.1644</v>
      </c>
      <c r="CP132" t="inlineStr">
        <is>
          <t>PCG财务管理</t>
        </is>
      </c>
      <c r="CQ132" t="inlineStr">
        <is>
          <t>3,3</t>
        </is>
      </c>
      <c r="CR132" t="n">
        <v>5</v>
      </c>
      <c r="CS132" t="inlineStr">
        <is>
          <t>T1</t>
        </is>
      </c>
      <c r="CT132" s="24" t="inlineStr">
        <is>
          <t>N</t>
        </is>
      </c>
      <c r="CU132" s="24" t="n"/>
      <c r="CV132" s="24" t="n"/>
    </row>
    <row r="133" ht="14" customHeight="1" s="178">
      <c r="A133" t="inlineStr">
        <is>
          <t>ralphTan(谭波)</t>
        </is>
      </c>
      <c r="B133" s="150" t="n"/>
      <c r="C133" t="n">
        <v>70522497</v>
      </c>
      <c r="D133" t="inlineStr">
        <is>
          <t>风险管理和内部控制</t>
        </is>
      </c>
      <c r="E133" t="inlineStr">
        <is>
          <t>S系统风控组</t>
        </is>
      </c>
      <c r="G133" t="inlineStr">
        <is>
          <t>S2职能系统－财经线/风险管理和内部控制/S系统风控组</t>
        </is>
      </c>
      <c r="H133" s="188" t="n">
        <v>43895</v>
      </c>
      <c r="I133" t="inlineStr">
        <is>
          <t>社会招聘</t>
        </is>
      </c>
      <c r="J133" t="inlineStr">
        <is>
          <t>财经类－FN</t>
        </is>
      </c>
      <c r="K133" t="inlineStr">
        <is>
          <t>风险管理</t>
        </is>
      </c>
      <c r="M133" t="inlineStr">
        <is>
          <t>L2-1</t>
        </is>
      </c>
      <c r="N133" t="inlineStr">
        <is>
          <t>T2</t>
        </is>
      </c>
      <c r="Q133" t="inlineStr">
        <is>
          <t>G,G</t>
        </is>
      </c>
      <c r="U133" t="n">
        <v>69362</v>
      </c>
      <c r="V133" t="n">
        <v>0.083333</v>
      </c>
      <c r="W133" t="inlineStr">
        <is>
          <t>CNY</t>
        </is>
      </c>
      <c r="X133" t="n">
        <v>1</v>
      </c>
      <c r="Y133" t="n">
        <v>67849.63</v>
      </c>
      <c r="Z133" t="n">
        <v>0</v>
      </c>
      <c r="AA133" t="n">
        <v>138724</v>
      </c>
      <c r="AB133" t="n">
        <v>75755</v>
      </c>
      <c r="AC133" t="n">
        <v>0</v>
      </c>
      <c r="AF133" t="n">
        <v>14740</v>
      </c>
      <c r="AG133" t="n">
        <v>214479</v>
      </c>
      <c r="AH133" t="n">
        <v>3.161093140817422</v>
      </c>
      <c r="AI133" t="n">
        <v>229219</v>
      </c>
      <c r="AJ133" t="n">
        <v>3.378338245912321</v>
      </c>
      <c r="AK133" t="n">
        <v>3.378338245912321</v>
      </c>
      <c r="AQ133" t="n">
        <v>229219</v>
      </c>
      <c r="AR133" t="n">
        <v>3.378338245912321</v>
      </c>
      <c r="AS133" t="n">
        <v>1.317047805102275</v>
      </c>
      <c r="BL133" t="n">
        <v>1</v>
      </c>
      <c r="BM133" t="n">
        <v>56765</v>
      </c>
      <c r="BN133" t="n">
        <v>0</v>
      </c>
      <c r="BO133" t="n">
        <v>57500</v>
      </c>
      <c r="BP133" t="inlineStr">
        <is>
          <t>G,G</t>
        </is>
      </c>
      <c r="BQ133" t="inlineStr">
        <is>
          <t>T2</t>
        </is>
      </c>
      <c r="BR133" t="n">
        <v>174040</v>
      </c>
      <c r="BS133" t="n">
        <v>3.06597375143134</v>
      </c>
      <c r="BT133" t="n">
        <v>0</v>
      </c>
      <c r="BU133" t="n">
        <v>174040</v>
      </c>
      <c r="BV133" t="n">
        <v>3.06597375143134</v>
      </c>
      <c r="BY133" t="n">
        <v>174040</v>
      </c>
      <c r="BZ133" t="n">
        <v>3.06597375143134</v>
      </c>
      <c r="CK133" s="92" t="n"/>
      <c r="CL133" s="92" t="n"/>
      <c r="CM133" s="92" t="n"/>
      <c r="CP133" t="inlineStr">
        <is>
          <t>风险管理和内部控制</t>
        </is>
      </c>
      <c r="CQ133" t="inlineStr">
        <is>
          <t>3,3</t>
        </is>
      </c>
      <c r="CR133" t="inlineStr">
        <is>
          <t>L2-1</t>
        </is>
      </c>
      <c r="CS133" t="inlineStr">
        <is>
          <t>T2</t>
        </is>
      </c>
      <c r="CT133" t="inlineStr">
        <is>
          <t>N</t>
        </is>
      </c>
    </row>
    <row r="134" ht="14" customHeight="1" s="178">
      <c r="A134" t="inlineStr">
        <is>
          <t>rebeccaWu(吴冰)</t>
        </is>
      </c>
      <c r="B134" s="150" t="n"/>
      <c r="C134" t="n">
        <v>32997973</v>
      </c>
      <c r="D134" t="inlineStr">
        <is>
          <t>CSIG财务管理</t>
        </is>
      </c>
      <c r="E134" t="inlineStr">
        <is>
          <t>综合财务管理中心</t>
        </is>
      </c>
      <c r="G134" t="inlineStr">
        <is>
          <t>S2职能系统－财经线/CSIG财务管理/综合财务管理中心</t>
        </is>
      </c>
      <c r="H134" s="188" t="n">
        <v>38030</v>
      </c>
      <c r="I134" t="inlineStr">
        <is>
          <t>高校招聘</t>
        </is>
      </c>
      <c r="J134" t="inlineStr">
        <is>
          <t>财经类－FN</t>
        </is>
      </c>
      <c r="K134" t="inlineStr">
        <is>
          <t>财务管理</t>
        </is>
      </c>
      <c r="L134" t="inlineStr">
        <is>
          <t>S10</t>
        </is>
      </c>
      <c r="N134" t="inlineStr">
        <is>
          <t>T1</t>
        </is>
      </c>
      <c r="Q134" t="inlineStr">
        <is>
          <t>G,G</t>
        </is>
      </c>
      <c r="U134" t="n">
        <v>46576.55</v>
      </c>
      <c r="V134" t="n">
        <v>0.083333</v>
      </c>
      <c r="W134" t="inlineStr">
        <is>
          <t>CNY</t>
        </is>
      </c>
      <c r="X134" t="n">
        <v>1</v>
      </c>
      <c r="Y134" t="n">
        <v>41936.75</v>
      </c>
      <c r="Z134" t="n">
        <v>0</v>
      </c>
      <c r="AA134" t="n">
        <v>93153.10000000001</v>
      </c>
      <c r="AB134" t="n">
        <v>100445</v>
      </c>
      <c r="AC134" t="n">
        <v>50720</v>
      </c>
      <c r="AF134" t="n">
        <v>0</v>
      </c>
      <c r="AG134" t="n">
        <v>244318.1</v>
      </c>
      <c r="AH134" t="n">
        <v>5.825871103507067</v>
      </c>
      <c r="AI134" t="n">
        <v>244318.1</v>
      </c>
      <c r="AJ134" t="n">
        <v>5.825871103507067</v>
      </c>
      <c r="AK134" t="n">
        <v>4.616430696227057</v>
      </c>
      <c r="AQ134" t="n">
        <v>244318.1</v>
      </c>
      <c r="AR134" t="n">
        <v>5.825871103507067</v>
      </c>
      <c r="AS134" t="n">
        <v>0.8234516346477924</v>
      </c>
      <c r="AY134" s="92" t="n"/>
      <c r="AZ134" s="92" t="n"/>
      <c r="BL134" t="n">
        <v>1</v>
      </c>
      <c r="BM134" t="n">
        <v>41540</v>
      </c>
      <c r="BN134" t="n">
        <v>0</v>
      </c>
      <c r="BO134" t="n">
        <v>44095</v>
      </c>
      <c r="BP134" t="inlineStr">
        <is>
          <t>O,O</t>
        </is>
      </c>
      <c r="BQ134" t="inlineStr">
        <is>
          <t>T1</t>
        </is>
      </c>
      <c r="BR134" t="n">
        <v>235880</v>
      </c>
      <c r="BS134" t="n">
        <v>5.678382282137699</v>
      </c>
      <c r="BT134" t="n">
        <v>60820</v>
      </c>
      <c r="BU134" t="n">
        <v>296700</v>
      </c>
      <c r="BV134" t="n">
        <v>7.142513240250361</v>
      </c>
      <c r="BY134" t="n">
        <v>296700</v>
      </c>
      <c r="BZ134" t="n">
        <v>7.142513240250361</v>
      </c>
      <c r="CC134" s="92" t="n"/>
      <c r="CM134" s="92" t="n"/>
      <c r="CP134" t="inlineStr">
        <is>
          <t>CSIG财务管理</t>
        </is>
      </c>
      <c r="CQ134" t="inlineStr">
        <is>
          <t>3,3</t>
        </is>
      </c>
      <c r="CR134" t="n">
        <v>10</v>
      </c>
      <c r="CS134" t="inlineStr">
        <is>
          <t>T1</t>
        </is>
      </c>
      <c r="CT134" t="inlineStr">
        <is>
          <t>N</t>
        </is>
      </c>
      <c r="CU134" s="150" t="n"/>
    </row>
    <row r="135">
      <c r="A135" t="inlineStr">
        <is>
          <t>edwardWu(武熙)</t>
        </is>
      </c>
      <c r="C135" t="n">
        <v>68971332</v>
      </c>
      <c r="D135" t="inlineStr">
        <is>
          <t>风险管理和内部控制</t>
        </is>
      </c>
      <c r="E135" t="inlineStr">
        <is>
          <t>CSIG风控中心</t>
        </is>
      </c>
      <c r="G135" t="inlineStr">
        <is>
          <t>S2职能系统－财经线/风险管理和内部控制/CSIG风控中心</t>
        </is>
      </c>
      <c r="H135" s="188" t="n">
        <v>36754</v>
      </c>
      <c r="I135" t="inlineStr">
        <is>
          <t>社会招聘</t>
        </is>
      </c>
      <c r="J135" t="inlineStr">
        <is>
          <t>财经类－FN</t>
        </is>
      </c>
      <c r="K135" t="inlineStr">
        <is>
          <t>风险管理</t>
        </is>
      </c>
      <c r="L135" t="inlineStr">
        <is>
          <t>S9</t>
        </is>
      </c>
      <c r="N135" t="inlineStr">
        <is>
          <t>T1#</t>
        </is>
      </c>
      <c r="Q135" t="inlineStr">
        <is>
          <t>G,G</t>
        </is>
      </c>
      <c r="U135" t="n">
        <v>32017.35</v>
      </c>
      <c r="V135" t="n">
        <v>0.083333</v>
      </c>
      <c r="W135" t="inlineStr">
        <is>
          <t>CNY</t>
        </is>
      </c>
      <c r="X135" t="n">
        <v>1</v>
      </c>
      <c r="Y135" t="n">
        <v>30238.26</v>
      </c>
      <c r="Z135" t="n">
        <v>0</v>
      </c>
      <c r="AA135" t="n">
        <v>64034.7</v>
      </c>
      <c r="AB135" t="n">
        <v>111925</v>
      </c>
      <c r="AC135" t="n">
        <v>42755</v>
      </c>
      <c r="AF135" t="n">
        <v>0</v>
      </c>
      <c r="AG135" t="n">
        <v>218714.7</v>
      </c>
      <c r="AH135" t="n">
        <v>7.233045155376004</v>
      </c>
      <c r="AI135" t="n">
        <v>218714.7</v>
      </c>
      <c r="AJ135" t="n">
        <v>7.233045155376004</v>
      </c>
      <c r="AK135" t="n">
        <v>5.819107977773854</v>
      </c>
      <c r="AQ135" t="n">
        <v>218714.7</v>
      </c>
      <c r="AR135" t="n">
        <v>7.233045155376004</v>
      </c>
      <c r="AS135" t="n">
        <v>1.213564710778194</v>
      </c>
      <c r="BL135" t="n">
        <v>1</v>
      </c>
      <c r="BM135" t="n">
        <v>26955</v>
      </c>
      <c r="BN135" t="n">
        <v>0</v>
      </c>
      <c r="BO135" t="n">
        <v>27185</v>
      </c>
      <c r="BP135" t="inlineStr">
        <is>
          <t>G,G</t>
        </is>
      </c>
      <c r="BQ135" t="inlineStr">
        <is>
          <t>T1#</t>
        </is>
      </c>
      <c r="BR135" t="n">
        <v>147890</v>
      </c>
      <c r="BS135" t="n">
        <v>5.486551660174364</v>
      </c>
      <c r="BT135" t="n">
        <v>32335</v>
      </c>
      <c r="BU135" t="n">
        <v>180225</v>
      </c>
      <c r="BV135" t="n">
        <v>6.686143572621035</v>
      </c>
      <c r="BY135" t="n">
        <v>180225</v>
      </c>
      <c r="BZ135" t="n">
        <v>6.686143572621035</v>
      </c>
      <c r="CP135" t="inlineStr">
        <is>
          <t>风险管理和内部控制</t>
        </is>
      </c>
      <c r="CQ135" t="inlineStr">
        <is>
          <t>3,3</t>
        </is>
      </c>
      <c r="CR135" t="n">
        <v>9</v>
      </c>
      <c r="CS135" t="inlineStr">
        <is>
          <t>T1#</t>
        </is>
      </c>
      <c r="CT135" t="inlineStr">
        <is>
          <t>N</t>
        </is>
      </c>
    </row>
    <row r="136">
      <c r="A136" t="inlineStr">
        <is>
          <t>haroldYin(尹华)</t>
        </is>
      </c>
      <c r="C136" t="n">
        <v>77028725</v>
      </c>
      <c r="D136" t="inlineStr">
        <is>
          <t>在线视频财务管理中心</t>
        </is>
      </c>
      <c r="E136" t="inlineStr">
        <is>
          <t>OVB长视频财务管理组</t>
        </is>
      </c>
      <c r="G136" t="inlineStr">
        <is>
          <t>S2职能系统－财经线/在线视频财务管理中心/OVB长视频财务管理组</t>
        </is>
      </c>
      <c r="H136" s="188" t="n">
        <v>36143</v>
      </c>
      <c r="I136" t="inlineStr">
        <is>
          <t>社会招聘</t>
        </is>
      </c>
      <c r="J136" t="inlineStr">
        <is>
          <t>财经类－FN</t>
        </is>
      </c>
      <c r="K136" t="inlineStr">
        <is>
          <t>财务管理</t>
        </is>
      </c>
      <c r="L136" t="inlineStr">
        <is>
          <t>S8</t>
        </is>
      </c>
      <c r="N136" t="inlineStr">
        <is>
          <t>Others</t>
        </is>
      </c>
      <c r="Q136" t="inlineStr">
        <is>
          <t>G,G</t>
        </is>
      </c>
      <c r="U136" t="n">
        <v>43503.75</v>
      </c>
      <c r="V136" t="n">
        <v>0.083333</v>
      </c>
      <c r="W136" t="inlineStr">
        <is>
          <t>CNY</t>
        </is>
      </c>
      <c r="X136" t="n">
        <v>1</v>
      </c>
      <c r="Y136" t="n">
        <v>39468.85</v>
      </c>
      <c r="Z136" t="n">
        <v>0</v>
      </c>
      <c r="AA136" t="n">
        <v>87007.5</v>
      </c>
      <c r="AB136" t="n">
        <v>26165</v>
      </c>
      <c r="AC136" t="n">
        <v>0</v>
      </c>
      <c r="AF136" t="n">
        <v>0</v>
      </c>
      <c r="AG136" t="n">
        <v>113172.5</v>
      </c>
      <c r="AH136" t="n">
        <v>2.867387826095769</v>
      </c>
      <c r="AI136" t="n">
        <v>113172.5</v>
      </c>
      <c r="AJ136" t="n">
        <v>2.867387826095769</v>
      </c>
      <c r="AK136" t="n">
        <v>2.867387826095769</v>
      </c>
      <c r="AQ136" t="n">
        <v>113172.5</v>
      </c>
      <c r="AR136" t="n">
        <v>2.867387826095769</v>
      </c>
      <c r="AS136" t="n">
        <v>0.9631292285434663</v>
      </c>
      <c r="BL136" t="n">
        <v>1</v>
      </c>
      <c r="BM136" t="n">
        <v>34900</v>
      </c>
      <c r="BN136" t="n">
        <v>0</v>
      </c>
      <c r="BO136" t="n">
        <v>36445</v>
      </c>
      <c r="BP136" t="inlineStr">
        <is>
          <t>G,G</t>
        </is>
      </c>
      <c r="BQ136" t="inlineStr">
        <is>
          <t>Others</t>
        </is>
      </c>
      <c r="BR136" t="n">
        <v>117505</v>
      </c>
      <c r="BS136" t="n">
        <v>3.366905444126075</v>
      </c>
      <c r="BT136" t="n">
        <v>0</v>
      </c>
      <c r="BU136" t="n">
        <v>117505</v>
      </c>
      <c r="BV136" t="n">
        <v>3.366905444126075</v>
      </c>
      <c r="BY136" t="n">
        <v>117505</v>
      </c>
      <c r="BZ136" t="n">
        <v>3.366905444126075</v>
      </c>
      <c r="CP136" t="inlineStr">
        <is>
          <t>在线视频财务管理中心</t>
        </is>
      </c>
      <c r="CQ136" t="inlineStr">
        <is>
          <t>3,3</t>
        </is>
      </c>
      <c r="CR136" t="n">
        <v>8</v>
      </c>
      <c r="CS136" t="inlineStr">
        <is>
          <t>Others</t>
        </is>
      </c>
      <c r="CT136" t="inlineStr">
        <is>
          <t>N</t>
        </is>
      </c>
    </row>
    <row r="137">
      <c r="A137" t="inlineStr">
        <is>
          <t>marthaXiao(萧姗)</t>
        </is>
      </c>
      <c r="C137" t="n">
        <v>10456173</v>
      </c>
      <c r="D137" t="inlineStr">
        <is>
          <t>财经IT管理部</t>
        </is>
      </c>
      <c r="E137" t="inlineStr">
        <is>
          <t>中台开发中心</t>
        </is>
      </c>
      <c r="G137" t="inlineStr">
        <is>
          <t>S2职能系统－财经线/财经IT管理部/中台开发中心</t>
        </is>
      </c>
      <c r="H137" s="188" t="n">
        <v>45504</v>
      </c>
      <c r="I137" t="inlineStr">
        <is>
          <t>社会招聘</t>
        </is>
      </c>
      <c r="J137" t="inlineStr">
        <is>
          <t>技术研发类－TRD</t>
        </is>
      </c>
      <c r="K137" t="inlineStr">
        <is>
          <t>应用开发</t>
        </is>
      </c>
      <c r="L137" t="inlineStr">
        <is>
          <t>T11</t>
        </is>
      </c>
      <c r="N137" t="inlineStr">
        <is>
          <t>T1</t>
        </is>
      </c>
      <c r="Q137" t="inlineStr">
        <is>
          <t>N,G</t>
        </is>
      </c>
      <c r="U137" t="n">
        <v>67499.05</v>
      </c>
      <c r="V137" t="n">
        <v>0.083333</v>
      </c>
      <c r="W137" t="inlineStr">
        <is>
          <t>CNY</t>
        </is>
      </c>
      <c r="X137" t="n">
        <v>0.419178</v>
      </c>
      <c r="Y137" t="n">
        <v>67499.05</v>
      </c>
      <c r="Z137" t="n">
        <v>0</v>
      </c>
      <c r="AA137" t="n">
        <v>28294.12</v>
      </c>
      <c r="AB137" t="n">
        <v>0</v>
      </c>
      <c r="AC137" t="n">
        <v>0</v>
      </c>
      <c r="AF137" t="n">
        <v>0</v>
      </c>
      <c r="AG137" t="n">
        <v>28294.12</v>
      </c>
      <c r="AH137" t="n">
        <v>0.4191780476910416</v>
      </c>
      <c r="AI137" t="n">
        <v>28294.12</v>
      </c>
      <c r="AJ137" t="n">
        <v>0.4191780476910416</v>
      </c>
      <c r="AK137" t="n">
        <v>0.4191780476910416</v>
      </c>
      <c r="AQ137" t="n">
        <v>28294.12</v>
      </c>
      <c r="AR137" t="n">
        <v>0.4191780476910416</v>
      </c>
      <c r="BM137" t="n">
        <v>0</v>
      </c>
      <c r="BN137" t="n">
        <v>0</v>
      </c>
      <c r="BO137" t="n">
        <v>0</v>
      </c>
      <c r="BR137" t="n">
        <v>0</v>
      </c>
      <c r="BT137" t="n">
        <v>0</v>
      </c>
      <c r="BU137" t="n">
        <v>0</v>
      </c>
      <c r="BY137" t="n">
        <v>0</v>
      </c>
      <c r="CP137" t="inlineStr">
        <is>
          <t>财经IT管理部</t>
        </is>
      </c>
      <c r="CQ137" t="n">
        <v>3</v>
      </c>
      <c r="CR137" t="n">
        <v>11</v>
      </c>
      <c r="CS137" t="inlineStr">
        <is>
          <t>T1</t>
        </is>
      </c>
      <c r="CT137" t="inlineStr">
        <is>
          <t>N</t>
        </is>
      </c>
    </row>
    <row r="138">
      <c r="A138" t="inlineStr">
        <is>
          <t>ernestWan(万荣力)</t>
        </is>
      </c>
      <c r="C138" t="n">
        <v>93134386</v>
      </c>
      <c r="D138" t="inlineStr">
        <is>
          <t>财会及报告管理部</t>
        </is>
      </c>
      <c r="E138" t="inlineStr">
        <is>
          <t>海外财会管理中心</t>
        </is>
      </c>
      <c r="G138" t="inlineStr">
        <is>
          <t>S2职能系统－财经线/财会及报告管理部/海外财会管理中心</t>
        </is>
      </c>
      <c r="H138" s="188" t="n">
        <v>38731</v>
      </c>
      <c r="I138" t="inlineStr">
        <is>
          <t>社会招聘</t>
        </is>
      </c>
      <c r="J138" t="inlineStr">
        <is>
          <t>财经类－FN</t>
        </is>
      </c>
      <c r="K138" t="inlineStr">
        <is>
          <t>会计</t>
        </is>
      </c>
      <c r="L138" t="inlineStr">
        <is>
          <t>S9</t>
        </is>
      </c>
      <c r="N138" t="inlineStr">
        <is>
          <t>T2</t>
        </is>
      </c>
      <c r="Q138" t="inlineStr">
        <is>
          <t>O,G</t>
        </is>
      </c>
      <c r="U138" t="n">
        <v>41519.9</v>
      </c>
      <c r="V138" t="n">
        <v>0.083333</v>
      </c>
      <c r="W138" t="inlineStr">
        <is>
          <t>CNY</t>
        </is>
      </c>
      <c r="X138" t="n">
        <v>1</v>
      </c>
      <c r="Y138" t="n">
        <v>38710.03</v>
      </c>
      <c r="Z138" t="n">
        <v>0</v>
      </c>
      <c r="AA138" t="n">
        <v>124559.7</v>
      </c>
      <c r="AB138" t="n">
        <v>47320</v>
      </c>
      <c r="AC138" t="n">
        <v>0</v>
      </c>
      <c r="AF138" t="n">
        <v>0</v>
      </c>
      <c r="AG138" t="n">
        <v>171879.7</v>
      </c>
      <c r="AH138" t="n">
        <v>4.440185140647011</v>
      </c>
      <c r="AI138" t="n">
        <v>171879.7</v>
      </c>
      <c r="AJ138" t="n">
        <v>4.440185140647011</v>
      </c>
      <c r="AK138" t="n">
        <v>4.440185140647011</v>
      </c>
      <c r="AQ138" t="n">
        <v>171879.7</v>
      </c>
      <c r="AR138" t="n">
        <v>4.440185140647011</v>
      </c>
      <c r="AS138" t="n">
        <v>1.058177060887767</v>
      </c>
      <c r="BL138" t="n">
        <v>1</v>
      </c>
      <c r="BM138" t="n">
        <v>35815</v>
      </c>
      <c r="BN138" t="n">
        <v>0</v>
      </c>
      <c r="BO138" t="n">
        <v>38140</v>
      </c>
      <c r="BP138" t="inlineStr">
        <is>
          <t>G,O</t>
        </is>
      </c>
      <c r="BQ138" t="inlineStr">
        <is>
          <t>T2</t>
        </is>
      </c>
      <c r="BR138" t="n">
        <v>162430</v>
      </c>
      <c r="BS138" t="n">
        <v>4.535250593326818</v>
      </c>
      <c r="BT138" t="n">
        <v>0</v>
      </c>
      <c r="BU138" t="n">
        <v>162430</v>
      </c>
      <c r="BV138" t="n">
        <v>4.535250593326818</v>
      </c>
      <c r="BY138" t="n">
        <v>162430</v>
      </c>
      <c r="BZ138" t="n">
        <v>4.535250593326818</v>
      </c>
      <c r="CP138" t="inlineStr">
        <is>
          <t>财会及报告管理部</t>
        </is>
      </c>
      <c r="CQ138" t="inlineStr">
        <is>
          <t>5,3</t>
        </is>
      </c>
      <c r="CR138" t="n">
        <v>9</v>
      </c>
      <c r="CS138" t="inlineStr">
        <is>
          <t>T2</t>
        </is>
      </c>
      <c r="CT138" t="inlineStr">
        <is>
          <t>N</t>
        </is>
      </c>
    </row>
    <row r="139">
      <c r="A139" t="inlineStr">
        <is>
          <t>chloeLu(陆玲曼)</t>
        </is>
      </c>
      <c r="C139" t="n">
        <v>73978729</v>
      </c>
      <c r="D139" t="inlineStr">
        <is>
          <t>税务部</t>
        </is>
      </c>
      <c r="E139" t="inlineStr">
        <is>
          <t>印章及文档管理组</t>
        </is>
      </c>
      <c r="G139" t="inlineStr">
        <is>
          <t>S2职能系统－财经线/税务部/印章及文档管理组</t>
        </is>
      </c>
      <c r="H139" s="188" t="n">
        <v>40847</v>
      </c>
      <c r="I139" t="inlineStr">
        <is>
          <t>高校招聘</t>
        </is>
      </c>
      <c r="J139" t="inlineStr">
        <is>
          <t>财经类－FN</t>
        </is>
      </c>
      <c r="K139" t="inlineStr">
        <is>
          <t>税务</t>
        </is>
      </c>
      <c r="M139" t="inlineStr">
        <is>
          <t>L3-3</t>
        </is>
      </c>
      <c r="N139" t="inlineStr">
        <is>
          <t>T1</t>
        </is>
      </c>
      <c r="Q139" t="inlineStr">
        <is>
          <t>G,O</t>
        </is>
      </c>
      <c r="U139" t="n">
        <v>59850</v>
      </c>
      <c r="V139" t="n">
        <v>0.083333</v>
      </c>
      <c r="W139" t="inlineStr">
        <is>
          <t>CNY</t>
        </is>
      </c>
      <c r="X139" t="n">
        <v>1</v>
      </c>
      <c r="Y139" t="n">
        <v>56907.32</v>
      </c>
      <c r="Z139" t="n">
        <v>0</v>
      </c>
      <c r="AA139" t="n">
        <v>179550</v>
      </c>
      <c r="AB139" t="n">
        <v>129540</v>
      </c>
      <c r="AC139" t="n">
        <v>101210</v>
      </c>
      <c r="AF139" t="n">
        <v>3275</v>
      </c>
      <c r="AG139" t="n">
        <v>410300</v>
      </c>
      <c r="AH139" t="n">
        <v>7.209968770274193</v>
      </c>
      <c r="AI139" t="n">
        <v>413575</v>
      </c>
      <c r="AJ139" t="n">
        <v>7.267518484441018</v>
      </c>
      <c r="AK139" t="n">
        <v>5.489012661288565</v>
      </c>
      <c r="AQ139" t="n">
        <v>413575</v>
      </c>
      <c r="AR139" t="n">
        <v>7.267518484441018</v>
      </c>
      <c r="AS139" t="n">
        <v>1.568383928402131</v>
      </c>
      <c r="BL139" t="n">
        <v>1</v>
      </c>
      <c r="BM139" t="n">
        <v>47905</v>
      </c>
      <c r="BN139" t="n">
        <v>0</v>
      </c>
      <c r="BO139" t="n">
        <v>49410</v>
      </c>
      <c r="BP139" t="inlineStr">
        <is>
          <t>G,O</t>
        </is>
      </c>
      <c r="BQ139" t="inlineStr">
        <is>
          <t>T1</t>
        </is>
      </c>
      <c r="BR139" t="n">
        <v>212710</v>
      </c>
      <c r="BS139" t="n">
        <v>4.440246320843336</v>
      </c>
      <c r="BT139" t="n">
        <v>50985</v>
      </c>
      <c r="BU139" t="n">
        <v>263695</v>
      </c>
      <c r="BV139" t="n">
        <v>5.504540235883519</v>
      </c>
      <c r="BY139" t="n">
        <v>263695</v>
      </c>
      <c r="BZ139" t="n">
        <v>5.504540235883519</v>
      </c>
      <c r="CP139" t="inlineStr">
        <is>
          <t>税务部</t>
        </is>
      </c>
      <c r="CQ139" t="inlineStr">
        <is>
          <t>5,3</t>
        </is>
      </c>
      <c r="CR139" t="inlineStr">
        <is>
          <t>L3-3</t>
        </is>
      </c>
      <c r="CS139" t="inlineStr">
        <is>
          <t>T1</t>
        </is>
      </c>
      <c r="CT139" t="inlineStr">
        <is>
          <t>N</t>
        </is>
      </c>
    </row>
    <row r="140">
      <c r="A140" t="inlineStr">
        <is>
          <t>andrewTan(谭宏博)</t>
        </is>
      </c>
      <c r="C140" t="n">
        <v>47219179</v>
      </c>
      <c r="D140" t="inlineStr">
        <is>
          <t>财经IT管理部</t>
        </is>
      </c>
      <c r="E140" t="inlineStr">
        <is>
          <t>中台开发中心</t>
        </is>
      </c>
      <c r="G140" t="inlineStr">
        <is>
          <t>S2职能系统－财经线/财经IT管理部/中台开发中心</t>
        </is>
      </c>
      <c r="H140" s="188" t="n">
        <v>42005</v>
      </c>
      <c r="I140" t="inlineStr">
        <is>
          <t>社会招聘</t>
        </is>
      </c>
      <c r="J140" t="inlineStr">
        <is>
          <t>技术研发类－TRD</t>
        </is>
      </c>
      <c r="K140" t="inlineStr">
        <is>
          <t>应用开发</t>
        </is>
      </c>
      <c r="L140" t="inlineStr">
        <is>
          <t>T10</t>
        </is>
      </c>
      <c r="N140" t="inlineStr">
        <is>
          <t>T1#</t>
        </is>
      </c>
      <c r="Q140" t="inlineStr">
        <is>
          <t>G,O</t>
        </is>
      </c>
      <c r="U140" t="n">
        <v>42315.15</v>
      </c>
      <c r="V140" t="n">
        <v>0.083333</v>
      </c>
      <c r="W140" t="inlineStr">
        <is>
          <t>CNY</t>
        </is>
      </c>
      <c r="X140" t="n">
        <v>1</v>
      </c>
      <c r="Y140" t="n">
        <v>40534.16</v>
      </c>
      <c r="Z140" t="n">
        <v>0</v>
      </c>
      <c r="AA140" t="n">
        <v>126945.45</v>
      </c>
      <c r="AB140" t="n">
        <v>145465</v>
      </c>
      <c r="AC140" t="n">
        <v>66585</v>
      </c>
      <c r="AF140" t="n">
        <v>0</v>
      </c>
      <c r="AG140" t="n">
        <v>338995.45</v>
      </c>
      <c r="AH140" t="n">
        <v>8.363204023470573</v>
      </c>
      <c r="AI140" t="n">
        <v>338995.45</v>
      </c>
      <c r="AJ140" t="n">
        <v>8.363204023470573</v>
      </c>
      <c r="AK140" t="n">
        <v>6.72051548619732</v>
      </c>
      <c r="AQ140" t="n">
        <v>338995.45</v>
      </c>
      <c r="AR140" t="n">
        <v>8.363204023470573</v>
      </c>
      <c r="AS140" t="n">
        <v>1.204589048397413</v>
      </c>
      <c r="BL140" t="n">
        <v>1</v>
      </c>
      <c r="BM140" t="n">
        <v>35945</v>
      </c>
      <c r="BN140" t="n">
        <v>0</v>
      </c>
      <c r="BO140" t="n">
        <v>36565</v>
      </c>
      <c r="BP140" t="inlineStr">
        <is>
          <t>G,O</t>
        </is>
      </c>
      <c r="BQ140" t="inlineStr">
        <is>
          <t>T1#</t>
        </is>
      </c>
      <c r="BR140" t="n">
        <v>234340</v>
      </c>
      <c r="BS140" t="n">
        <v>6.519404645986924</v>
      </c>
      <c r="BT140" t="n">
        <v>47080</v>
      </c>
      <c r="BU140" t="n">
        <v>281420</v>
      </c>
      <c r="BV140" t="n">
        <v>7.829183474753095</v>
      </c>
      <c r="BY140" t="n">
        <v>281420</v>
      </c>
      <c r="BZ140" t="n">
        <v>7.829183474753095</v>
      </c>
      <c r="CP140" t="inlineStr">
        <is>
          <t>财经IT管理部</t>
        </is>
      </c>
      <c r="CQ140" t="inlineStr">
        <is>
          <t>5,3</t>
        </is>
      </c>
      <c r="CR140" t="n">
        <v>10</v>
      </c>
      <c r="CS140" t="inlineStr">
        <is>
          <t>T1#</t>
        </is>
      </c>
      <c r="CT140" t="inlineStr">
        <is>
          <t>N</t>
        </is>
      </c>
    </row>
    <row r="141">
      <c r="A141" t="inlineStr">
        <is>
          <t>madelynHu(胡颖)</t>
        </is>
      </c>
      <c r="C141" t="n">
        <v>8109977</v>
      </c>
      <c r="D141" t="inlineStr">
        <is>
          <t>资金管理</t>
        </is>
      </c>
      <c r="E141" t="inlineStr">
        <is>
          <t>融资及资金筹划中心</t>
        </is>
      </c>
      <c r="G141" t="inlineStr">
        <is>
          <t>S2职能系统－财经线/资金管理/融资及资金筹划中心</t>
        </is>
      </c>
      <c r="H141" s="188" t="n">
        <v>43591</v>
      </c>
      <c r="I141" t="inlineStr">
        <is>
          <t>社会招聘</t>
        </is>
      </c>
      <c r="J141" t="inlineStr">
        <is>
          <t>财经类－FN</t>
        </is>
      </c>
      <c r="K141" t="inlineStr">
        <is>
          <t>资金管理</t>
        </is>
      </c>
      <c r="L141" t="inlineStr">
        <is>
          <t>S8</t>
        </is>
      </c>
      <c r="N141" t="inlineStr">
        <is>
          <t>T2</t>
        </is>
      </c>
      <c r="Q141" t="inlineStr">
        <is>
          <t>G,G</t>
        </is>
      </c>
      <c r="U141" t="n">
        <v>51337.3</v>
      </c>
      <c r="V141" t="n">
        <v>0.083333</v>
      </c>
      <c r="W141" t="inlineStr">
        <is>
          <t>CNY</t>
        </is>
      </c>
      <c r="X141" t="n">
        <v>1</v>
      </c>
      <c r="Y141" t="n">
        <v>48072.81</v>
      </c>
      <c r="Z141" t="n">
        <v>0</v>
      </c>
      <c r="AA141" t="n">
        <v>102674.6</v>
      </c>
      <c r="AB141" t="n">
        <v>52980</v>
      </c>
      <c r="AC141" t="n">
        <v>0</v>
      </c>
      <c r="AF141" t="n">
        <v>0</v>
      </c>
      <c r="AG141" t="n">
        <v>155654.6</v>
      </c>
      <c r="AH141" t="n">
        <v>3.237892688195261</v>
      </c>
      <c r="AI141" t="n">
        <v>155654.6</v>
      </c>
      <c r="AJ141" t="n">
        <v>3.237892688195261</v>
      </c>
      <c r="AK141" t="n">
        <v>3.237892688195261</v>
      </c>
      <c r="AQ141" t="n">
        <v>155654.6</v>
      </c>
      <c r="AR141" t="n">
        <v>3.237892688195261</v>
      </c>
      <c r="AS141" t="n">
        <v>1.210660340670452</v>
      </c>
      <c r="BL141" t="n">
        <v>1</v>
      </c>
      <c r="BM141" t="n">
        <v>42440</v>
      </c>
      <c r="BN141" t="n">
        <v>0</v>
      </c>
      <c r="BO141" t="n">
        <v>42790</v>
      </c>
      <c r="BP141" t="inlineStr">
        <is>
          <t>G,G</t>
        </is>
      </c>
      <c r="BQ141" t="inlineStr">
        <is>
          <t>T2</t>
        </is>
      </c>
      <c r="BR141" t="n">
        <v>128570</v>
      </c>
      <c r="BS141" t="n">
        <v>3.029453345900094</v>
      </c>
      <c r="BT141" t="n">
        <v>0</v>
      </c>
      <c r="BU141" t="n">
        <v>128570</v>
      </c>
      <c r="BV141" t="n">
        <v>3.029453345900094</v>
      </c>
      <c r="BY141" t="n">
        <v>128570</v>
      </c>
      <c r="BZ141" t="n">
        <v>3.029453345900094</v>
      </c>
      <c r="CP141" t="inlineStr">
        <is>
          <t>资金管理</t>
        </is>
      </c>
      <c r="CQ141" t="inlineStr">
        <is>
          <t>3,3</t>
        </is>
      </c>
      <c r="CR141" t="n">
        <v>8</v>
      </c>
      <c r="CS141" t="inlineStr">
        <is>
          <t>T2</t>
        </is>
      </c>
      <c r="CT141" t="inlineStr">
        <is>
          <t>N</t>
        </is>
      </c>
    </row>
    <row r="142">
      <c r="A142" t="inlineStr">
        <is>
          <t>lisaXu(徐冰)</t>
        </is>
      </c>
      <c r="C142" t="n">
        <v>24412806</v>
      </c>
      <c r="D142" t="inlineStr">
        <is>
          <t>TEG财务管理</t>
        </is>
      </c>
      <c r="E142" t="inlineStr">
        <is>
          <t>TEG财务管理</t>
        </is>
      </c>
      <c r="G142" t="inlineStr">
        <is>
          <t>S2职能系统－财经线/TEG财务管理</t>
        </is>
      </c>
      <c r="H142" s="188" t="n">
        <v>37623</v>
      </c>
      <c r="I142" t="inlineStr">
        <is>
          <t>社会招聘</t>
        </is>
      </c>
      <c r="J142" t="inlineStr">
        <is>
          <t>财经类－FN</t>
        </is>
      </c>
      <c r="K142" t="inlineStr">
        <is>
          <t>财务管理</t>
        </is>
      </c>
      <c r="M142" t="inlineStr">
        <is>
          <t>L3-2</t>
        </is>
      </c>
      <c r="N142" t="inlineStr">
        <is>
          <t>T1</t>
        </is>
      </c>
      <c r="Q142" t="inlineStr">
        <is>
          <t>U,G</t>
        </is>
      </c>
      <c r="U142" t="n">
        <v>57193.65</v>
      </c>
      <c r="V142" t="n">
        <v>0.083333</v>
      </c>
      <c r="W142" t="inlineStr">
        <is>
          <t>CNY</t>
        </is>
      </c>
      <c r="X142" t="n">
        <v>1</v>
      </c>
      <c r="Y142" t="n">
        <v>51900.9</v>
      </c>
      <c r="Z142" t="n">
        <v>0</v>
      </c>
      <c r="AA142" t="n">
        <v>57193.65</v>
      </c>
      <c r="AB142" t="n">
        <v>115220</v>
      </c>
      <c r="AC142" t="n">
        <v>0</v>
      </c>
      <c r="AF142" t="n">
        <v>16925</v>
      </c>
      <c r="AG142" t="n">
        <v>172413.65</v>
      </c>
      <c r="AH142" t="n">
        <v>3.321978038916473</v>
      </c>
      <c r="AI142" t="n">
        <v>189338.65</v>
      </c>
      <c r="AJ142" t="n">
        <v>3.648080283771572</v>
      </c>
      <c r="AK142" t="n">
        <v>3.648080283771572</v>
      </c>
      <c r="AQ142" t="n">
        <v>189338.65</v>
      </c>
      <c r="AR142" t="n">
        <v>3.648080283771572</v>
      </c>
      <c r="AS142" t="n">
        <v>0.4932813578751286</v>
      </c>
      <c r="BL142" t="n">
        <v>1</v>
      </c>
      <c r="BM142" t="n">
        <v>47905</v>
      </c>
      <c r="BN142" t="n">
        <v>0</v>
      </c>
      <c r="BO142" t="n">
        <v>51865</v>
      </c>
      <c r="BP142" t="inlineStr">
        <is>
          <t>O,G</t>
        </is>
      </c>
      <c r="BQ142" t="inlineStr">
        <is>
          <t>T1#</t>
        </is>
      </c>
      <c r="BR142" t="n">
        <v>320920</v>
      </c>
      <c r="BS142" t="n">
        <v>6.699091952823296</v>
      </c>
      <c r="BT142" t="n">
        <v>62915</v>
      </c>
      <c r="BU142" t="n">
        <v>383835</v>
      </c>
      <c r="BV142" t="n">
        <v>8.01242041540549</v>
      </c>
      <c r="BY142" t="n">
        <v>383835</v>
      </c>
      <c r="BZ142" t="n">
        <v>8.01242041540549</v>
      </c>
      <c r="CP142" t="inlineStr">
        <is>
          <t>TEG财务管理</t>
        </is>
      </c>
      <c r="CQ142" t="inlineStr">
        <is>
          <t>3,1</t>
        </is>
      </c>
      <c r="CR142" t="inlineStr">
        <is>
          <t>L3-2</t>
        </is>
      </c>
      <c r="CS142" t="inlineStr">
        <is>
          <t>T1</t>
        </is>
      </c>
      <c r="CT142" t="inlineStr">
        <is>
          <t>N</t>
        </is>
      </c>
    </row>
    <row r="143">
      <c r="A143" t="inlineStr">
        <is>
          <t>zoeDai(戴蓉莉)</t>
        </is>
      </c>
      <c r="C143" t="n">
        <v>70788350</v>
      </c>
      <c r="D143" t="inlineStr">
        <is>
          <t>风险管理和内部控制</t>
        </is>
      </c>
      <c r="E143" t="inlineStr">
        <is>
          <t>IEG风控中心</t>
        </is>
      </c>
      <c r="G143" t="inlineStr">
        <is>
          <t>S2职能系统－财经线/风险管理和内部控制/IEG风控中心</t>
        </is>
      </c>
      <c r="H143" s="188" t="n">
        <v>40612</v>
      </c>
      <c r="I143" t="inlineStr">
        <is>
          <t>社会招聘</t>
        </is>
      </c>
      <c r="J143" t="inlineStr">
        <is>
          <t>财经类－FN</t>
        </is>
      </c>
      <c r="K143" t="inlineStr">
        <is>
          <t>风险管理</t>
        </is>
      </c>
      <c r="L143" t="inlineStr">
        <is>
          <t>S8</t>
        </is>
      </c>
      <c r="N143" t="inlineStr">
        <is>
          <t>T1</t>
        </is>
      </c>
      <c r="Q143" t="inlineStr">
        <is>
          <t>G,U</t>
        </is>
      </c>
      <c r="U143" t="n">
        <v>41354.05</v>
      </c>
      <c r="V143" t="n">
        <v>0.083333</v>
      </c>
      <c r="W143" t="inlineStr">
        <is>
          <t>CNY</t>
        </is>
      </c>
      <c r="X143" t="n">
        <v>1</v>
      </c>
      <c r="Y143" t="n">
        <v>37237.66</v>
      </c>
      <c r="Z143" t="n">
        <v>0</v>
      </c>
      <c r="AA143" t="n">
        <v>41354.05</v>
      </c>
      <c r="AB143" t="n">
        <v>89980</v>
      </c>
      <c r="AC143" t="n">
        <v>0</v>
      </c>
      <c r="AF143" t="n">
        <v>0</v>
      </c>
      <c r="AG143" t="n">
        <v>131334.05</v>
      </c>
      <c r="AH143" t="n">
        <v>3.526914687979856</v>
      </c>
      <c r="AI143" t="n">
        <v>131334.05</v>
      </c>
      <c r="AJ143" t="n">
        <v>3.526914687979856</v>
      </c>
      <c r="AK143" t="n">
        <v>3.526914687979856</v>
      </c>
      <c r="AQ143" t="n">
        <v>131334.05</v>
      </c>
      <c r="AR143" t="n">
        <v>3.526914687979856</v>
      </c>
      <c r="AS143" t="n">
        <v>0.5485623290102959</v>
      </c>
      <c r="BL143" t="n">
        <v>1</v>
      </c>
      <c r="BM143" t="n">
        <v>35880</v>
      </c>
      <c r="BN143" t="n">
        <v>0</v>
      </c>
      <c r="BO143" t="n">
        <v>38410</v>
      </c>
      <c r="BP143" t="inlineStr">
        <is>
          <t>G,O</t>
        </is>
      </c>
      <c r="BQ143" t="inlineStr">
        <is>
          <t>T1</t>
        </is>
      </c>
      <c r="BR143" t="n">
        <v>162905</v>
      </c>
      <c r="BS143" t="n">
        <v>4.540273132664437</v>
      </c>
      <c r="BT143" t="n">
        <v>76510</v>
      </c>
      <c r="BU143" t="n">
        <v>239415</v>
      </c>
      <c r="BV143" t="n">
        <v>6.672658862876254</v>
      </c>
      <c r="BY143" t="n">
        <v>239415</v>
      </c>
      <c r="BZ143" t="n">
        <v>6.672658862876254</v>
      </c>
      <c r="CP143" t="inlineStr">
        <is>
          <t>风险管理和内部控制</t>
        </is>
      </c>
      <c r="CQ143" t="inlineStr">
        <is>
          <t>3,1</t>
        </is>
      </c>
      <c r="CR143" t="n">
        <v>8</v>
      </c>
      <c r="CS143" t="inlineStr">
        <is>
          <t>T1</t>
        </is>
      </c>
      <c r="CT143" t="inlineStr">
        <is>
          <t>N</t>
        </is>
      </c>
    </row>
    <row r="144">
      <c r="A144" t="inlineStr">
        <is>
          <t>madisonXiao(萧琳)</t>
        </is>
      </c>
      <c r="C144" t="n">
        <v>4519272</v>
      </c>
      <c r="D144" t="inlineStr">
        <is>
          <t>PCG财务管理</t>
        </is>
      </c>
      <c r="E144" t="inlineStr">
        <is>
          <t>在线视频财务管理中心</t>
        </is>
      </c>
      <c r="G144" t="inlineStr">
        <is>
          <t>S2职能系统－财经线/PCG财务管理/在线视频财务管理中心</t>
        </is>
      </c>
      <c r="H144" s="188" t="n">
        <v>45112</v>
      </c>
      <c r="I144" t="inlineStr">
        <is>
          <t>社会招聘</t>
        </is>
      </c>
      <c r="J144" t="inlineStr">
        <is>
          <t>财经类－FN</t>
        </is>
      </c>
      <c r="K144" t="inlineStr">
        <is>
          <t>财务管理</t>
        </is>
      </c>
      <c r="L144" t="inlineStr">
        <is>
          <t>S6</t>
        </is>
      </c>
      <c r="N144" t="inlineStr">
        <is>
          <t>T1</t>
        </is>
      </c>
      <c r="Q144" t="inlineStr">
        <is>
          <t>G,G</t>
        </is>
      </c>
      <c r="U144" t="n">
        <v>36593.65</v>
      </c>
      <c r="V144" t="n">
        <v>0.083333</v>
      </c>
      <c r="W144" t="inlineStr">
        <is>
          <t>CNY</t>
        </is>
      </c>
      <c r="X144" t="n">
        <v>1</v>
      </c>
      <c r="Y144" t="n">
        <v>35256.97</v>
      </c>
      <c r="Z144" t="n">
        <v>0</v>
      </c>
      <c r="AA144" t="n">
        <v>73187.3</v>
      </c>
      <c r="AB144" t="n">
        <v>88335</v>
      </c>
      <c r="AC144" t="n">
        <v>56240</v>
      </c>
      <c r="AF144" t="n">
        <v>0</v>
      </c>
      <c r="AG144" t="n">
        <v>217762.3</v>
      </c>
      <c r="AH144" t="n">
        <v>6.176432631618655</v>
      </c>
      <c r="AI144" t="n">
        <v>217762.3</v>
      </c>
      <c r="AJ144" t="n">
        <v>6.176432631618655</v>
      </c>
      <c r="AK144" t="n">
        <v>4.581287047639091</v>
      </c>
      <c r="AQ144" t="n">
        <v>217762.3</v>
      </c>
      <c r="AR144" t="n">
        <v>6.176432631618655</v>
      </c>
      <c r="AS144" t="n">
        <v>15.10664585501214</v>
      </c>
      <c r="BL144" t="n">
        <v>0.490410958904109</v>
      </c>
      <c r="BM144" t="n">
        <v>29400</v>
      </c>
      <c r="BN144" t="n">
        <v>0</v>
      </c>
      <c r="BO144" t="n">
        <v>29400</v>
      </c>
      <c r="BP144" t="inlineStr">
        <is>
          <t>N,G</t>
        </is>
      </c>
      <c r="BQ144" t="inlineStr">
        <is>
          <t>T1</t>
        </is>
      </c>
      <c r="BR144" t="n">
        <v>14415</v>
      </c>
      <c r="BS144" t="n">
        <v>0.4903061224489796</v>
      </c>
      <c r="BT144" t="n">
        <v>0</v>
      </c>
      <c r="BU144" t="n">
        <v>14415</v>
      </c>
      <c r="BV144" t="n">
        <v>0.4903061224489796</v>
      </c>
      <c r="BY144" t="n">
        <v>14415</v>
      </c>
      <c r="BZ144" t="n">
        <v>0.4903061224489796</v>
      </c>
      <c r="CP144" t="inlineStr">
        <is>
          <t>PCG财务管理</t>
        </is>
      </c>
      <c r="CQ144" t="inlineStr">
        <is>
          <t>3,3</t>
        </is>
      </c>
      <c r="CR144" t="n">
        <v>6</v>
      </c>
      <c r="CS144" t="inlineStr">
        <is>
          <t>T1</t>
        </is>
      </c>
      <c r="CT144" t="inlineStr">
        <is>
          <t>N</t>
        </is>
      </c>
    </row>
    <row r="145">
      <c r="A145" t="inlineStr">
        <is>
          <t>albertDuan(段韬洋)</t>
        </is>
      </c>
      <c r="C145" t="n">
        <v>27332631</v>
      </c>
      <c r="D145" t="inlineStr">
        <is>
          <t>海外财经中心</t>
        </is>
      </c>
      <c r="E145" t="inlineStr">
        <is>
          <t>海外本地财务</t>
        </is>
      </c>
      <c r="G145" t="inlineStr">
        <is>
          <t>S2职能系统－财经线/海外财经中心/海外本地财务</t>
        </is>
      </c>
      <c r="H145" s="188" t="n">
        <v>43867</v>
      </c>
      <c r="I145" t="inlineStr">
        <is>
          <t>社会招聘</t>
        </is>
      </c>
      <c r="J145" t="inlineStr">
        <is>
          <t>财经类－FN</t>
        </is>
      </c>
      <c r="K145" t="inlineStr">
        <is>
          <t>财务管理</t>
        </is>
      </c>
      <c r="L145" t="inlineStr">
        <is>
          <t>S7</t>
        </is>
      </c>
      <c r="N145" t="inlineStr">
        <is>
          <t>T2</t>
        </is>
      </c>
      <c r="Q145" t="inlineStr">
        <is>
          <t>G,O</t>
        </is>
      </c>
      <c r="U145" t="n">
        <v>37324.7</v>
      </c>
      <c r="V145" t="n">
        <v>0.083333</v>
      </c>
      <c r="W145" t="inlineStr">
        <is>
          <t>CNY</t>
        </is>
      </c>
      <c r="X145" t="n">
        <v>1</v>
      </c>
      <c r="Y145" t="n">
        <v>36910.94</v>
      </c>
      <c r="Z145" t="n">
        <v>0</v>
      </c>
      <c r="AA145" t="n">
        <v>111974.1</v>
      </c>
      <c r="AB145" t="n">
        <v>40635</v>
      </c>
      <c r="AC145" t="n">
        <v>0</v>
      </c>
      <c r="AF145" t="n">
        <v>0</v>
      </c>
      <c r="AG145" t="n">
        <v>152609.1</v>
      </c>
      <c r="AH145" t="n">
        <v>4.134522176893896</v>
      </c>
      <c r="AI145" t="n">
        <v>152609.1</v>
      </c>
      <c r="AJ145" t="n">
        <v>4.134522176893896</v>
      </c>
      <c r="AK145" t="n">
        <v>4.134522176893896</v>
      </c>
      <c r="AQ145" t="n">
        <v>152609.1</v>
      </c>
      <c r="AR145" t="n">
        <v>4.134522176893896</v>
      </c>
      <c r="AS145" t="n">
        <v>1.090727227245113</v>
      </c>
      <c r="BL145" t="n">
        <v>1</v>
      </c>
      <c r="BM145" t="n">
        <v>32920</v>
      </c>
      <c r="BN145" t="n">
        <v>0</v>
      </c>
      <c r="BO145" t="n">
        <v>33565</v>
      </c>
      <c r="BP145" t="inlineStr">
        <is>
          <t>O,G</t>
        </is>
      </c>
      <c r="BQ145" t="inlineStr">
        <is>
          <t>T2</t>
        </is>
      </c>
      <c r="BR145" t="n">
        <v>139915</v>
      </c>
      <c r="BS145" t="n">
        <v>4.250151883353585</v>
      </c>
      <c r="BT145" t="n">
        <v>0</v>
      </c>
      <c r="BU145" t="n">
        <v>139915</v>
      </c>
      <c r="BV145" t="n">
        <v>4.250151883353585</v>
      </c>
      <c r="BY145" t="n">
        <v>139915</v>
      </c>
      <c r="BZ145" t="n">
        <v>4.250151883353585</v>
      </c>
      <c r="CP145" t="inlineStr">
        <is>
          <t>海外财经中心</t>
        </is>
      </c>
      <c r="CQ145" t="inlineStr">
        <is>
          <t>5,3</t>
        </is>
      </c>
      <c r="CR145" t="n">
        <v>7</v>
      </c>
      <c r="CS145" t="inlineStr">
        <is>
          <t>T2</t>
        </is>
      </c>
      <c r="CT145" t="inlineStr">
        <is>
          <t>N</t>
        </is>
      </c>
    </row>
    <row r="146">
      <c r="A146" t="inlineStr">
        <is>
          <t>austinJiang(蒋波)</t>
        </is>
      </c>
      <c r="C146" t="n">
        <v>45492235</v>
      </c>
      <c r="D146" t="inlineStr">
        <is>
          <t>FiT财务管理</t>
        </is>
      </c>
      <c r="E146" t="inlineStr">
        <is>
          <t>结算支持中心</t>
        </is>
      </c>
      <c r="G146" t="inlineStr">
        <is>
          <t>S2职能系统－财经线/FiT财务管理/结算支持中心</t>
        </is>
      </c>
      <c r="H146" s="188" t="n">
        <v>37645</v>
      </c>
      <c r="I146" t="inlineStr">
        <is>
          <t>高校招聘</t>
        </is>
      </c>
      <c r="J146" t="inlineStr">
        <is>
          <t>财经类－FN</t>
        </is>
      </c>
      <c r="K146" t="inlineStr">
        <is>
          <t>财务管理</t>
        </is>
      </c>
      <c r="L146" t="inlineStr">
        <is>
          <t>S11</t>
        </is>
      </c>
      <c r="N146" t="inlineStr">
        <is>
          <t>T1#</t>
        </is>
      </c>
      <c r="Q146" t="inlineStr">
        <is>
          <t>G,G</t>
        </is>
      </c>
      <c r="U146" t="n">
        <v>62439.25</v>
      </c>
      <c r="V146" t="n">
        <v>0.083333</v>
      </c>
      <c r="W146" t="inlineStr">
        <is>
          <t>CNY</t>
        </is>
      </c>
      <c r="X146" t="n">
        <v>1</v>
      </c>
      <c r="Y146" t="n">
        <v>57772.18</v>
      </c>
      <c r="Z146" t="n">
        <v>0</v>
      </c>
      <c r="AA146" t="n">
        <v>124878.5</v>
      </c>
      <c r="AB146" t="n">
        <v>204760</v>
      </c>
      <c r="AC146" t="n">
        <v>116885</v>
      </c>
      <c r="AF146" t="n">
        <v>0</v>
      </c>
      <c r="AG146" t="n">
        <v>446523.5</v>
      </c>
      <c r="AH146" t="n">
        <v>7.729040171238129</v>
      </c>
      <c r="AI146" t="n">
        <v>446523.5</v>
      </c>
      <c r="AJ146" t="n">
        <v>7.729040171238129</v>
      </c>
      <c r="AK146" t="n">
        <v>5.705834538353927</v>
      </c>
      <c r="AQ146" t="n">
        <v>446523.5</v>
      </c>
      <c r="AR146" t="n">
        <v>7.729040171238129</v>
      </c>
      <c r="AS146" t="n">
        <v>1.221762090430262</v>
      </c>
      <c r="BL146" t="n">
        <v>1</v>
      </c>
      <c r="BM146" t="n">
        <v>55525</v>
      </c>
      <c r="BN146" t="n">
        <v>0</v>
      </c>
      <c r="BO146" t="n">
        <v>57820</v>
      </c>
      <c r="BP146" t="inlineStr">
        <is>
          <t>G,G</t>
        </is>
      </c>
      <c r="BQ146" t="inlineStr">
        <is>
          <t>T1#</t>
        </is>
      </c>
      <c r="BR146" t="n">
        <v>294000</v>
      </c>
      <c r="BS146" t="n">
        <v>5.294912201710941</v>
      </c>
      <c r="BT146" t="n">
        <v>71475</v>
      </c>
      <c r="BU146" t="n">
        <v>365475</v>
      </c>
      <c r="BV146" t="n">
        <v>6.582170193606483</v>
      </c>
      <c r="BY146" t="n">
        <v>365475</v>
      </c>
      <c r="BZ146" t="n">
        <v>6.582170193606483</v>
      </c>
      <c r="CP146" t="inlineStr">
        <is>
          <t>FiT财务管理</t>
        </is>
      </c>
      <c r="CQ146" t="inlineStr">
        <is>
          <t>3,3</t>
        </is>
      </c>
      <c r="CR146" t="n">
        <v>11</v>
      </c>
      <c r="CS146" t="inlineStr">
        <is>
          <t>T1#</t>
        </is>
      </c>
      <c r="CT146" t="inlineStr">
        <is>
          <t>N</t>
        </is>
      </c>
    </row>
    <row r="147">
      <c r="A147" t="inlineStr">
        <is>
          <t>miaJiang(姜涵)</t>
        </is>
      </c>
      <c r="C147" t="n">
        <v>6113345</v>
      </c>
      <c r="D147" t="inlineStr">
        <is>
          <t>税务部</t>
        </is>
      </c>
      <c r="E147" t="inlineStr">
        <is>
          <t>税务部</t>
        </is>
      </c>
      <c r="G147" t="inlineStr">
        <is>
          <t>S2职能系统－财经线/税务部</t>
        </is>
      </c>
      <c r="H147" s="188" t="n">
        <v>41028</v>
      </c>
      <c r="I147" t="inlineStr">
        <is>
          <t>高校招聘</t>
        </is>
      </c>
      <c r="J147" t="inlineStr">
        <is>
          <t>财经类－FN</t>
        </is>
      </c>
      <c r="K147" t="inlineStr">
        <is>
          <t>税务</t>
        </is>
      </c>
      <c r="L147" t="inlineStr">
        <is>
          <t>S11</t>
        </is>
      </c>
      <c r="N147" t="inlineStr">
        <is>
          <t>T1</t>
        </is>
      </c>
      <c r="Q147" t="inlineStr">
        <is>
          <t>O,G</t>
        </is>
      </c>
      <c r="U147" t="n">
        <v>58993.85</v>
      </c>
      <c r="V147" t="n">
        <v>0.083333</v>
      </c>
      <c r="W147" t="inlineStr">
        <is>
          <t>CNY</t>
        </is>
      </c>
      <c r="X147" t="n">
        <v>1</v>
      </c>
      <c r="Y147" t="n">
        <v>58187.72</v>
      </c>
      <c r="Z147" t="n">
        <v>0</v>
      </c>
      <c r="AA147" t="n">
        <v>176981.55</v>
      </c>
      <c r="AB147" t="n">
        <v>129110</v>
      </c>
      <c r="AC147" t="n">
        <v>107300</v>
      </c>
      <c r="AF147" t="n">
        <v>0</v>
      </c>
      <c r="AG147" t="n">
        <v>413391.55</v>
      </c>
      <c r="AH147" t="n">
        <v>7.104446608322168</v>
      </c>
      <c r="AI147" t="n">
        <v>413391.55</v>
      </c>
      <c r="AJ147" t="n">
        <v>7.104446608322168</v>
      </c>
      <c r="AK147" t="n">
        <v>5.260414912287334</v>
      </c>
      <c r="AQ147" t="n">
        <v>413391.55</v>
      </c>
      <c r="AR147" t="n">
        <v>7.104446608322168</v>
      </c>
      <c r="AS147" t="n">
        <v>1.842208333333333</v>
      </c>
      <c r="BL147" t="n">
        <v>1</v>
      </c>
      <c r="BM147" t="n">
        <v>47995</v>
      </c>
      <c r="BN147" t="n">
        <v>0</v>
      </c>
      <c r="BO147" t="n">
        <v>50320</v>
      </c>
      <c r="BP147" t="inlineStr">
        <is>
          <t>G,G</t>
        </is>
      </c>
      <c r="BQ147" t="inlineStr">
        <is>
          <t>T1</t>
        </is>
      </c>
      <c r="BR147" t="n">
        <v>168655</v>
      </c>
      <c r="BS147" t="n">
        <v>3.514011876237108</v>
      </c>
      <c r="BT147" t="n">
        <v>55745</v>
      </c>
      <c r="BU147" t="n">
        <v>224400</v>
      </c>
      <c r="BV147" t="n">
        <v>4.675487029898948</v>
      </c>
      <c r="BY147" t="n">
        <v>224400</v>
      </c>
      <c r="BZ147" t="n">
        <v>4.675487029898948</v>
      </c>
      <c r="CP147" t="inlineStr">
        <is>
          <t>税务部</t>
        </is>
      </c>
      <c r="CQ147" t="inlineStr">
        <is>
          <t>5,3</t>
        </is>
      </c>
      <c r="CR147" t="n">
        <v>11</v>
      </c>
      <c r="CS147" t="inlineStr">
        <is>
          <t>T1</t>
        </is>
      </c>
      <c r="CT147" t="inlineStr">
        <is>
          <t>N</t>
        </is>
      </c>
    </row>
    <row r="148">
      <c r="A148" t="inlineStr">
        <is>
          <t>royDuan(段晨)</t>
        </is>
      </c>
      <c r="C148" t="n">
        <v>1915881</v>
      </c>
      <c r="D148" t="inlineStr">
        <is>
          <t>财会及报告管理部</t>
        </is>
      </c>
      <c r="E148" t="inlineStr">
        <is>
          <t>海外财会管理中心</t>
        </is>
      </c>
      <c r="G148" t="inlineStr">
        <is>
          <t>S2职能系统－财经线/财会及报告管理部/海外财会管理中心</t>
        </is>
      </c>
      <c r="H148" s="188" t="n">
        <v>40862</v>
      </c>
      <c r="I148" t="inlineStr">
        <is>
          <t>社会招聘</t>
        </is>
      </c>
      <c r="J148" t="inlineStr">
        <is>
          <t>财经类－FN</t>
        </is>
      </c>
      <c r="K148" t="inlineStr">
        <is>
          <t>会计</t>
        </is>
      </c>
      <c r="L148" t="inlineStr">
        <is>
          <t>S6</t>
        </is>
      </c>
      <c r="N148" t="inlineStr">
        <is>
          <t>T2</t>
        </is>
      </c>
      <c r="Q148" t="inlineStr">
        <is>
          <t>G,G</t>
        </is>
      </c>
      <c r="U148" t="n">
        <v>26234.55</v>
      </c>
      <c r="V148" t="n">
        <v>0.083333</v>
      </c>
      <c r="W148" t="inlineStr">
        <is>
          <t>CNY</t>
        </is>
      </c>
      <c r="X148" t="n">
        <v>1</v>
      </c>
      <c r="Y148" t="n">
        <v>25096.37</v>
      </c>
      <c r="Z148" t="n">
        <v>0</v>
      </c>
      <c r="AA148" t="n">
        <v>52469.1</v>
      </c>
      <c r="AB148" t="n">
        <v>28845</v>
      </c>
      <c r="AC148" t="n">
        <v>0</v>
      </c>
      <c r="AF148" t="n">
        <v>0</v>
      </c>
      <c r="AG148" t="n">
        <v>81314.10000000001</v>
      </c>
      <c r="AH148" t="n">
        <v>3.240074162119861</v>
      </c>
      <c r="AI148" t="n">
        <v>81314.10000000001</v>
      </c>
      <c r="AJ148" t="n">
        <v>3.240074162119861</v>
      </c>
      <c r="AK148" t="n">
        <v>3.240074162119861</v>
      </c>
      <c r="AQ148" t="n">
        <v>81314.10000000001</v>
      </c>
      <c r="AR148" t="n">
        <v>3.240074162119861</v>
      </c>
      <c r="AS148" t="n">
        <v>1.440207226354942</v>
      </c>
      <c r="BL148" t="n">
        <v>1</v>
      </c>
      <c r="BM148" t="n">
        <v>23465</v>
      </c>
      <c r="BN148" t="n">
        <v>0</v>
      </c>
      <c r="BO148" t="n">
        <v>25380</v>
      </c>
      <c r="BP148" t="inlineStr">
        <is>
          <t>G,U</t>
        </is>
      </c>
      <c r="BQ148" t="inlineStr">
        <is>
          <t>T2</t>
        </is>
      </c>
      <c r="BR148" t="n">
        <v>56460</v>
      </c>
      <c r="BS148" t="n">
        <v>2.4061367994886</v>
      </c>
      <c r="BT148" t="n">
        <v>0</v>
      </c>
      <c r="BU148" t="n">
        <v>56460</v>
      </c>
      <c r="BV148" t="n">
        <v>2.4061367994886</v>
      </c>
      <c r="BY148" t="n">
        <v>56460</v>
      </c>
      <c r="BZ148" t="n">
        <v>2.4061367994886</v>
      </c>
      <c r="CP148" t="inlineStr">
        <is>
          <t>财会及报告管理部</t>
        </is>
      </c>
      <c r="CQ148" t="inlineStr">
        <is>
          <t>3,3</t>
        </is>
      </c>
      <c r="CR148" t="n">
        <v>6</v>
      </c>
      <c r="CS148" t="inlineStr">
        <is>
          <t>T2</t>
        </is>
      </c>
      <c r="CT148" t="inlineStr">
        <is>
          <t>N</t>
        </is>
      </c>
    </row>
    <row r="149">
      <c r="A149" t="inlineStr">
        <is>
          <t>lucyJin(金露)</t>
        </is>
      </c>
      <c r="C149" t="n">
        <v>58562359</v>
      </c>
      <c r="D149" t="inlineStr">
        <is>
          <t>海外财经中心</t>
        </is>
      </c>
      <c r="E149" t="inlineStr">
        <is>
          <t>海外本地财务</t>
        </is>
      </c>
      <c r="G149" t="inlineStr">
        <is>
          <t>S2职能系统－财经线/海外财经中心/海外本地财务</t>
        </is>
      </c>
      <c r="H149" s="188" t="n">
        <v>41952</v>
      </c>
      <c r="I149" t="inlineStr">
        <is>
          <t>社会招聘</t>
        </is>
      </c>
      <c r="J149" t="inlineStr">
        <is>
          <t>财经类－FN</t>
        </is>
      </c>
      <c r="K149" t="inlineStr">
        <is>
          <t>财务管理</t>
        </is>
      </c>
      <c r="L149" t="inlineStr">
        <is>
          <t>S9</t>
        </is>
      </c>
      <c r="N149" t="inlineStr">
        <is>
          <t>T2</t>
        </is>
      </c>
      <c r="Q149" t="inlineStr">
        <is>
          <t>U,G</t>
        </is>
      </c>
      <c r="U149" t="n">
        <v>56646</v>
      </c>
      <c r="V149" t="n">
        <v>0.083333</v>
      </c>
      <c r="W149" t="inlineStr">
        <is>
          <t>CNY</t>
        </is>
      </c>
      <c r="X149" t="n">
        <v>1</v>
      </c>
      <c r="Y149" t="n">
        <v>54242.01</v>
      </c>
      <c r="Z149" t="n">
        <v>0</v>
      </c>
      <c r="AA149" t="n">
        <v>56646</v>
      </c>
      <c r="AB149" t="n">
        <v>58325</v>
      </c>
      <c r="AC149" t="n">
        <v>0</v>
      </c>
      <c r="AF149" t="n">
        <v>0</v>
      </c>
      <c r="AG149" t="n">
        <v>114971</v>
      </c>
      <c r="AH149" t="n">
        <v>2.119593282033612</v>
      </c>
      <c r="AI149" t="n">
        <v>114971</v>
      </c>
      <c r="AJ149" t="n">
        <v>2.119593282033612</v>
      </c>
      <c r="AK149" t="n">
        <v>2.119593282033612</v>
      </c>
      <c r="AQ149" t="n">
        <v>114971</v>
      </c>
      <c r="AR149" t="n">
        <v>2.119593282033612</v>
      </c>
      <c r="AS149" t="n">
        <v>0.513435301998437</v>
      </c>
      <c r="BL149" t="n">
        <v>1</v>
      </c>
      <c r="BM149" t="n">
        <v>48590</v>
      </c>
      <c r="BN149" t="n">
        <v>0</v>
      </c>
      <c r="BO149" t="n">
        <v>51575</v>
      </c>
      <c r="BP149" t="inlineStr">
        <is>
          <t>G,O</t>
        </is>
      </c>
      <c r="BQ149" t="inlineStr">
        <is>
          <t>T2</t>
        </is>
      </c>
      <c r="BR149" t="n">
        <v>223925</v>
      </c>
      <c r="BS149" t="n">
        <v>4.608458530561844</v>
      </c>
      <c r="BT149" t="n">
        <v>0</v>
      </c>
      <c r="BU149" t="n">
        <v>223925</v>
      </c>
      <c r="BV149" t="n">
        <v>4.608458530561844</v>
      </c>
      <c r="BY149" t="n">
        <v>223925</v>
      </c>
      <c r="BZ149" t="n">
        <v>4.608458530561844</v>
      </c>
      <c r="CP149" t="inlineStr">
        <is>
          <t>海外财经中心</t>
        </is>
      </c>
      <c r="CQ149" t="inlineStr">
        <is>
          <t>3,1</t>
        </is>
      </c>
      <c r="CR149" t="n">
        <v>9</v>
      </c>
      <c r="CS149" t="inlineStr">
        <is>
          <t>T2</t>
        </is>
      </c>
      <c r="CT149" t="inlineStr">
        <is>
          <t>N</t>
        </is>
      </c>
    </row>
    <row r="150">
      <c r="A150" t="inlineStr">
        <is>
          <t>patriciaWang(王雅沁)</t>
        </is>
      </c>
      <c r="C150" t="n">
        <v>7267693</v>
      </c>
      <c r="D150" t="inlineStr">
        <is>
          <t>财经线-公共</t>
        </is>
      </c>
      <c r="E150" t="inlineStr">
        <is>
          <t>财经线-公共</t>
        </is>
      </c>
      <c r="G150" t="inlineStr">
        <is>
          <t>S2职能系统－财经线/财经线-公共</t>
        </is>
      </c>
      <c r="H150" s="188" t="n">
        <v>37022</v>
      </c>
      <c r="I150" t="inlineStr">
        <is>
          <t>社会招聘</t>
        </is>
      </c>
      <c r="J150" t="inlineStr">
        <is>
          <t>财经类－FN</t>
        </is>
      </c>
      <c r="K150" t="inlineStr">
        <is>
          <t>财务管理</t>
        </is>
      </c>
      <c r="L150" t="inlineStr">
        <is>
          <t>S9</t>
        </is>
      </c>
      <c r="N150" t="inlineStr">
        <is>
          <t>Others</t>
        </is>
      </c>
      <c r="Q150" t="inlineStr">
        <is>
          <t>G,U</t>
        </is>
      </c>
      <c r="U150" t="n">
        <v>48583.8</v>
      </c>
      <c r="V150" t="n">
        <v>0.083333</v>
      </c>
      <c r="W150" t="inlineStr">
        <is>
          <t>CNY</t>
        </is>
      </c>
      <c r="X150" t="n">
        <v>1</v>
      </c>
      <c r="Y150" t="n">
        <v>44244.45</v>
      </c>
      <c r="Z150" t="n">
        <v>0</v>
      </c>
      <c r="AA150" t="n">
        <v>48583.8</v>
      </c>
      <c r="AB150" t="n">
        <v>33255</v>
      </c>
      <c r="AC150" t="n">
        <v>0</v>
      </c>
      <c r="AF150" t="n">
        <v>0</v>
      </c>
      <c r="AG150" t="n">
        <v>81838.8</v>
      </c>
      <c r="AH150" t="n">
        <v>1.849696402599648</v>
      </c>
      <c r="AI150" t="n">
        <v>81838.8</v>
      </c>
      <c r="AJ150" t="n">
        <v>1.849696402599648</v>
      </c>
      <c r="AK150" t="n">
        <v>1.849696402599648</v>
      </c>
      <c r="AQ150" t="n">
        <v>81838.8</v>
      </c>
      <c r="AR150" t="n">
        <v>1.849696402599648</v>
      </c>
      <c r="AS150" t="n">
        <v>0.2965711179561515</v>
      </c>
      <c r="BL150" t="n">
        <v>1</v>
      </c>
      <c r="BM150" t="n">
        <v>39380</v>
      </c>
      <c r="BN150" t="n">
        <v>0</v>
      </c>
      <c r="BO150" t="n">
        <v>39970</v>
      </c>
      <c r="BP150" t="inlineStr">
        <is>
          <t>G,G</t>
        </is>
      </c>
      <c r="BQ150" t="inlineStr">
        <is>
          <t>T1#</t>
        </is>
      </c>
      <c r="BR150" t="n">
        <v>210640</v>
      </c>
      <c r="BS150" t="n">
        <v>5.348908075165059</v>
      </c>
      <c r="BT150" t="n">
        <v>65310</v>
      </c>
      <c r="BU150" t="n">
        <v>275950</v>
      </c>
      <c r="BV150" t="n">
        <v>7.007364144235653</v>
      </c>
      <c r="BY150" t="n">
        <v>275950</v>
      </c>
      <c r="BZ150" t="n">
        <v>7.007364144235653</v>
      </c>
      <c r="CP150" t="inlineStr">
        <is>
          <t>财经线-公共</t>
        </is>
      </c>
      <c r="CQ150" t="inlineStr">
        <is>
          <t>3,1</t>
        </is>
      </c>
      <c r="CR150" t="n">
        <v>9</v>
      </c>
      <c r="CS150" t="inlineStr">
        <is>
          <t>Others</t>
        </is>
      </c>
      <c r="CT150" t="inlineStr">
        <is>
          <t>N</t>
        </is>
      </c>
    </row>
    <row r="151">
      <c r="A151" t="inlineStr">
        <is>
          <t>jacobJiang(蒋然锋)</t>
        </is>
      </c>
      <c r="C151" t="n">
        <v>38408559</v>
      </c>
      <c r="D151" t="inlineStr">
        <is>
          <t>财会及报告管理部</t>
        </is>
      </c>
      <c r="E151" t="inlineStr">
        <is>
          <t>供应商支付管理中心</t>
        </is>
      </c>
      <c r="G151" t="inlineStr">
        <is>
          <t>S2职能系统－财经线/财会及报告管理部/供应商支付管理中心</t>
        </is>
      </c>
      <c r="H151" s="188" t="n">
        <v>37358</v>
      </c>
      <c r="I151" t="inlineStr">
        <is>
          <t>社会招聘</t>
        </is>
      </c>
      <c r="J151" t="inlineStr">
        <is>
          <t>财经类－FN</t>
        </is>
      </c>
      <c r="K151" t="inlineStr">
        <is>
          <t>会计</t>
        </is>
      </c>
      <c r="L151" t="inlineStr">
        <is>
          <t>S10</t>
        </is>
      </c>
      <c r="N151" t="inlineStr">
        <is>
          <t>T2</t>
        </is>
      </c>
      <c r="Q151" t="inlineStr">
        <is>
          <t>G,G</t>
        </is>
      </c>
      <c r="U151" t="n">
        <v>45048.15</v>
      </c>
      <c r="V151" t="n">
        <v>0.083333</v>
      </c>
      <c r="W151" t="inlineStr">
        <is>
          <t>CNY</t>
        </is>
      </c>
      <c r="X151" t="n">
        <v>1</v>
      </c>
      <c r="Y151" t="n">
        <v>42379.02</v>
      </c>
      <c r="Z151" t="n">
        <v>0</v>
      </c>
      <c r="AA151" t="n">
        <v>90096.3</v>
      </c>
      <c r="AB151" t="n">
        <v>52705</v>
      </c>
      <c r="AC151" t="n">
        <v>0</v>
      </c>
      <c r="AF151" t="n">
        <v>0</v>
      </c>
      <c r="AG151" t="n">
        <v>142801.3</v>
      </c>
      <c r="AH151" t="n">
        <v>3.369622516046855</v>
      </c>
      <c r="AI151" t="n">
        <v>142801.3</v>
      </c>
      <c r="AJ151" t="n">
        <v>3.369622516046855</v>
      </c>
      <c r="AK151" t="n">
        <v>3.369622516046855</v>
      </c>
      <c r="AQ151" t="n">
        <v>142801.3</v>
      </c>
      <c r="AR151" t="n">
        <v>3.369622516046855</v>
      </c>
      <c r="AS151" t="n">
        <v>1.592520352403256</v>
      </c>
      <c r="BL151" t="n">
        <v>1</v>
      </c>
      <c r="BM151" t="n">
        <v>36960</v>
      </c>
      <c r="BN151" t="n">
        <v>0</v>
      </c>
      <c r="BO151" t="n">
        <v>40325</v>
      </c>
      <c r="BP151" t="inlineStr">
        <is>
          <t>G,U</t>
        </is>
      </c>
      <c r="BQ151" t="inlineStr">
        <is>
          <t>T2</t>
        </is>
      </c>
      <c r="BR151" t="n">
        <v>89670</v>
      </c>
      <c r="BS151" t="n">
        <v>2.426136363636364</v>
      </c>
      <c r="BT151" t="n">
        <v>0</v>
      </c>
      <c r="BU151" t="n">
        <v>89670</v>
      </c>
      <c r="BV151" t="n">
        <v>2.426136363636364</v>
      </c>
      <c r="BY151" t="n">
        <v>89670</v>
      </c>
      <c r="BZ151" t="n">
        <v>2.426136363636364</v>
      </c>
      <c r="CP151" t="inlineStr">
        <is>
          <t>财会及报告管理部</t>
        </is>
      </c>
      <c r="CQ151" t="inlineStr">
        <is>
          <t>3,3</t>
        </is>
      </c>
      <c r="CR151" t="n">
        <v>10</v>
      </c>
      <c r="CS151" t="inlineStr">
        <is>
          <t>T2</t>
        </is>
      </c>
      <c r="CT151" t="inlineStr">
        <is>
          <t>N</t>
        </is>
      </c>
    </row>
    <row r="152">
      <c r="A152" t="inlineStr">
        <is>
          <t>avaXue(薛佳)</t>
        </is>
      </c>
      <c r="C152" t="n">
        <v>78437726</v>
      </c>
      <c r="D152" t="inlineStr">
        <is>
          <t>FiT财务管理</t>
        </is>
      </c>
      <c r="E152" t="inlineStr">
        <is>
          <t>结算支持中心</t>
        </is>
      </c>
      <c r="G152" t="inlineStr">
        <is>
          <t>S2职能系统－财经线/FiT财务管理/结算支持中心</t>
        </is>
      </c>
      <c r="H152" s="188" t="n">
        <v>43602</v>
      </c>
      <c r="I152" t="inlineStr">
        <is>
          <t>社会招聘</t>
        </is>
      </c>
      <c r="J152" t="inlineStr">
        <is>
          <t>财经类－FN</t>
        </is>
      </c>
      <c r="K152" t="inlineStr">
        <is>
          <t>财务管理</t>
        </is>
      </c>
      <c r="L152" t="inlineStr">
        <is>
          <t>S6</t>
        </is>
      </c>
      <c r="N152" t="inlineStr">
        <is>
          <t>T2</t>
        </is>
      </c>
      <c r="Q152" t="inlineStr">
        <is>
          <t>O,O</t>
        </is>
      </c>
      <c r="U152" t="n">
        <v>26830.7</v>
      </c>
      <c r="V152" t="n">
        <v>0.083333</v>
      </c>
      <c r="W152" t="inlineStr">
        <is>
          <t>CNY</t>
        </is>
      </c>
      <c r="X152" t="n">
        <v>1</v>
      </c>
      <c r="Y152" t="n">
        <v>24559.7</v>
      </c>
      <c r="Z152" t="n">
        <v>0</v>
      </c>
      <c r="AA152" t="n">
        <v>107322.8</v>
      </c>
      <c r="AB152" t="n">
        <v>31875</v>
      </c>
      <c r="AC152" t="n">
        <v>0</v>
      </c>
      <c r="AF152" t="n">
        <v>0</v>
      </c>
      <c r="AG152" t="n">
        <v>139197.8</v>
      </c>
      <c r="AH152" t="n">
        <v>5.667732097704776</v>
      </c>
      <c r="AI152" t="n">
        <v>139197.8</v>
      </c>
      <c r="AJ152" t="n">
        <v>5.667732097704776</v>
      </c>
      <c r="AK152" t="n">
        <v>5.667732097704776</v>
      </c>
      <c r="AQ152" t="n">
        <v>139197.8</v>
      </c>
      <c r="AR152" t="n">
        <v>5.667732097704776</v>
      </c>
      <c r="AS152" t="n">
        <v>1.292338687215672</v>
      </c>
      <c r="BL152" t="n">
        <v>1</v>
      </c>
      <c r="BM152" t="n">
        <v>22000</v>
      </c>
      <c r="BN152" t="n">
        <v>0</v>
      </c>
      <c r="BO152" t="n">
        <v>22425</v>
      </c>
      <c r="BP152" t="inlineStr">
        <is>
          <t>G,G</t>
        </is>
      </c>
      <c r="BQ152" t="inlineStr">
        <is>
          <t>T1</t>
        </is>
      </c>
      <c r="BR152" t="n">
        <v>75985</v>
      </c>
      <c r="BS152" t="n">
        <v>3.453863636363637</v>
      </c>
      <c r="BT152" t="n">
        <v>31725</v>
      </c>
      <c r="BU152" t="n">
        <v>107710</v>
      </c>
      <c r="BV152" t="n">
        <v>4.895909090909091</v>
      </c>
      <c r="BY152" t="n">
        <v>107710</v>
      </c>
      <c r="BZ152" t="n">
        <v>4.895909090909091</v>
      </c>
      <c r="CP152" t="inlineStr">
        <is>
          <t>FiT财务管理</t>
        </is>
      </c>
      <c r="CQ152" t="inlineStr">
        <is>
          <t>5,5</t>
        </is>
      </c>
      <c r="CR152" t="n">
        <v>6</v>
      </c>
      <c r="CS152" t="inlineStr">
        <is>
          <t>T2</t>
        </is>
      </c>
      <c r="CT152" t="inlineStr">
        <is>
          <t>N</t>
        </is>
      </c>
    </row>
    <row r="153">
      <c r="A153" t="inlineStr">
        <is>
          <t>haroldXie(谢熙建)</t>
        </is>
      </c>
      <c r="C153" t="n">
        <v>77416294</v>
      </c>
      <c r="D153" t="inlineStr">
        <is>
          <t>资金管理</t>
        </is>
      </c>
      <c r="E153" t="inlineStr">
        <is>
          <t>资金结算及风险控制中心</t>
        </is>
      </c>
      <c r="G153" t="inlineStr">
        <is>
          <t>S2职能系统－财经线/资金管理/资金结算及风险控制中心</t>
        </is>
      </c>
      <c r="H153" s="188" t="n">
        <v>40308</v>
      </c>
      <c r="I153" t="inlineStr">
        <is>
          <t>高校招聘</t>
        </is>
      </c>
      <c r="J153" t="inlineStr">
        <is>
          <t>财经类－FN</t>
        </is>
      </c>
      <c r="K153" t="inlineStr">
        <is>
          <t>资金管理</t>
        </is>
      </c>
      <c r="L153" t="inlineStr">
        <is>
          <t>S6</t>
        </is>
      </c>
      <c r="N153" t="inlineStr">
        <is>
          <t>T1</t>
        </is>
      </c>
      <c r="Q153" t="inlineStr">
        <is>
          <t>G,O</t>
        </is>
      </c>
      <c r="U153" t="n">
        <v>29858.65</v>
      </c>
      <c r="V153" t="n">
        <v>0.083333</v>
      </c>
      <c r="W153" t="inlineStr">
        <is>
          <t>CNY</t>
        </is>
      </c>
      <c r="X153" t="n">
        <v>1</v>
      </c>
      <c r="Y153" t="n">
        <v>27968.52</v>
      </c>
      <c r="Z153" t="n">
        <v>0</v>
      </c>
      <c r="AA153" t="n">
        <v>89575.95</v>
      </c>
      <c r="AB153" t="n">
        <v>72785</v>
      </c>
      <c r="AC153" t="n">
        <v>35305</v>
      </c>
      <c r="AF153" t="n">
        <v>0</v>
      </c>
      <c r="AG153" t="n">
        <v>197665.95</v>
      </c>
      <c r="AH153" t="n">
        <v>7.067444040657139</v>
      </c>
      <c r="AI153" t="n">
        <v>197665.95</v>
      </c>
      <c r="AJ153" t="n">
        <v>7.067444040657139</v>
      </c>
      <c r="AK153" t="n">
        <v>5.805131984102126</v>
      </c>
      <c r="AQ153" t="n">
        <v>197665.95</v>
      </c>
      <c r="AR153" t="n">
        <v>7.067444040657139</v>
      </c>
      <c r="AS153" t="n">
        <v>2.272936813660668</v>
      </c>
      <c r="BL153" t="n">
        <v>1</v>
      </c>
      <c r="BM153" t="n">
        <v>25405</v>
      </c>
      <c r="BN153" t="n">
        <v>0</v>
      </c>
      <c r="BO153" t="n">
        <v>27830</v>
      </c>
      <c r="BP153" t="inlineStr">
        <is>
          <t>G,G</t>
        </is>
      </c>
      <c r="BQ153" t="inlineStr">
        <is>
          <t>T2</t>
        </is>
      </c>
      <c r="BR153" t="n">
        <v>86965</v>
      </c>
      <c r="BS153" t="n">
        <v>3.423145050186971</v>
      </c>
      <c r="BT153" t="n">
        <v>0</v>
      </c>
      <c r="BU153" t="n">
        <v>86965</v>
      </c>
      <c r="BV153" t="n">
        <v>3.423145050186971</v>
      </c>
      <c r="BY153" t="n">
        <v>86965</v>
      </c>
      <c r="BZ153" t="n">
        <v>3.423145050186971</v>
      </c>
      <c r="CP153" t="inlineStr">
        <is>
          <t>资金管理</t>
        </is>
      </c>
      <c r="CQ153" t="inlineStr">
        <is>
          <t>5,3</t>
        </is>
      </c>
      <c r="CR153" t="n">
        <v>6</v>
      </c>
      <c r="CS153" t="inlineStr">
        <is>
          <t>T1</t>
        </is>
      </c>
      <c r="CT153" t="inlineStr">
        <is>
          <t>N</t>
        </is>
      </c>
    </row>
    <row r="154">
      <c r="A154" t="inlineStr">
        <is>
          <t>stephanieHou(侯艳)</t>
        </is>
      </c>
      <c r="C154" t="n">
        <v>40050121</v>
      </c>
      <c r="D154" t="inlineStr">
        <is>
          <t>财会及报告管理部</t>
        </is>
      </c>
      <c r="E154" t="inlineStr">
        <is>
          <t>应收管理中心</t>
        </is>
      </c>
      <c r="G154" t="inlineStr">
        <is>
          <t>S2职能系统－财经线/财会及报告管理部/应收管理中心</t>
        </is>
      </c>
      <c r="H154" s="188" t="n">
        <v>37540</v>
      </c>
      <c r="I154" t="inlineStr">
        <is>
          <t>社会招聘</t>
        </is>
      </c>
      <c r="J154" t="inlineStr">
        <is>
          <t>财经类－FN</t>
        </is>
      </c>
      <c r="K154" t="inlineStr">
        <is>
          <t>会计</t>
        </is>
      </c>
      <c r="L154" t="inlineStr">
        <is>
          <t>S6</t>
        </is>
      </c>
      <c r="N154" t="inlineStr">
        <is>
          <t>T1</t>
        </is>
      </c>
      <c r="Q154" t="inlineStr">
        <is>
          <t>O,G</t>
        </is>
      </c>
      <c r="U154" t="n">
        <v>37198.5</v>
      </c>
      <c r="V154" t="n">
        <v>0.083333</v>
      </c>
      <c r="W154" t="inlineStr">
        <is>
          <t>CNY</t>
        </is>
      </c>
      <c r="X154" t="n">
        <v>1</v>
      </c>
      <c r="Y154" t="n">
        <v>34661.68</v>
      </c>
      <c r="Z154" t="n">
        <v>0</v>
      </c>
      <c r="AA154" t="n">
        <v>111595.5</v>
      </c>
      <c r="AB154" t="n">
        <v>86805</v>
      </c>
      <c r="AC154" t="n">
        <v>69595</v>
      </c>
      <c r="AF154" t="n">
        <v>0</v>
      </c>
      <c r="AG154" t="n">
        <v>267995.5</v>
      </c>
      <c r="AH154" t="n">
        <v>7.731751605807912</v>
      </c>
      <c r="AI154" t="n">
        <v>267995.5</v>
      </c>
      <c r="AJ154" t="n">
        <v>7.731751605807912</v>
      </c>
      <c r="AK154" t="n">
        <v>5.723914709269718</v>
      </c>
      <c r="AQ154" t="n">
        <v>267995.5</v>
      </c>
      <c r="AR154" t="n">
        <v>7.731751605807912</v>
      </c>
      <c r="AS154" t="n">
        <v>1.657926320022271</v>
      </c>
      <c r="BL154" t="n">
        <v>1</v>
      </c>
      <c r="BM154" t="n">
        <v>31925</v>
      </c>
      <c r="BN154" t="n">
        <v>0</v>
      </c>
      <c r="BO154" t="n">
        <v>33355</v>
      </c>
      <c r="BP154" t="inlineStr">
        <is>
          <t>G,G</t>
        </is>
      </c>
      <c r="BQ154" t="inlineStr">
        <is>
          <t>T1</t>
        </is>
      </c>
      <c r="BR154" t="n">
        <v>113750</v>
      </c>
      <c r="BS154" t="n">
        <v>3.563038371182459</v>
      </c>
      <c r="BT154" t="n">
        <v>47895</v>
      </c>
      <c r="BU154" t="n">
        <v>161645</v>
      </c>
      <c r="BV154" t="n">
        <v>5.06327329678935</v>
      </c>
      <c r="BY154" t="n">
        <v>161645</v>
      </c>
      <c r="BZ154" t="n">
        <v>5.06327329678935</v>
      </c>
      <c r="CP154" t="inlineStr">
        <is>
          <t>财会及报告管理部</t>
        </is>
      </c>
      <c r="CQ154" t="inlineStr">
        <is>
          <t>5,3</t>
        </is>
      </c>
      <c r="CR154" t="n">
        <v>6</v>
      </c>
      <c r="CS154" t="inlineStr">
        <is>
          <t>T1</t>
        </is>
      </c>
      <c r="CT154" t="inlineStr">
        <is>
          <t>N</t>
        </is>
      </c>
    </row>
    <row r="155">
      <c r="A155" t="inlineStr">
        <is>
          <t>billyHan(韩韬)</t>
        </is>
      </c>
      <c r="C155" t="n">
        <v>32998376</v>
      </c>
      <c r="D155" t="inlineStr">
        <is>
          <t>税务部</t>
        </is>
      </c>
      <c r="E155" t="inlineStr">
        <is>
          <t>印章及文档管理组</t>
        </is>
      </c>
      <c r="G155" t="inlineStr">
        <is>
          <t>S2职能系统－财经线/税务部/印章及文档管理组</t>
        </is>
      </c>
      <c r="H155" s="188" t="n">
        <v>38651</v>
      </c>
      <c r="I155" t="inlineStr">
        <is>
          <t>社会招聘</t>
        </is>
      </c>
      <c r="J155" t="inlineStr">
        <is>
          <t>财经类－FN</t>
        </is>
      </c>
      <c r="K155" t="inlineStr">
        <is>
          <t>税务</t>
        </is>
      </c>
      <c r="L155" t="inlineStr">
        <is>
          <t>S5</t>
        </is>
      </c>
      <c r="N155" t="inlineStr">
        <is>
          <t>T2</t>
        </is>
      </c>
      <c r="Q155" t="inlineStr">
        <is>
          <t>G,O</t>
        </is>
      </c>
      <c r="U155" t="n">
        <v>29747.35</v>
      </c>
      <c r="V155" t="n">
        <v>0.083333</v>
      </c>
      <c r="W155" t="inlineStr">
        <is>
          <t>CNY</t>
        </is>
      </c>
      <c r="X155" t="n">
        <v>1</v>
      </c>
      <c r="Y155" t="n">
        <v>26866.55</v>
      </c>
      <c r="Z155" t="n">
        <v>0</v>
      </c>
      <c r="AA155" t="n">
        <v>89242.05</v>
      </c>
      <c r="AB155" t="n">
        <v>31450</v>
      </c>
      <c r="AC155" t="n">
        <v>0</v>
      </c>
      <c r="AF155" t="n">
        <v>0</v>
      </c>
      <c r="AG155" t="n">
        <v>120692.05</v>
      </c>
      <c r="AH155" t="n">
        <v>4.492279432975206</v>
      </c>
      <c r="AI155" t="n">
        <v>120692.05</v>
      </c>
      <c r="AJ155" t="n">
        <v>4.492279432975206</v>
      </c>
      <c r="AK155" t="n">
        <v>4.492279432975206</v>
      </c>
      <c r="AQ155" t="n">
        <v>120692.05</v>
      </c>
      <c r="AR155" t="n">
        <v>4.492279432975206</v>
      </c>
      <c r="AS155" t="n">
        <v>1.520817162298387</v>
      </c>
      <c r="BL155" t="n">
        <v>1</v>
      </c>
      <c r="BM155" t="n">
        <v>23985</v>
      </c>
      <c r="BN155" t="n">
        <v>0</v>
      </c>
      <c r="BO155" t="n">
        <v>24855</v>
      </c>
      <c r="BP155" t="inlineStr">
        <is>
          <t>G,G</t>
        </is>
      </c>
      <c r="BQ155" t="inlineStr">
        <is>
          <t>T2</t>
        </is>
      </c>
      <c r="BR155" t="n">
        <v>79360</v>
      </c>
      <c r="BS155" t="n">
        <v>3.308734625807797</v>
      </c>
      <c r="BT155" t="n">
        <v>0</v>
      </c>
      <c r="BU155" t="n">
        <v>79360</v>
      </c>
      <c r="BV155" t="n">
        <v>3.308734625807797</v>
      </c>
      <c r="BY155" t="n">
        <v>79360</v>
      </c>
      <c r="BZ155" t="n">
        <v>3.308734625807797</v>
      </c>
      <c r="CP155" t="inlineStr">
        <is>
          <t>税务部</t>
        </is>
      </c>
      <c r="CQ155" t="inlineStr">
        <is>
          <t>5,3</t>
        </is>
      </c>
      <c r="CR155" t="n">
        <v>5</v>
      </c>
      <c r="CS155" t="inlineStr">
        <is>
          <t>T2</t>
        </is>
      </c>
      <c r="CT155" t="inlineStr">
        <is>
          <t>N</t>
        </is>
      </c>
    </row>
    <row r="156">
      <c r="A156" t="inlineStr">
        <is>
          <t>lukeZheng(郑恒刚)</t>
        </is>
      </c>
      <c r="C156" t="n">
        <v>22083692</v>
      </c>
      <c r="D156" t="inlineStr">
        <is>
          <t>财会及报告管理部</t>
        </is>
      </c>
      <c r="E156" t="inlineStr">
        <is>
          <t>财会及报告管理部</t>
        </is>
      </c>
      <c r="G156" t="inlineStr">
        <is>
          <t>S2职能系统－财经线/财会及报告管理部</t>
        </is>
      </c>
      <c r="H156" s="188" t="n">
        <v>38257</v>
      </c>
      <c r="I156" t="inlineStr">
        <is>
          <t>高校招聘</t>
        </is>
      </c>
      <c r="J156" t="inlineStr">
        <is>
          <t>财经类－FN</t>
        </is>
      </c>
      <c r="K156" t="inlineStr">
        <is>
          <t>会计</t>
        </is>
      </c>
      <c r="L156" t="inlineStr">
        <is>
          <t>S7</t>
        </is>
      </c>
      <c r="N156" t="inlineStr">
        <is>
          <t>T2</t>
        </is>
      </c>
      <c r="Q156" t="inlineStr">
        <is>
          <t>G,U</t>
        </is>
      </c>
      <c r="U156" t="n">
        <v>32112.5</v>
      </c>
      <c r="V156" t="n">
        <v>0.083333</v>
      </c>
      <c r="W156" t="inlineStr">
        <is>
          <t>CNY</t>
        </is>
      </c>
      <c r="X156" t="n">
        <v>1</v>
      </c>
      <c r="Y156" t="n">
        <v>31149.84</v>
      </c>
      <c r="Z156" t="n">
        <v>0</v>
      </c>
      <c r="AA156" t="n">
        <v>32112.5</v>
      </c>
      <c r="AB156" t="n">
        <v>46615</v>
      </c>
      <c r="AC156" t="n">
        <v>0</v>
      </c>
      <c r="AF156" t="n">
        <v>0</v>
      </c>
      <c r="AG156" t="n">
        <v>78727.5</v>
      </c>
      <c r="AH156" t="n">
        <v>2.527380557973974</v>
      </c>
      <c r="AI156" t="n">
        <v>78727.5</v>
      </c>
      <c r="AJ156" t="n">
        <v>2.527380557973974</v>
      </c>
      <c r="AK156" t="n">
        <v>2.527380557973974</v>
      </c>
      <c r="AQ156" t="n">
        <v>78727.5</v>
      </c>
      <c r="AR156" t="n">
        <v>2.527380557973974</v>
      </c>
      <c r="AS156" t="n">
        <v>1.428681607839579</v>
      </c>
      <c r="BL156" t="n">
        <v>1</v>
      </c>
      <c r="BM156" t="n">
        <v>26445</v>
      </c>
      <c r="BN156" t="n">
        <v>0</v>
      </c>
      <c r="BO156" t="n">
        <v>27300</v>
      </c>
      <c r="BP156" t="inlineStr">
        <is>
          <t>G,U</t>
        </is>
      </c>
      <c r="BQ156" t="inlineStr">
        <is>
          <t>T2</t>
        </is>
      </c>
      <c r="BR156" t="n">
        <v>55105</v>
      </c>
      <c r="BS156" t="n">
        <v>2.08375874456419</v>
      </c>
      <c r="BT156" t="n">
        <v>0</v>
      </c>
      <c r="BU156" t="n">
        <v>55105</v>
      </c>
      <c r="BV156" t="n">
        <v>2.08375874456419</v>
      </c>
      <c r="BY156" t="n">
        <v>55105</v>
      </c>
      <c r="BZ156" t="n">
        <v>2.08375874456419</v>
      </c>
      <c r="CP156" t="inlineStr">
        <is>
          <t>财会及报告管理部</t>
        </is>
      </c>
      <c r="CQ156" t="inlineStr">
        <is>
          <t>3,1</t>
        </is>
      </c>
      <c r="CR156" t="n">
        <v>7</v>
      </c>
      <c r="CS156" t="inlineStr">
        <is>
          <t>T2</t>
        </is>
      </c>
      <c r="CT156" t="inlineStr">
        <is>
          <t>N</t>
        </is>
      </c>
    </row>
    <row r="157">
      <c r="A157" t="inlineStr">
        <is>
          <t>gloriaLiang(梁嫦曼)</t>
        </is>
      </c>
      <c r="C157" t="n">
        <v>49785786</v>
      </c>
      <c r="D157" t="inlineStr">
        <is>
          <t>在线视频财务管理中心</t>
        </is>
      </c>
      <c r="E157" t="inlineStr">
        <is>
          <t>OVB长视频财务管理组</t>
        </is>
      </c>
      <c r="G157" t="inlineStr">
        <is>
          <t>S2职能系统－财经线/在线视频财务管理中心/OVB长视频财务管理组</t>
        </is>
      </c>
      <c r="H157" s="188" t="n">
        <v>36618</v>
      </c>
      <c r="I157" t="inlineStr">
        <is>
          <t>社会招聘</t>
        </is>
      </c>
      <c r="J157" t="inlineStr">
        <is>
          <t>财经类－FN</t>
        </is>
      </c>
      <c r="K157" t="inlineStr">
        <is>
          <t>财务管理</t>
        </is>
      </c>
      <c r="L157" t="inlineStr">
        <is>
          <t>S8</t>
        </is>
      </c>
      <c r="N157" t="inlineStr">
        <is>
          <t>T1#</t>
        </is>
      </c>
      <c r="Q157" t="inlineStr">
        <is>
          <t>G,O</t>
        </is>
      </c>
      <c r="U157" t="n">
        <v>32766.8</v>
      </c>
      <c r="V157" t="n">
        <v>0.083333</v>
      </c>
      <c r="W157" t="inlineStr">
        <is>
          <t>CNY</t>
        </is>
      </c>
      <c r="X157" t="n">
        <v>1</v>
      </c>
      <c r="Y157" t="n">
        <v>30585.01</v>
      </c>
      <c r="Z157" t="n">
        <v>0</v>
      </c>
      <c r="AA157" t="n">
        <v>98300.39999999999</v>
      </c>
      <c r="AB157" t="n">
        <v>109745</v>
      </c>
      <c r="AC157" t="n">
        <v>40335</v>
      </c>
      <c r="AF157" t="n">
        <v>0</v>
      </c>
      <c r="AG157" t="n">
        <v>248380.4</v>
      </c>
      <c r="AH157" t="n">
        <v>8.120984756911964</v>
      </c>
      <c r="AI157" t="n">
        <v>248380.4</v>
      </c>
      <c r="AJ157" t="n">
        <v>8.120984756911964</v>
      </c>
      <c r="AK157" t="n">
        <v>6.802201470589678</v>
      </c>
      <c r="AQ157" t="n">
        <v>248380.4</v>
      </c>
      <c r="AR157" t="n">
        <v>8.120984756911964</v>
      </c>
      <c r="AS157" t="n">
        <v>1.297940584746427</v>
      </c>
      <c r="BL157" t="n">
        <v>1</v>
      </c>
      <c r="BM157" t="n">
        <v>26405</v>
      </c>
      <c r="BN157" t="n">
        <v>0</v>
      </c>
      <c r="BO157" t="n">
        <v>27170</v>
      </c>
      <c r="BP157" t="inlineStr">
        <is>
          <t>G,G</t>
        </is>
      </c>
      <c r="BQ157" t="inlineStr">
        <is>
          <t>T1#</t>
        </is>
      </c>
      <c r="BR157" t="n">
        <v>138340</v>
      </c>
      <c r="BS157" t="n">
        <v>5.239159250142019</v>
      </c>
      <c r="BT157" t="n">
        <v>53025</v>
      </c>
      <c r="BU157" t="n">
        <v>191365</v>
      </c>
      <c r="BV157" t="n">
        <v>7.247301647415262</v>
      </c>
      <c r="BY157" t="n">
        <v>191365</v>
      </c>
      <c r="BZ157" t="n">
        <v>7.247301647415262</v>
      </c>
      <c r="CP157" t="inlineStr">
        <is>
          <t>在线视频财务管理中心</t>
        </is>
      </c>
      <c r="CQ157" t="inlineStr">
        <is>
          <t>5,3</t>
        </is>
      </c>
      <c r="CR157" t="n">
        <v>8</v>
      </c>
      <c r="CS157" t="inlineStr">
        <is>
          <t>T1#</t>
        </is>
      </c>
      <c r="CT157" t="inlineStr">
        <is>
          <t>N</t>
        </is>
      </c>
    </row>
    <row r="158">
      <c r="A158" t="inlineStr">
        <is>
          <t>thomasTang(唐睿刚)</t>
        </is>
      </c>
      <c r="C158" t="n">
        <v>10211108</v>
      </c>
      <c r="D158" t="inlineStr">
        <is>
          <t>财经投资并购及管理部</t>
        </is>
      </c>
      <c r="E158" t="inlineStr">
        <is>
          <t>运营支持中心</t>
        </is>
      </c>
      <c r="G158" t="inlineStr">
        <is>
          <t>S2职能系统－财经线/财经投资并购及管理部/运营支持中心</t>
        </is>
      </c>
      <c r="H158" s="188" t="n">
        <v>41630</v>
      </c>
      <c r="I158" t="inlineStr">
        <is>
          <t>社会招聘</t>
        </is>
      </c>
      <c r="J158" t="inlineStr">
        <is>
          <t>财经类－FN</t>
        </is>
      </c>
      <c r="K158" t="inlineStr">
        <is>
          <t>投资并购</t>
        </is>
      </c>
      <c r="L158" t="inlineStr">
        <is>
          <t>S6</t>
        </is>
      </c>
      <c r="N158" t="inlineStr">
        <is>
          <t>T1</t>
        </is>
      </c>
      <c r="Q158" t="inlineStr">
        <is>
          <t>G,U</t>
        </is>
      </c>
      <c r="U158" t="n">
        <v>26579.2</v>
      </c>
      <c r="V158" t="n">
        <v>0.083333</v>
      </c>
      <c r="W158" t="inlineStr">
        <is>
          <t>CNY</t>
        </is>
      </c>
      <c r="X158" t="n">
        <v>1</v>
      </c>
      <c r="Y158" t="n">
        <v>24937.42</v>
      </c>
      <c r="Z158" t="n">
        <v>0</v>
      </c>
      <c r="AA158" t="n">
        <v>26579.2</v>
      </c>
      <c r="AB158" t="n">
        <v>65820</v>
      </c>
      <c r="AC158" t="n">
        <v>0</v>
      </c>
      <c r="AF158" t="n">
        <v>0</v>
      </c>
      <c r="AG158" t="n">
        <v>92399.2</v>
      </c>
      <c r="AH158" t="n">
        <v>3.705242964187955</v>
      </c>
      <c r="AI158" t="n">
        <v>92399.2</v>
      </c>
      <c r="AJ158" t="n">
        <v>3.705242964187955</v>
      </c>
      <c r="AK158" t="n">
        <v>3.705242964187955</v>
      </c>
      <c r="AQ158" t="n">
        <v>92399.2</v>
      </c>
      <c r="AR158" t="n">
        <v>3.705242964187955</v>
      </c>
      <c r="AS158" t="n">
        <v>0.7850399320305862</v>
      </c>
      <c r="BL158" t="n">
        <v>1</v>
      </c>
      <c r="BM158" t="n">
        <v>22425</v>
      </c>
      <c r="BN158" t="n">
        <v>0</v>
      </c>
      <c r="BO158" t="n">
        <v>22490</v>
      </c>
      <c r="BP158" t="inlineStr">
        <is>
          <t>O,G</t>
        </is>
      </c>
      <c r="BQ158" t="inlineStr">
        <is>
          <t>T1</t>
        </is>
      </c>
      <c r="BR158" t="n">
        <v>92255</v>
      </c>
      <c r="BS158" t="n">
        <v>4.113935340022296</v>
      </c>
      <c r="BT158" t="n">
        <v>25445</v>
      </c>
      <c r="BU158" t="n">
        <v>117700</v>
      </c>
      <c r="BV158" t="n">
        <v>5.248606465997771</v>
      </c>
      <c r="BY158" t="n">
        <v>117700</v>
      </c>
      <c r="BZ158" t="n">
        <v>5.248606465997771</v>
      </c>
      <c r="CP158" t="inlineStr">
        <is>
          <t>财经投资并购及管理部</t>
        </is>
      </c>
      <c r="CQ158" t="inlineStr">
        <is>
          <t>3,1</t>
        </is>
      </c>
      <c r="CR158" t="n">
        <v>6</v>
      </c>
      <c r="CS158" t="inlineStr">
        <is>
          <t>T1</t>
        </is>
      </c>
      <c r="CT158" t="inlineStr">
        <is>
          <t>N</t>
        </is>
      </c>
    </row>
    <row r="159">
      <c r="A159" t="inlineStr">
        <is>
          <t>peterHe(贺磊轩)</t>
        </is>
      </c>
      <c r="C159" t="n">
        <v>4986104</v>
      </c>
      <c r="D159" t="inlineStr">
        <is>
          <t>风险管理和内部控制</t>
        </is>
      </c>
      <c r="E159" t="inlineStr">
        <is>
          <t>CSIG风控中心</t>
        </is>
      </c>
      <c r="G159" t="inlineStr">
        <is>
          <t>S2职能系统－财经线/风险管理和内部控制/CSIG风控中心</t>
        </is>
      </c>
      <c r="H159" s="188" t="n">
        <v>37211</v>
      </c>
      <c r="I159" t="inlineStr">
        <is>
          <t>高校招聘</t>
        </is>
      </c>
      <c r="J159" t="inlineStr">
        <is>
          <t>财经类－FN</t>
        </is>
      </c>
      <c r="K159" t="inlineStr">
        <is>
          <t>风险管理</t>
        </is>
      </c>
      <c r="L159" t="inlineStr">
        <is>
          <t>S7</t>
        </is>
      </c>
      <c r="N159" t="inlineStr">
        <is>
          <t>T1</t>
        </is>
      </c>
      <c r="Q159" t="inlineStr">
        <is>
          <t>G,G</t>
        </is>
      </c>
      <c r="U159" t="n">
        <v>35967.45</v>
      </c>
      <c r="V159" t="n">
        <v>0.083333</v>
      </c>
      <c r="W159" t="inlineStr">
        <is>
          <t>CNY</t>
        </is>
      </c>
      <c r="X159" t="n">
        <v>1</v>
      </c>
      <c r="Y159" t="n">
        <v>34421.67</v>
      </c>
      <c r="Z159" t="n">
        <v>0</v>
      </c>
      <c r="AA159" t="n">
        <v>71934.89999999999</v>
      </c>
      <c r="AB159" t="n">
        <v>73970</v>
      </c>
      <c r="AC159" t="n">
        <v>70075</v>
      </c>
      <c r="AF159" t="n">
        <v>0</v>
      </c>
      <c r="AG159" t="n">
        <v>215979.9</v>
      </c>
      <c r="AH159" t="n">
        <v>6.274532874203953</v>
      </c>
      <c r="AI159" t="n">
        <v>215979.9</v>
      </c>
      <c r="AJ159" t="n">
        <v>6.274532874203953</v>
      </c>
      <c r="AK159" t="n">
        <v>4.238751344719765</v>
      </c>
      <c r="AQ159" t="n">
        <v>215979.9</v>
      </c>
      <c r="AR159" t="n">
        <v>6.274532874203953</v>
      </c>
      <c r="AS159" t="n">
        <v>1.349958747421714</v>
      </c>
      <c r="BL159" t="n">
        <v>1</v>
      </c>
      <c r="BM159" t="n">
        <v>31725</v>
      </c>
      <c r="BN159" t="n">
        <v>0</v>
      </c>
      <c r="BO159" t="n">
        <v>34175</v>
      </c>
      <c r="BP159" t="inlineStr">
        <is>
          <t>G,G</t>
        </is>
      </c>
      <c r="BQ159" t="inlineStr">
        <is>
          <t>T1</t>
        </is>
      </c>
      <c r="BR159" t="n">
        <v>115605</v>
      </c>
      <c r="BS159" t="n">
        <v>3.643971631205674</v>
      </c>
      <c r="BT159" t="n">
        <v>44385</v>
      </c>
      <c r="BU159" t="n">
        <v>159990</v>
      </c>
      <c r="BV159" t="n">
        <v>5.043026004728133</v>
      </c>
      <c r="BY159" t="n">
        <v>159990</v>
      </c>
      <c r="BZ159" t="n">
        <v>5.043026004728133</v>
      </c>
      <c r="CP159" t="inlineStr">
        <is>
          <t>风险管理和内部控制</t>
        </is>
      </c>
      <c r="CQ159" t="inlineStr">
        <is>
          <t>3,3</t>
        </is>
      </c>
      <c r="CR159" t="n">
        <v>7</v>
      </c>
      <c r="CS159" t="inlineStr">
        <is>
          <t>T1</t>
        </is>
      </c>
      <c r="CT159" t="inlineStr">
        <is>
          <t>N</t>
        </is>
      </c>
    </row>
    <row r="160">
      <c r="A160" t="inlineStr">
        <is>
          <t>avaZhao(赵璐姗)</t>
        </is>
      </c>
      <c r="C160" t="n">
        <v>82317853</v>
      </c>
      <c r="D160" t="inlineStr">
        <is>
          <t>海外财经中心</t>
        </is>
      </c>
      <c r="E160" t="inlineStr">
        <is>
          <t>海外本地财务</t>
        </is>
      </c>
      <c r="G160" t="inlineStr">
        <is>
          <t>S2职能系统－财经线/海外财经中心/海外本地财务</t>
        </is>
      </c>
      <c r="H160" s="188" t="n">
        <v>43783</v>
      </c>
      <c r="I160" t="inlineStr">
        <is>
          <t>高校招聘</t>
        </is>
      </c>
      <c r="J160" t="inlineStr">
        <is>
          <t>财经类－FN</t>
        </is>
      </c>
      <c r="K160" t="inlineStr">
        <is>
          <t>财务管理</t>
        </is>
      </c>
      <c r="L160" t="inlineStr">
        <is>
          <t>S7</t>
        </is>
      </c>
      <c r="N160" t="inlineStr">
        <is>
          <t>T1#</t>
        </is>
      </c>
      <c r="Q160" t="inlineStr">
        <is>
          <t>U,G</t>
        </is>
      </c>
      <c r="U160" t="n">
        <v>42159.7</v>
      </c>
      <c r="V160" t="n">
        <v>0.083333</v>
      </c>
      <c r="W160" t="inlineStr">
        <is>
          <t>CNY</t>
        </is>
      </c>
      <c r="X160" t="n">
        <v>1</v>
      </c>
      <c r="Y160" t="n">
        <v>40508.39</v>
      </c>
      <c r="Z160" t="n">
        <v>0</v>
      </c>
      <c r="AA160" t="n">
        <v>42159.7</v>
      </c>
      <c r="AB160" t="n">
        <v>133135</v>
      </c>
      <c r="AC160" t="n">
        <v>0</v>
      </c>
      <c r="AF160" t="n">
        <v>0</v>
      </c>
      <c r="AG160" t="n">
        <v>175294.7</v>
      </c>
      <c r="AH160" t="n">
        <v>4.327367737893311</v>
      </c>
      <c r="AI160" t="n">
        <v>175294.7</v>
      </c>
      <c r="AJ160" t="n">
        <v>4.327367737893311</v>
      </c>
      <c r="AK160" t="n">
        <v>4.327367737893311</v>
      </c>
      <c r="AQ160" t="n">
        <v>175294.7</v>
      </c>
      <c r="AR160" t="n">
        <v>4.327367737893311</v>
      </c>
      <c r="AS160" t="n">
        <v>0.6329242489890238</v>
      </c>
      <c r="BL160" t="n">
        <v>1</v>
      </c>
      <c r="BM160" t="n">
        <v>36895</v>
      </c>
      <c r="BN160" t="n">
        <v>0</v>
      </c>
      <c r="BO160" t="n">
        <v>38570</v>
      </c>
      <c r="BP160" t="inlineStr">
        <is>
          <t>O,G</t>
        </is>
      </c>
      <c r="BQ160" t="inlineStr">
        <is>
          <t>T1#</t>
        </is>
      </c>
      <c r="BR160" t="n">
        <v>234470</v>
      </c>
      <c r="BS160" t="n">
        <v>6.355061661471744</v>
      </c>
      <c r="BT160" t="n">
        <v>42490</v>
      </c>
      <c r="BU160" t="n">
        <v>276960</v>
      </c>
      <c r="BV160" t="n">
        <v>7.50670822604689</v>
      </c>
      <c r="BY160" t="n">
        <v>276960</v>
      </c>
      <c r="BZ160" t="n">
        <v>7.50670822604689</v>
      </c>
      <c r="CP160" t="inlineStr">
        <is>
          <t>海外财经中心</t>
        </is>
      </c>
      <c r="CQ160" t="inlineStr">
        <is>
          <t>3,1</t>
        </is>
      </c>
      <c r="CR160" t="n">
        <v>7</v>
      </c>
      <c r="CS160" t="inlineStr">
        <is>
          <t>T1#</t>
        </is>
      </c>
      <c r="CT160" t="inlineStr">
        <is>
          <t>N</t>
        </is>
      </c>
    </row>
    <row r="161">
      <c r="A161" t="inlineStr">
        <is>
          <t>emilyShi(石璇)</t>
        </is>
      </c>
      <c r="C161" t="n">
        <v>27286514</v>
      </c>
      <c r="D161" t="inlineStr">
        <is>
          <t>预算及职能系统财务管理部</t>
        </is>
      </c>
      <c r="E161" t="inlineStr">
        <is>
          <t>预算管理中心</t>
        </is>
      </c>
      <c r="G161" t="inlineStr">
        <is>
          <t>S2职能系统－财经线/预算及职能系统财务管理部/预算管理中心</t>
        </is>
      </c>
      <c r="H161" s="188" t="n">
        <v>43226</v>
      </c>
      <c r="I161" t="inlineStr">
        <is>
          <t>社会招聘</t>
        </is>
      </c>
      <c r="J161" t="inlineStr">
        <is>
          <t>财经类－FN</t>
        </is>
      </c>
      <c r="K161" t="inlineStr">
        <is>
          <t>预算管理</t>
        </is>
      </c>
      <c r="L161" t="inlineStr">
        <is>
          <t>S9</t>
        </is>
      </c>
      <c r="N161" t="inlineStr">
        <is>
          <t>T1</t>
        </is>
      </c>
      <c r="Q161" t="inlineStr">
        <is>
          <t>G,G</t>
        </is>
      </c>
      <c r="U161" t="n">
        <v>48626.7</v>
      </c>
      <c r="V161" t="n">
        <v>0.083333</v>
      </c>
      <c r="W161" t="inlineStr">
        <is>
          <t>CNY</t>
        </is>
      </c>
      <c r="X161" t="n">
        <v>1</v>
      </c>
      <c r="Y161" t="n">
        <v>43822.91</v>
      </c>
      <c r="Z161" t="n">
        <v>0</v>
      </c>
      <c r="AA161" t="n">
        <v>97253.39999999999</v>
      </c>
      <c r="AB161" t="n">
        <v>109335</v>
      </c>
      <c r="AC161" t="n">
        <v>87285</v>
      </c>
      <c r="AF161" t="n">
        <v>0</v>
      </c>
      <c r="AG161" t="n">
        <v>293873.4</v>
      </c>
      <c r="AH161" t="n">
        <v>6.705930756309884</v>
      </c>
      <c r="AI161" t="n">
        <v>293873.4</v>
      </c>
      <c r="AJ161" t="n">
        <v>6.705930756309884</v>
      </c>
      <c r="AK161" t="n">
        <v>4.714164349195432</v>
      </c>
      <c r="AQ161" t="n">
        <v>293873.4</v>
      </c>
      <c r="AR161" t="n">
        <v>6.705930756309884</v>
      </c>
      <c r="AS161" t="n">
        <v>1.367266382859935</v>
      </c>
      <c r="BL161" t="n">
        <v>1</v>
      </c>
      <c r="BM161" t="n">
        <v>39375</v>
      </c>
      <c r="BN161" t="n">
        <v>0</v>
      </c>
      <c r="BO161" t="n">
        <v>42890</v>
      </c>
      <c r="BP161" t="inlineStr">
        <is>
          <t>G,G</t>
        </is>
      </c>
      <c r="BQ161" t="inlineStr">
        <is>
          <t>T1</t>
        </is>
      </c>
      <c r="BR161" t="n">
        <v>141225</v>
      </c>
      <c r="BS161" t="n">
        <v>3.586666666666666</v>
      </c>
      <c r="BT161" t="n">
        <v>73710</v>
      </c>
      <c r="BU161" t="n">
        <v>214935</v>
      </c>
      <c r="BV161" t="n">
        <v>5.458666666666667</v>
      </c>
      <c r="BY161" t="n">
        <v>214935</v>
      </c>
      <c r="BZ161" t="n">
        <v>5.458666666666667</v>
      </c>
      <c r="CP161" t="inlineStr">
        <is>
          <t>预算及职能系统财务管理部</t>
        </is>
      </c>
      <c r="CQ161" t="inlineStr">
        <is>
          <t>3,3</t>
        </is>
      </c>
      <c r="CR161" t="n">
        <v>9</v>
      </c>
      <c r="CS161" t="inlineStr">
        <is>
          <t>T1</t>
        </is>
      </c>
      <c r="CT161" t="inlineStr">
        <is>
          <t>N</t>
        </is>
      </c>
    </row>
    <row r="162">
      <c r="A162" t="inlineStr">
        <is>
          <t>karenKang(康洁丹)</t>
        </is>
      </c>
      <c r="C162" t="n">
        <v>11082561</v>
      </c>
      <c r="D162" t="inlineStr">
        <is>
          <t>IEG财务管理</t>
        </is>
      </c>
      <c r="E162" t="inlineStr">
        <is>
          <t>自研财务管理组</t>
        </is>
      </c>
      <c r="G162" t="inlineStr">
        <is>
          <t>S2职能系统－财经线/IEG财务管理/自研财务管理组</t>
        </is>
      </c>
      <c r="H162" s="188" t="n">
        <v>42792</v>
      </c>
      <c r="I162" t="inlineStr">
        <is>
          <t>社会招聘</t>
        </is>
      </c>
      <c r="J162" t="inlineStr">
        <is>
          <t>财经类－FN</t>
        </is>
      </c>
      <c r="K162" t="inlineStr">
        <is>
          <t>财务管理</t>
        </is>
      </c>
      <c r="L162" t="inlineStr">
        <is>
          <t>S9</t>
        </is>
      </c>
      <c r="N162" t="inlineStr">
        <is>
          <t>T1</t>
        </is>
      </c>
      <c r="Q162" t="inlineStr">
        <is>
          <t>G,G</t>
        </is>
      </c>
      <c r="U162" t="n">
        <v>46899.3</v>
      </c>
      <c r="V162" t="n">
        <v>0.083333</v>
      </c>
      <c r="W162" t="inlineStr">
        <is>
          <t>CNY</t>
        </is>
      </c>
      <c r="X162" t="n">
        <v>1</v>
      </c>
      <c r="Y162" t="n">
        <v>43745.18</v>
      </c>
      <c r="Z162" t="n">
        <v>0</v>
      </c>
      <c r="AA162" t="n">
        <v>93798.60000000001</v>
      </c>
      <c r="AB162" t="n">
        <v>102050</v>
      </c>
      <c r="AC162" t="n">
        <v>54500</v>
      </c>
      <c r="AF162" t="n">
        <v>0</v>
      </c>
      <c r="AG162" t="n">
        <v>250348.6</v>
      </c>
      <c r="AH162" t="n">
        <v>5.722884212614967</v>
      </c>
      <c r="AI162" t="n">
        <v>250348.6</v>
      </c>
      <c r="AJ162" t="n">
        <v>5.722884212614967</v>
      </c>
      <c r="AK162" t="n">
        <v>4.477032669656405</v>
      </c>
      <c r="AQ162" t="n">
        <v>250348.6</v>
      </c>
      <c r="AR162" t="n">
        <v>5.722884212614967</v>
      </c>
      <c r="AS162" t="n">
        <v>1.254031607684023</v>
      </c>
      <c r="BL162" t="n">
        <v>1</v>
      </c>
      <c r="BM162" t="n">
        <v>39380</v>
      </c>
      <c r="BN162" t="n">
        <v>0</v>
      </c>
      <c r="BO162" t="n">
        <v>43020</v>
      </c>
      <c r="BP162" t="inlineStr">
        <is>
          <t>G,G</t>
        </is>
      </c>
      <c r="BQ162" t="inlineStr">
        <is>
          <t>T1</t>
        </is>
      </c>
      <c r="BR162" t="n">
        <v>137710</v>
      </c>
      <c r="BS162" t="n">
        <v>3.496952767902489</v>
      </c>
      <c r="BT162" t="n">
        <v>61925</v>
      </c>
      <c r="BU162" t="n">
        <v>199635</v>
      </c>
      <c r="BV162" t="n">
        <v>5.069451498222448</v>
      </c>
      <c r="BY162" t="n">
        <v>199635</v>
      </c>
      <c r="BZ162" t="n">
        <v>5.069451498222448</v>
      </c>
      <c r="CP162" t="inlineStr">
        <is>
          <t>IEG财务管理</t>
        </is>
      </c>
      <c r="CQ162" t="inlineStr">
        <is>
          <t>3,3</t>
        </is>
      </c>
      <c r="CR162" t="n">
        <v>9</v>
      </c>
      <c r="CS162" t="inlineStr">
        <is>
          <t>T1</t>
        </is>
      </c>
      <c r="CT162" t="inlineStr">
        <is>
          <t>N</t>
        </is>
      </c>
    </row>
    <row r="163">
      <c r="A163" t="inlineStr">
        <is>
          <t>brianYin(尹飞林)</t>
        </is>
      </c>
      <c r="C163" t="n">
        <v>20210728</v>
      </c>
      <c r="D163" t="inlineStr">
        <is>
          <t>风险管理和内部控制</t>
        </is>
      </c>
      <c r="E163" t="inlineStr">
        <is>
          <t>CSIG风控中心</t>
        </is>
      </c>
      <c r="G163" t="inlineStr">
        <is>
          <t>S2职能系统－财经线/风险管理和内部控制/CSIG风控中心</t>
        </is>
      </c>
      <c r="H163" s="188" t="n">
        <v>40326</v>
      </c>
      <c r="I163" t="inlineStr">
        <is>
          <t>社会招聘</t>
        </is>
      </c>
      <c r="J163" t="inlineStr">
        <is>
          <t>财经类－FN</t>
        </is>
      </c>
      <c r="K163" t="inlineStr">
        <is>
          <t>风险管理</t>
        </is>
      </c>
      <c r="L163" t="inlineStr">
        <is>
          <t>S11</t>
        </is>
      </c>
      <c r="N163" t="inlineStr">
        <is>
          <t>T1</t>
        </is>
      </c>
      <c r="Q163" t="inlineStr">
        <is>
          <t>G,G</t>
        </is>
      </c>
      <c r="U163" t="n">
        <v>68850.05</v>
      </c>
      <c r="V163" t="n">
        <v>0.083333</v>
      </c>
      <c r="W163" t="inlineStr">
        <is>
          <t>CNY</t>
        </is>
      </c>
      <c r="X163" t="n">
        <v>1</v>
      </c>
      <c r="Y163" t="n">
        <v>67186.11</v>
      </c>
      <c r="Z163" t="n">
        <v>0</v>
      </c>
      <c r="AA163" t="n">
        <v>137700.1</v>
      </c>
      <c r="AB163" t="n">
        <v>157105</v>
      </c>
      <c r="AC163" t="n">
        <v>108625</v>
      </c>
      <c r="AF163" t="n">
        <v>0</v>
      </c>
      <c r="AG163" t="n">
        <v>403430.1</v>
      </c>
      <c r="AH163" t="n">
        <v>6.0046652500048</v>
      </c>
      <c r="AI163" t="n">
        <v>403430.1</v>
      </c>
      <c r="AJ163" t="n">
        <v>6.0046652500048</v>
      </c>
      <c r="AK163" t="n">
        <v>4.387887615460993</v>
      </c>
      <c r="AQ163" t="n">
        <v>403430.1</v>
      </c>
      <c r="AR163" t="n">
        <v>6.0046652500048</v>
      </c>
      <c r="AS163" t="n">
        <v>2.025048187932939</v>
      </c>
      <c r="BL163" t="n">
        <v>1</v>
      </c>
      <c r="BM163" t="n">
        <v>57365</v>
      </c>
      <c r="BN163" t="n">
        <v>0</v>
      </c>
      <c r="BO163" t="n">
        <v>60060</v>
      </c>
      <c r="BP163" t="inlineStr">
        <is>
          <t>U,O</t>
        </is>
      </c>
      <c r="BQ163" t="inlineStr">
        <is>
          <t>T1</t>
        </is>
      </c>
      <c r="BR163" t="n">
        <v>199220</v>
      </c>
      <c r="BS163" t="n">
        <v>3.472849298352654</v>
      </c>
      <c r="BT163" t="n">
        <v>0</v>
      </c>
      <c r="BU163" t="n">
        <v>199220</v>
      </c>
      <c r="BV163" t="n">
        <v>3.472849298352654</v>
      </c>
      <c r="BY163" t="n">
        <v>199220</v>
      </c>
      <c r="BZ163" t="n">
        <v>3.472849298352654</v>
      </c>
      <c r="CP163" t="inlineStr">
        <is>
          <t>风险管理和内部控制</t>
        </is>
      </c>
      <c r="CQ163" t="inlineStr">
        <is>
          <t>3,3</t>
        </is>
      </c>
      <c r="CR163" t="n">
        <v>11</v>
      </c>
      <c r="CS163" t="inlineStr">
        <is>
          <t>T1</t>
        </is>
      </c>
      <c r="CT163" t="inlineStr">
        <is>
          <t>N</t>
        </is>
      </c>
    </row>
    <row r="164">
      <c r="A164" t="inlineStr">
        <is>
          <t>loganHou(侯刚)</t>
        </is>
      </c>
      <c r="C164" t="n">
        <v>79004914</v>
      </c>
      <c r="D164" t="inlineStr">
        <is>
          <t>财会及报告管理部</t>
        </is>
      </c>
      <c r="E164" t="inlineStr">
        <is>
          <t>应收管理中心</t>
        </is>
      </c>
      <c r="G164" t="inlineStr">
        <is>
          <t>S2职能系统－财经线/财会及报告管理部/应收管理中心</t>
        </is>
      </c>
      <c r="H164" s="188" t="n">
        <v>38076</v>
      </c>
      <c r="I164" t="inlineStr">
        <is>
          <t>社会招聘</t>
        </is>
      </c>
      <c r="J164" t="inlineStr">
        <is>
          <t>财经类－FN</t>
        </is>
      </c>
      <c r="K164" t="inlineStr">
        <is>
          <t>会计</t>
        </is>
      </c>
      <c r="L164" t="inlineStr">
        <is>
          <t>S10</t>
        </is>
      </c>
      <c r="N164" t="inlineStr">
        <is>
          <t>T1#</t>
        </is>
      </c>
      <c r="Q164" t="inlineStr">
        <is>
          <t>G,G</t>
        </is>
      </c>
      <c r="U164" t="n">
        <v>55397.85</v>
      </c>
      <c r="V164" t="n">
        <v>0.083333</v>
      </c>
      <c r="W164" t="inlineStr">
        <is>
          <t>CNY</t>
        </is>
      </c>
      <c r="X164" t="n">
        <v>1</v>
      </c>
      <c r="Y164" t="n">
        <v>50718.18</v>
      </c>
      <c r="Z164" t="n">
        <v>0</v>
      </c>
      <c r="AA164" t="n">
        <v>110795.7</v>
      </c>
      <c r="AB164" t="n">
        <v>170345</v>
      </c>
      <c r="AC164" t="n">
        <v>63180</v>
      </c>
      <c r="AF164" t="n">
        <v>0</v>
      </c>
      <c r="AG164" t="n">
        <v>344320.7</v>
      </c>
      <c r="AH164" t="n">
        <v>6.788900942423408</v>
      </c>
      <c r="AI164" t="n">
        <v>344320.7</v>
      </c>
      <c r="AJ164" t="n">
        <v>6.788900942423408</v>
      </c>
      <c r="AK164" t="n">
        <v>5.543193781795798</v>
      </c>
      <c r="AQ164" t="n">
        <v>344320.7</v>
      </c>
      <c r="AR164" t="n">
        <v>6.788900942423408</v>
      </c>
      <c r="AS164" t="n">
        <v>1.659017080633116</v>
      </c>
      <c r="BL164" t="n">
        <v>1</v>
      </c>
      <c r="BM164" t="n">
        <v>46470</v>
      </c>
      <c r="BN164" t="n">
        <v>0</v>
      </c>
      <c r="BO164" t="n">
        <v>50370</v>
      </c>
      <c r="BP164" t="inlineStr">
        <is>
          <t>U,G</t>
        </is>
      </c>
      <c r="BQ164" t="inlineStr">
        <is>
          <t>T1#</t>
        </is>
      </c>
      <c r="BR164" t="n">
        <v>207545</v>
      </c>
      <c r="BS164" t="n">
        <v>4.46621476221218</v>
      </c>
      <c r="BT164" t="n">
        <v>0</v>
      </c>
      <c r="BU164" t="n">
        <v>207545</v>
      </c>
      <c r="BV164" t="n">
        <v>4.46621476221218</v>
      </c>
      <c r="BY164" t="n">
        <v>207545</v>
      </c>
      <c r="BZ164" t="n">
        <v>4.46621476221218</v>
      </c>
      <c r="CP164" t="inlineStr">
        <is>
          <t>财会及报告管理部</t>
        </is>
      </c>
      <c r="CQ164" t="inlineStr">
        <is>
          <t>3,3</t>
        </is>
      </c>
      <c r="CR164" t="n">
        <v>10</v>
      </c>
      <c r="CS164" t="inlineStr">
        <is>
          <t>T1#</t>
        </is>
      </c>
      <c r="CT164" t="inlineStr">
        <is>
          <t>N</t>
        </is>
      </c>
    </row>
    <row r="165">
      <c r="A165" t="inlineStr">
        <is>
          <t>gabrielQian(钱鹏辉)</t>
        </is>
      </c>
      <c r="C165" t="n">
        <v>30499145</v>
      </c>
      <c r="D165" t="inlineStr">
        <is>
          <t>IEG财务管理</t>
        </is>
      </c>
      <c r="E165" t="inlineStr">
        <is>
          <t>综合分析组</t>
        </is>
      </c>
      <c r="G165" t="inlineStr">
        <is>
          <t>S2职能系统－财经线/IEG财务管理/综合分析组</t>
        </is>
      </c>
      <c r="H165" s="188" t="n">
        <v>37361</v>
      </c>
      <c r="I165" t="inlineStr">
        <is>
          <t>社会招聘</t>
        </is>
      </c>
      <c r="J165" t="inlineStr">
        <is>
          <t>财经类－FN</t>
        </is>
      </c>
      <c r="K165" t="inlineStr">
        <is>
          <t>财务管理</t>
        </is>
      </c>
      <c r="L165" t="inlineStr">
        <is>
          <t>S9</t>
        </is>
      </c>
      <c r="N165" t="inlineStr">
        <is>
          <t>T1</t>
        </is>
      </c>
      <c r="Q165" t="inlineStr">
        <is>
          <t>O,O</t>
        </is>
      </c>
      <c r="U165" t="n">
        <v>56083.95</v>
      </c>
      <c r="V165" t="n">
        <v>0.083333</v>
      </c>
      <c r="W165" t="inlineStr">
        <is>
          <t>CNY</t>
        </is>
      </c>
      <c r="X165" t="n">
        <v>1</v>
      </c>
      <c r="Y165" t="n">
        <v>52540.97</v>
      </c>
      <c r="Z165" t="n">
        <v>0</v>
      </c>
      <c r="AA165" t="n">
        <v>224335.8</v>
      </c>
      <c r="AB165" t="n">
        <v>112280</v>
      </c>
      <c r="AC165" t="n">
        <v>104375</v>
      </c>
      <c r="AF165" t="n">
        <v>0</v>
      </c>
      <c r="AG165" t="n">
        <v>440990.8</v>
      </c>
      <c r="AH165" t="n">
        <v>8.39327481011485</v>
      </c>
      <c r="AI165" t="n">
        <v>440990.8</v>
      </c>
      <c r="AJ165" t="n">
        <v>8.39327481011485</v>
      </c>
      <c r="AK165" t="n">
        <v>6.406729833880113</v>
      </c>
      <c r="AQ165" t="n">
        <v>440990.8</v>
      </c>
      <c r="AR165" t="n">
        <v>8.39327481011485</v>
      </c>
      <c r="AS165" t="n">
        <v>1.650970761109655</v>
      </c>
      <c r="BL165" t="n">
        <v>1</v>
      </c>
      <c r="BM165" t="n">
        <v>48580</v>
      </c>
      <c r="BN165" t="n">
        <v>0</v>
      </c>
      <c r="BO165" t="n">
        <v>53425</v>
      </c>
      <c r="BP165" t="inlineStr">
        <is>
          <t>G,G</t>
        </is>
      </c>
      <c r="BQ165" t="inlineStr">
        <is>
          <t>T1</t>
        </is>
      </c>
      <c r="BR165" t="n">
        <v>172920</v>
      </c>
      <c r="BS165" t="n">
        <v>3.559489501852614</v>
      </c>
      <c r="BT165" t="n">
        <v>94190</v>
      </c>
      <c r="BU165" t="n">
        <v>267110</v>
      </c>
      <c r="BV165" t="n">
        <v>5.498353231782627</v>
      </c>
      <c r="BY165" t="n">
        <v>267110</v>
      </c>
      <c r="BZ165" t="n">
        <v>5.498353231782627</v>
      </c>
      <c r="CP165" t="inlineStr">
        <is>
          <t>IEG财务管理</t>
        </is>
      </c>
      <c r="CQ165" t="inlineStr">
        <is>
          <t>5,5</t>
        </is>
      </c>
      <c r="CR165" t="n">
        <v>9</v>
      </c>
      <c r="CS165" t="inlineStr">
        <is>
          <t>T1</t>
        </is>
      </c>
      <c r="CT165" t="inlineStr">
        <is>
          <t>N</t>
        </is>
      </c>
    </row>
    <row r="166">
      <c r="A166" t="inlineStr">
        <is>
          <t>juliaSu(苏秀)</t>
        </is>
      </c>
      <c r="C166" t="n">
        <v>86773691</v>
      </c>
      <c r="D166" t="inlineStr">
        <is>
          <t>资金管理</t>
        </is>
      </c>
      <c r="E166" t="inlineStr">
        <is>
          <t>融资及资金筹划中心</t>
        </is>
      </c>
      <c r="G166" t="inlineStr">
        <is>
          <t>S2职能系统－财经线/资金管理/融资及资金筹划中心</t>
        </is>
      </c>
      <c r="H166" s="188" t="n">
        <v>36140</v>
      </c>
      <c r="I166" t="inlineStr">
        <is>
          <t>高校招聘</t>
        </is>
      </c>
      <c r="J166" t="inlineStr">
        <is>
          <t>财经类－FN</t>
        </is>
      </c>
      <c r="K166" t="inlineStr">
        <is>
          <t>资金管理</t>
        </is>
      </c>
      <c r="L166" t="inlineStr">
        <is>
          <t>S10</t>
        </is>
      </c>
      <c r="N166" t="inlineStr">
        <is>
          <t>T2</t>
        </is>
      </c>
      <c r="Q166" t="inlineStr">
        <is>
          <t>O,G</t>
        </is>
      </c>
      <c r="U166" t="n">
        <v>62262.55</v>
      </c>
      <c r="V166" t="n">
        <v>0.083333</v>
      </c>
      <c r="W166" t="inlineStr">
        <is>
          <t>CNY</t>
        </is>
      </c>
      <c r="X166" t="n">
        <v>1</v>
      </c>
      <c r="Y166" t="n">
        <v>59717.93</v>
      </c>
      <c r="Z166" t="n">
        <v>0</v>
      </c>
      <c r="AA166" t="n">
        <v>186787.65</v>
      </c>
      <c r="AB166" t="n">
        <v>63340</v>
      </c>
      <c r="AC166" t="n">
        <v>0</v>
      </c>
      <c r="AF166" t="n">
        <v>0</v>
      </c>
      <c r="AG166" t="n">
        <v>250127.65</v>
      </c>
      <c r="AH166" t="n">
        <v>4.18848493241477</v>
      </c>
      <c r="AI166" t="n">
        <v>250127.65</v>
      </c>
      <c r="AJ166" t="n">
        <v>4.18848493241477</v>
      </c>
      <c r="AK166" t="n">
        <v>4.18848493241477</v>
      </c>
      <c r="AQ166" t="n">
        <v>250127.65</v>
      </c>
      <c r="AR166" t="n">
        <v>4.18848493241477</v>
      </c>
      <c r="AS166" t="n">
        <v>1.029501358248271</v>
      </c>
      <c r="BL166" t="n">
        <v>1</v>
      </c>
      <c r="BM166" t="n">
        <v>53230</v>
      </c>
      <c r="BN166" t="n">
        <v>0</v>
      </c>
      <c r="BO166" t="n">
        <v>58305</v>
      </c>
      <c r="BP166" t="inlineStr">
        <is>
          <t>O,G</t>
        </is>
      </c>
      <c r="BQ166" t="inlineStr">
        <is>
          <t>T2</t>
        </is>
      </c>
      <c r="BR166" t="n">
        <v>242960</v>
      </c>
      <c r="BS166" t="n">
        <v>4.564343415367274</v>
      </c>
      <c r="BT166" t="n">
        <v>0</v>
      </c>
      <c r="BU166" t="n">
        <v>242960</v>
      </c>
      <c r="BV166" t="n">
        <v>4.564343415367274</v>
      </c>
      <c r="BY166" t="n">
        <v>242960</v>
      </c>
      <c r="BZ166" t="n">
        <v>4.564343415367274</v>
      </c>
      <c r="CP166" t="inlineStr">
        <is>
          <t>资金管理</t>
        </is>
      </c>
      <c r="CQ166" t="inlineStr">
        <is>
          <t>5,3</t>
        </is>
      </c>
      <c r="CR166" t="n">
        <v>10</v>
      </c>
      <c r="CS166" t="inlineStr">
        <is>
          <t>T2</t>
        </is>
      </c>
      <c r="CT166" t="inlineStr">
        <is>
          <t>N</t>
        </is>
      </c>
    </row>
    <row r="167">
      <c r="A167" t="inlineStr">
        <is>
          <t>lukeYuan(袁林)</t>
        </is>
      </c>
      <c r="C167" t="n">
        <v>33227875</v>
      </c>
      <c r="D167" t="inlineStr">
        <is>
          <t>财经投资并购及管理部</t>
        </is>
      </c>
      <c r="E167" t="inlineStr">
        <is>
          <t>行业及项目管理中心</t>
        </is>
      </c>
      <c r="G167" t="inlineStr">
        <is>
          <t>S2职能系统－财经线/财经投资并购及管理部/行业及项目管理中心</t>
        </is>
      </c>
      <c r="H167" s="188" t="n">
        <v>43283</v>
      </c>
      <c r="I167" t="inlineStr">
        <is>
          <t>社会招聘</t>
        </is>
      </c>
      <c r="J167" t="inlineStr">
        <is>
          <t>财经类－FN</t>
        </is>
      </c>
      <c r="K167" t="inlineStr">
        <is>
          <t>投资并购</t>
        </is>
      </c>
      <c r="L167" t="inlineStr">
        <is>
          <t>S10</t>
        </is>
      </c>
      <c r="N167" t="inlineStr">
        <is>
          <t>T1#</t>
        </is>
      </c>
      <c r="Q167" t="inlineStr">
        <is>
          <t>G,O</t>
        </is>
      </c>
      <c r="U167" t="n">
        <v>56652.2</v>
      </c>
      <c r="V167" t="n">
        <v>0.083333</v>
      </c>
      <c r="W167" t="inlineStr">
        <is>
          <t>CNY</t>
        </is>
      </c>
      <c r="X167" t="n">
        <v>1</v>
      </c>
      <c r="Y167" t="n">
        <v>53279.38</v>
      </c>
      <c r="Z167" t="n">
        <v>0</v>
      </c>
      <c r="AA167" t="n">
        <v>169956.6</v>
      </c>
      <c r="AB167" t="n">
        <v>187110</v>
      </c>
      <c r="AC167" t="n">
        <v>104515</v>
      </c>
      <c r="AF167" t="n">
        <v>0</v>
      </c>
      <c r="AG167" t="n">
        <v>461581.6</v>
      </c>
      <c r="AH167" t="n">
        <v>8.663419131378781</v>
      </c>
      <c r="AI167" t="n">
        <v>461581.6</v>
      </c>
      <c r="AJ167" t="n">
        <v>8.663419131378781</v>
      </c>
      <c r="AK167" t="n">
        <v>6.701778436610937</v>
      </c>
      <c r="AQ167" t="n">
        <v>461581.6</v>
      </c>
      <c r="AR167" t="n">
        <v>8.663419131378781</v>
      </c>
      <c r="AS167" t="n">
        <v>2.191433319090348</v>
      </c>
      <c r="BL167" t="n">
        <v>1</v>
      </c>
      <c r="BM167" t="n">
        <v>45490</v>
      </c>
      <c r="BN167" t="n">
        <v>0</v>
      </c>
      <c r="BO167" t="n">
        <v>48260</v>
      </c>
      <c r="BP167" t="inlineStr">
        <is>
          <t>G,U</t>
        </is>
      </c>
      <c r="BQ167" t="inlineStr">
        <is>
          <t>T1#</t>
        </is>
      </c>
      <c r="BR167" t="n">
        <v>210630</v>
      </c>
      <c r="BS167" t="n">
        <v>4.630248406243131</v>
      </c>
      <c r="BT167" t="n">
        <v>0</v>
      </c>
      <c r="BU167" t="n">
        <v>210630</v>
      </c>
      <c r="BV167" t="n">
        <v>4.630248406243131</v>
      </c>
      <c r="BY167" t="n">
        <v>210630</v>
      </c>
      <c r="BZ167" t="n">
        <v>4.630248406243131</v>
      </c>
      <c r="CP167" t="inlineStr">
        <is>
          <t>财经投资并购及管理部</t>
        </is>
      </c>
      <c r="CQ167" t="inlineStr">
        <is>
          <t>5,3</t>
        </is>
      </c>
      <c r="CR167" t="n">
        <v>10</v>
      </c>
      <c r="CS167" t="inlineStr">
        <is>
          <t>T1#</t>
        </is>
      </c>
      <c r="CT167" t="inlineStr">
        <is>
          <t>N</t>
        </is>
      </c>
    </row>
    <row r="168">
      <c r="A168" t="inlineStr">
        <is>
          <t>tylerTan(谭德)</t>
        </is>
      </c>
      <c r="C168" t="n">
        <v>86141828</v>
      </c>
      <c r="D168" t="inlineStr">
        <is>
          <t>CSIG财务管理</t>
        </is>
      </c>
      <c r="E168" t="inlineStr">
        <is>
          <t>投资公司财务管理中心</t>
        </is>
      </c>
      <c r="G168" t="inlineStr">
        <is>
          <t>S2职能系统－财经线/CSIG财务管理/投资公司财务管理中心</t>
        </is>
      </c>
      <c r="H168" s="188" t="n">
        <v>38238</v>
      </c>
      <c r="I168" t="inlineStr">
        <is>
          <t>社会招聘</t>
        </is>
      </c>
      <c r="J168" t="inlineStr">
        <is>
          <t>财经类－FN</t>
        </is>
      </c>
      <c r="K168" t="inlineStr">
        <is>
          <t>财务管理</t>
        </is>
      </c>
      <c r="L168" t="inlineStr">
        <is>
          <t>S5</t>
        </is>
      </c>
      <c r="N168" t="inlineStr">
        <is>
          <t>T1</t>
        </is>
      </c>
      <c r="Q168" t="inlineStr">
        <is>
          <t>O,G</t>
        </is>
      </c>
      <c r="U168" t="n">
        <v>25459.55</v>
      </c>
      <c r="V168" t="n">
        <v>0.083333</v>
      </c>
      <c r="W168" t="inlineStr">
        <is>
          <t>CNY</t>
        </is>
      </c>
      <c r="X168" t="n">
        <v>1</v>
      </c>
      <c r="Y168" t="n">
        <v>25198.28</v>
      </c>
      <c r="Z168" t="n">
        <v>0</v>
      </c>
      <c r="AA168" t="n">
        <v>76378.64999999999</v>
      </c>
      <c r="AB168" t="n">
        <v>57150</v>
      </c>
      <c r="AC168" t="n">
        <v>35730</v>
      </c>
      <c r="AF168" t="n">
        <v>0</v>
      </c>
      <c r="AG168" t="n">
        <v>169258.65</v>
      </c>
      <c r="AH168" t="n">
        <v>6.717071562027249</v>
      </c>
      <c r="AI168" t="n">
        <v>169258.65</v>
      </c>
      <c r="AJ168" t="n">
        <v>6.717071562027249</v>
      </c>
      <c r="AK168" t="n">
        <v>5.299117638188004</v>
      </c>
      <c r="AQ168" t="n">
        <v>169258.65</v>
      </c>
      <c r="AR168" t="n">
        <v>6.717071562027249</v>
      </c>
      <c r="AS168" t="n">
        <v>2.071329009361806</v>
      </c>
      <c r="BL168" t="n">
        <v>1</v>
      </c>
      <c r="BM168" t="n">
        <v>21955</v>
      </c>
      <c r="BN168" t="n">
        <v>0</v>
      </c>
      <c r="BO168" t="n">
        <v>23475</v>
      </c>
      <c r="BP168" t="inlineStr">
        <is>
          <t>O,U</t>
        </is>
      </c>
      <c r="BQ168" t="inlineStr">
        <is>
          <t>T1</t>
        </is>
      </c>
      <c r="BR168" t="n">
        <v>81715</v>
      </c>
      <c r="BS168" t="n">
        <v>3.721931222956047</v>
      </c>
      <c r="BT168" t="n">
        <v>0</v>
      </c>
      <c r="BU168" t="n">
        <v>81715</v>
      </c>
      <c r="BV168" t="n">
        <v>3.721931222956047</v>
      </c>
      <c r="BY168" t="n">
        <v>81715</v>
      </c>
      <c r="BZ168" t="n">
        <v>3.721931222956047</v>
      </c>
      <c r="CP168" t="inlineStr">
        <is>
          <t>CSIG财务管理</t>
        </is>
      </c>
      <c r="CQ168" t="inlineStr">
        <is>
          <t>5,3</t>
        </is>
      </c>
      <c r="CR168" t="n">
        <v>5</v>
      </c>
      <c r="CS168" t="inlineStr">
        <is>
          <t>T1</t>
        </is>
      </c>
      <c r="CT168" t="inlineStr">
        <is>
          <t>N</t>
        </is>
      </c>
    </row>
    <row r="169">
      <c r="A169" t="inlineStr">
        <is>
          <t>mayaDing(丁晴)</t>
        </is>
      </c>
      <c r="C169" t="n">
        <v>28498863</v>
      </c>
      <c r="D169" t="inlineStr">
        <is>
          <t>应收账款管理中心</t>
        </is>
      </c>
      <c r="E169" t="inlineStr">
        <is>
          <t>应收管理2组</t>
        </is>
      </c>
      <c r="G169" t="inlineStr">
        <is>
          <t>S2职能系统－财经线/应收账款管理中心/应收管理2组</t>
        </is>
      </c>
      <c r="H169" s="188" t="n">
        <v>36626</v>
      </c>
      <c r="I169" t="inlineStr">
        <is>
          <t>社会招聘</t>
        </is>
      </c>
      <c r="J169" t="inlineStr">
        <is>
          <t>财经类－FN</t>
        </is>
      </c>
      <c r="K169" t="inlineStr">
        <is>
          <t>会计</t>
        </is>
      </c>
      <c r="L169" t="inlineStr">
        <is>
          <t>S6</t>
        </is>
      </c>
      <c r="N169" t="inlineStr">
        <is>
          <t>T2</t>
        </is>
      </c>
      <c r="Q169" t="inlineStr">
        <is>
          <t>G,G</t>
        </is>
      </c>
      <c r="U169" t="n">
        <v>22738.6</v>
      </c>
      <c r="V169" t="n">
        <v>0.083333</v>
      </c>
      <c r="W169" t="inlineStr">
        <is>
          <t>CNY</t>
        </is>
      </c>
      <c r="X169" t="n">
        <v>1</v>
      </c>
      <c r="Y169" t="n">
        <v>21630.32</v>
      </c>
      <c r="Z169" t="n">
        <v>0</v>
      </c>
      <c r="AA169" t="n">
        <v>45477.2</v>
      </c>
      <c r="AB169" t="n">
        <v>23070</v>
      </c>
      <c r="AC169" t="n">
        <v>0</v>
      </c>
      <c r="AF169" t="n">
        <v>0</v>
      </c>
      <c r="AG169" t="n">
        <v>68547.2</v>
      </c>
      <c r="AH169" t="n">
        <v>3.169033097984681</v>
      </c>
      <c r="AI169" t="n">
        <v>68547.2</v>
      </c>
      <c r="AJ169" t="n">
        <v>3.169033097984681</v>
      </c>
      <c r="AK169" t="n">
        <v>3.169033097984681</v>
      </c>
      <c r="AQ169" t="n">
        <v>68547.2</v>
      </c>
      <c r="AR169" t="n">
        <v>3.169033097984681</v>
      </c>
      <c r="AS169" t="n">
        <v>0.8328436911487759</v>
      </c>
      <c r="BL169" t="n">
        <v>1</v>
      </c>
      <c r="BM169" t="n">
        <v>18815</v>
      </c>
      <c r="BN169" t="n">
        <v>0</v>
      </c>
      <c r="BO169" t="n">
        <v>20185</v>
      </c>
      <c r="BP169" t="inlineStr">
        <is>
          <t>O,G</t>
        </is>
      </c>
      <c r="BQ169" t="inlineStr">
        <is>
          <t>T2</t>
        </is>
      </c>
      <c r="BR169" t="n">
        <v>82305</v>
      </c>
      <c r="BS169" t="n">
        <v>4.37443529099123</v>
      </c>
      <c r="BT169" t="n">
        <v>0</v>
      </c>
      <c r="BU169" t="n">
        <v>82305</v>
      </c>
      <c r="BV169" t="n">
        <v>4.37443529099123</v>
      </c>
      <c r="BY169" t="n">
        <v>82305</v>
      </c>
      <c r="BZ169" t="n">
        <v>4.37443529099123</v>
      </c>
      <c r="CP169" t="inlineStr">
        <is>
          <t>应收账款管理中心</t>
        </is>
      </c>
      <c r="CQ169" t="inlineStr">
        <is>
          <t>3,3</t>
        </is>
      </c>
      <c r="CR169" t="n">
        <v>6</v>
      </c>
      <c r="CS169" t="inlineStr">
        <is>
          <t>T2</t>
        </is>
      </c>
      <c r="CT169" t="inlineStr">
        <is>
          <t>N</t>
        </is>
      </c>
    </row>
    <row r="170">
      <c r="A170" t="inlineStr">
        <is>
          <t>genesisCheng(程琳)</t>
        </is>
      </c>
      <c r="C170" t="n">
        <v>75847734</v>
      </c>
      <c r="D170" t="inlineStr">
        <is>
          <t>FiT财务管理</t>
        </is>
      </c>
      <c r="E170" t="inlineStr">
        <is>
          <t>业务支持与分析中心</t>
        </is>
      </c>
      <c r="G170" t="inlineStr">
        <is>
          <t>S2职能系统－财经线/FiT财务管理/业务支持与分析中心</t>
        </is>
      </c>
      <c r="H170" s="188" t="n">
        <v>44408</v>
      </c>
      <c r="I170" t="inlineStr">
        <is>
          <t>社会招聘</t>
        </is>
      </c>
      <c r="J170" t="inlineStr">
        <is>
          <t>财经类－FN</t>
        </is>
      </c>
      <c r="K170" t="inlineStr">
        <is>
          <t>财务管理</t>
        </is>
      </c>
      <c r="L170" t="inlineStr">
        <is>
          <t>S9</t>
        </is>
      </c>
      <c r="N170" t="inlineStr">
        <is>
          <t>Others</t>
        </is>
      </c>
      <c r="Q170" t="inlineStr">
        <is>
          <t>G,U</t>
        </is>
      </c>
      <c r="U170" t="n">
        <v>38780.8</v>
      </c>
      <c r="V170" t="n">
        <v>0.083333</v>
      </c>
      <c r="W170" t="inlineStr">
        <is>
          <t>CNY</t>
        </is>
      </c>
      <c r="X170" t="n">
        <v>1</v>
      </c>
      <c r="Y170" t="n">
        <v>36165.09</v>
      </c>
      <c r="Z170" t="n">
        <v>0</v>
      </c>
      <c r="AA170" t="n">
        <v>38780.8</v>
      </c>
      <c r="AB170" t="n">
        <v>28870</v>
      </c>
      <c r="AC170" t="n">
        <v>0</v>
      </c>
      <c r="AF170" t="n">
        <v>0</v>
      </c>
      <c r="AG170" t="n">
        <v>67650.8</v>
      </c>
      <c r="AH170" t="n">
        <v>1.870610580534986</v>
      </c>
      <c r="AI170" t="n">
        <v>67650.8</v>
      </c>
      <c r="AJ170" t="n">
        <v>1.870610580534986</v>
      </c>
      <c r="AK170" t="n">
        <v>1.870610580534986</v>
      </c>
      <c r="AQ170" t="n">
        <v>67650.8</v>
      </c>
      <c r="AR170" t="n">
        <v>1.870610580534986</v>
      </c>
      <c r="AS170" t="n">
        <v>0.5633107123527208</v>
      </c>
      <c r="BL170" t="n">
        <v>1</v>
      </c>
      <c r="BM170" t="n">
        <v>33695</v>
      </c>
      <c r="BN170" t="n">
        <v>0</v>
      </c>
      <c r="BO170" t="n">
        <v>37010</v>
      </c>
      <c r="BP170" t="inlineStr">
        <is>
          <t>G,G</t>
        </is>
      </c>
      <c r="BQ170" t="inlineStr">
        <is>
          <t>Others</t>
        </is>
      </c>
      <c r="BR170" t="n">
        <v>120095</v>
      </c>
      <c r="BS170" t="n">
        <v>3.564178661522481</v>
      </c>
      <c r="BT170" t="n">
        <v>0</v>
      </c>
      <c r="BU170" t="n">
        <v>120095</v>
      </c>
      <c r="BV170" t="n">
        <v>3.564178661522481</v>
      </c>
      <c r="BY170" t="n">
        <v>120095</v>
      </c>
      <c r="BZ170" t="n">
        <v>3.564178661522481</v>
      </c>
      <c r="CP170" t="inlineStr">
        <is>
          <t>FiT财务管理</t>
        </is>
      </c>
      <c r="CQ170" t="inlineStr">
        <is>
          <t>3,1</t>
        </is>
      </c>
      <c r="CR170" t="n">
        <v>9</v>
      </c>
      <c r="CS170" t="inlineStr">
        <is>
          <t>Others</t>
        </is>
      </c>
      <c r="CT170" t="inlineStr">
        <is>
          <t>N</t>
        </is>
      </c>
    </row>
    <row r="171">
      <c r="A171" t="inlineStr">
        <is>
          <t>terryHong(洪鑫毅)</t>
        </is>
      </c>
      <c r="C171" t="n">
        <v>16551250</v>
      </c>
      <c r="D171" t="inlineStr">
        <is>
          <t>财经IT管理部</t>
        </is>
      </c>
      <c r="E171" t="inlineStr">
        <is>
          <t>公共支持中心</t>
        </is>
      </c>
      <c r="G171" t="inlineStr">
        <is>
          <t>S2职能系统－财经线/财经IT管理部/公共支持中心</t>
        </is>
      </c>
      <c r="H171" s="188" t="n">
        <v>42621</v>
      </c>
      <c r="I171" t="inlineStr">
        <is>
          <t>高校招聘</t>
        </is>
      </c>
      <c r="J171" t="inlineStr">
        <is>
          <t>技术研发类－TRD</t>
        </is>
      </c>
      <c r="K171" t="inlineStr">
        <is>
          <t>应用开发</t>
        </is>
      </c>
      <c r="L171" t="inlineStr">
        <is>
          <t>T10</t>
        </is>
      </c>
      <c r="N171" t="inlineStr">
        <is>
          <t>T2</t>
        </is>
      </c>
      <c r="Q171" t="inlineStr">
        <is>
          <t>G,G</t>
        </is>
      </c>
      <c r="U171" t="n">
        <v>37223.25</v>
      </c>
      <c r="V171" t="n">
        <v>0.083333</v>
      </c>
      <c r="W171" t="inlineStr">
        <is>
          <t>CNY</t>
        </is>
      </c>
      <c r="X171" t="n">
        <v>1</v>
      </c>
      <c r="Y171" t="n">
        <v>36470.65</v>
      </c>
      <c r="Z171" t="n">
        <v>0</v>
      </c>
      <c r="AA171" t="n">
        <v>74446.5</v>
      </c>
      <c r="AB171" t="n">
        <v>42050</v>
      </c>
      <c r="AC171" t="n">
        <v>0</v>
      </c>
      <c r="AF171" t="n">
        <v>0</v>
      </c>
      <c r="AG171" t="n">
        <v>116496.5</v>
      </c>
      <c r="AH171" t="n">
        <v>3.194253461344944</v>
      </c>
      <c r="AI171" t="n">
        <v>116496.5</v>
      </c>
      <c r="AJ171" t="n">
        <v>3.194253461344944</v>
      </c>
      <c r="AK171" t="n">
        <v>3.194253461344944</v>
      </c>
      <c r="AQ171" t="n">
        <v>116496.5</v>
      </c>
      <c r="AR171" t="n">
        <v>3.194253461344944</v>
      </c>
      <c r="AS171" t="n">
        <v>1.048620549979747</v>
      </c>
      <c r="BL171" t="n">
        <v>1</v>
      </c>
      <c r="BM171" t="n">
        <v>33490</v>
      </c>
      <c r="BN171" t="n">
        <v>0</v>
      </c>
      <c r="BO171" t="n">
        <v>34405</v>
      </c>
      <c r="BP171" t="inlineStr">
        <is>
          <t>G,G</t>
        </is>
      </c>
      <c r="BQ171" t="inlineStr">
        <is>
          <t>T2</t>
        </is>
      </c>
      <c r="BR171" t="n">
        <v>111095</v>
      </c>
      <c r="BS171" t="n">
        <v>3.317258883248731</v>
      </c>
      <c r="BT171" t="n">
        <v>0</v>
      </c>
      <c r="BU171" t="n">
        <v>111095</v>
      </c>
      <c r="BV171" t="n">
        <v>3.317258883248731</v>
      </c>
      <c r="BY171" t="n">
        <v>111095</v>
      </c>
      <c r="BZ171" t="n">
        <v>3.317258883248731</v>
      </c>
      <c r="CP171" t="inlineStr">
        <is>
          <t>财经IT管理部</t>
        </is>
      </c>
      <c r="CQ171" t="inlineStr">
        <is>
          <t>3,3</t>
        </is>
      </c>
      <c r="CR171" t="n">
        <v>10</v>
      </c>
      <c r="CS171" t="inlineStr">
        <is>
          <t>T2</t>
        </is>
      </c>
      <c r="CT171" t="inlineStr">
        <is>
          <t>N</t>
        </is>
      </c>
    </row>
    <row r="172">
      <c r="A172" t="inlineStr">
        <is>
          <t>judyZhao(赵丽茹)</t>
        </is>
      </c>
      <c r="C172" t="n">
        <v>13765074</v>
      </c>
      <c r="D172" t="inlineStr">
        <is>
          <t>财经IT管理部</t>
        </is>
      </c>
      <c r="E172" t="inlineStr">
        <is>
          <t>业务开发中心</t>
        </is>
      </c>
      <c r="G172" t="inlineStr">
        <is>
          <t>S2职能系统－财经线/财经IT管理部/业务开发中心</t>
        </is>
      </c>
      <c r="H172" s="188" t="n">
        <v>42203</v>
      </c>
      <c r="I172" t="inlineStr">
        <is>
          <t>社会招聘</t>
        </is>
      </c>
      <c r="J172" t="inlineStr">
        <is>
          <t>技术研发类－TRD</t>
        </is>
      </c>
      <c r="K172" t="inlineStr">
        <is>
          <t>应用开发</t>
        </is>
      </c>
      <c r="L172" t="inlineStr">
        <is>
          <t>T8</t>
        </is>
      </c>
      <c r="N172" t="inlineStr">
        <is>
          <t>T2</t>
        </is>
      </c>
      <c r="Q172" t="inlineStr">
        <is>
          <t>G,G</t>
        </is>
      </c>
      <c r="U172" t="n">
        <v>42149.9</v>
      </c>
      <c r="V172" t="n">
        <v>0.083333</v>
      </c>
      <c r="W172" t="inlineStr">
        <is>
          <t>CNY</t>
        </is>
      </c>
      <c r="X172" t="n">
        <v>1</v>
      </c>
      <c r="Y172" t="n">
        <v>40008.73</v>
      </c>
      <c r="Z172" t="n">
        <v>0</v>
      </c>
      <c r="AA172" t="n">
        <v>84299.8</v>
      </c>
      <c r="AB172" t="n">
        <v>51515</v>
      </c>
      <c r="AC172" t="n">
        <v>0</v>
      </c>
      <c r="AF172" t="n">
        <v>0</v>
      </c>
      <c r="AG172" t="n">
        <v>135814.8</v>
      </c>
      <c r="AH172" t="n">
        <v>3.394629122194081</v>
      </c>
      <c r="AI172" t="n">
        <v>135814.8</v>
      </c>
      <c r="AJ172" t="n">
        <v>3.394629122194081</v>
      </c>
      <c r="AK172" t="n">
        <v>3.394629122194081</v>
      </c>
      <c r="AQ172" t="n">
        <v>135814.8</v>
      </c>
      <c r="AR172" t="n">
        <v>3.394629122194081</v>
      </c>
      <c r="AS172" t="n">
        <v>1.247037003030025</v>
      </c>
      <c r="BL172" t="n">
        <v>1</v>
      </c>
      <c r="BM172" t="n">
        <v>34655</v>
      </c>
      <c r="BN172" t="n">
        <v>0</v>
      </c>
      <c r="BO172" t="n">
        <v>36040</v>
      </c>
      <c r="BP172" t="inlineStr">
        <is>
          <t>G,G</t>
        </is>
      </c>
      <c r="BQ172" t="inlineStr">
        <is>
          <t>T2</t>
        </is>
      </c>
      <c r="BR172" t="n">
        <v>108910</v>
      </c>
      <c r="BS172" t="n">
        <v>3.14269225220026</v>
      </c>
      <c r="BT172" t="n">
        <v>0</v>
      </c>
      <c r="BU172" t="n">
        <v>108910</v>
      </c>
      <c r="BV172" t="n">
        <v>3.14269225220026</v>
      </c>
      <c r="BY172" t="n">
        <v>108910</v>
      </c>
      <c r="BZ172" t="n">
        <v>3.14269225220026</v>
      </c>
      <c r="CP172" t="inlineStr">
        <is>
          <t>财经IT管理部</t>
        </is>
      </c>
      <c r="CQ172" t="inlineStr">
        <is>
          <t>3,3</t>
        </is>
      </c>
      <c r="CR172" t="n">
        <v>8</v>
      </c>
      <c r="CS172" t="inlineStr">
        <is>
          <t>T2</t>
        </is>
      </c>
      <c r="CT172" t="inlineStr">
        <is>
          <t>N</t>
        </is>
      </c>
    </row>
    <row r="173">
      <c r="A173" t="inlineStr">
        <is>
          <t>richardHou(侯涛)</t>
        </is>
      </c>
      <c r="C173" t="n">
        <v>27453332</v>
      </c>
      <c r="D173" t="inlineStr">
        <is>
          <t>财会及报告管理部</t>
        </is>
      </c>
      <c r="E173" t="inlineStr">
        <is>
          <t>账务中心</t>
        </is>
      </c>
      <c r="G173" t="inlineStr">
        <is>
          <t>S2职能系统－财经线/财会及报告管理部/账务中心</t>
        </is>
      </c>
      <c r="H173" s="188" t="n">
        <v>36488</v>
      </c>
      <c r="I173" t="inlineStr">
        <is>
          <t>社会招聘</t>
        </is>
      </c>
      <c r="J173" t="inlineStr">
        <is>
          <t>财经类－FN</t>
        </is>
      </c>
      <c r="K173" t="inlineStr">
        <is>
          <t>会计</t>
        </is>
      </c>
      <c r="L173" t="inlineStr">
        <is>
          <t>S10</t>
        </is>
      </c>
      <c r="N173" t="inlineStr">
        <is>
          <t>T1</t>
        </is>
      </c>
      <c r="Q173" t="inlineStr">
        <is>
          <t>O,G</t>
        </is>
      </c>
      <c r="U173" t="n">
        <v>36209.8</v>
      </c>
      <c r="V173" t="n">
        <v>0.083333</v>
      </c>
      <c r="W173" t="inlineStr">
        <is>
          <t>CNY</t>
        </is>
      </c>
      <c r="X173" t="n">
        <v>1</v>
      </c>
      <c r="Y173" t="n">
        <v>34348.53</v>
      </c>
      <c r="Z173" t="n">
        <v>0</v>
      </c>
      <c r="AA173" t="n">
        <v>108629.4</v>
      </c>
      <c r="AB173" t="n">
        <v>74525</v>
      </c>
      <c r="AC173" t="n">
        <v>54095</v>
      </c>
      <c r="AF173" t="n">
        <v>0</v>
      </c>
      <c r="AG173" t="n">
        <v>237249.4</v>
      </c>
      <c r="AH173" t="n">
        <v>6.907119460425236</v>
      </c>
      <c r="AI173" t="n">
        <v>237249.4</v>
      </c>
      <c r="AJ173" t="n">
        <v>6.907119460425236</v>
      </c>
      <c r="AK173" t="n">
        <v>5.332234014090268</v>
      </c>
      <c r="AQ173" t="n">
        <v>237249.4</v>
      </c>
      <c r="AR173" t="n">
        <v>6.907119460425236</v>
      </c>
      <c r="AS173" t="n">
        <v>1.57981954386549</v>
      </c>
      <c r="BL173" t="n">
        <v>1</v>
      </c>
      <c r="BM173" t="n">
        <v>31310</v>
      </c>
      <c r="BN173" t="n">
        <v>0</v>
      </c>
      <c r="BO173" t="n">
        <v>33660</v>
      </c>
      <c r="BP173" t="inlineStr">
        <is>
          <t>G,G</t>
        </is>
      </c>
      <c r="BQ173" t="inlineStr">
        <is>
          <t>T1</t>
        </is>
      </c>
      <c r="BR173" t="n">
        <v>111090</v>
      </c>
      <c r="BS173" t="n">
        <v>3.548067709996806</v>
      </c>
      <c r="BT173" t="n">
        <v>39085</v>
      </c>
      <c r="BU173" t="n">
        <v>150175</v>
      </c>
      <c r="BV173" t="n">
        <v>4.796390929415522</v>
      </c>
      <c r="BY173" t="n">
        <v>150175</v>
      </c>
      <c r="BZ173" t="n">
        <v>4.796390929415522</v>
      </c>
      <c r="CP173" t="inlineStr">
        <is>
          <t>财会及报告管理部</t>
        </is>
      </c>
      <c r="CQ173" t="inlineStr">
        <is>
          <t>5,3</t>
        </is>
      </c>
      <c r="CR173" t="n">
        <v>10</v>
      </c>
      <c r="CS173" t="inlineStr">
        <is>
          <t>T1</t>
        </is>
      </c>
      <c r="CT173" t="inlineStr">
        <is>
          <t>N</t>
        </is>
      </c>
    </row>
    <row r="174">
      <c r="A174" t="inlineStr">
        <is>
          <t>francesDai(戴露娜)</t>
        </is>
      </c>
      <c r="C174" t="n">
        <v>51218245</v>
      </c>
      <c r="D174" t="inlineStr">
        <is>
          <t>财会及报告管理部</t>
        </is>
      </c>
      <c r="E174" t="inlineStr">
        <is>
          <t>应收管理中心</t>
        </is>
      </c>
      <c r="G174" t="inlineStr">
        <is>
          <t>S2职能系统－财经线/财会及报告管理部/应收管理中心</t>
        </is>
      </c>
      <c r="H174" s="188" t="n">
        <v>45469</v>
      </c>
      <c r="I174" t="inlineStr">
        <is>
          <t>社会招聘</t>
        </is>
      </c>
      <c r="J174" t="inlineStr">
        <is>
          <t>财经类－FN</t>
        </is>
      </c>
      <c r="K174" t="inlineStr">
        <is>
          <t>会计</t>
        </is>
      </c>
      <c r="L174" t="inlineStr">
        <is>
          <t>S8</t>
        </is>
      </c>
      <c r="N174" t="inlineStr">
        <is>
          <t>T1</t>
        </is>
      </c>
      <c r="Q174" t="inlineStr">
        <is>
          <t>N,G</t>
        </is>
      </c>
      <c r="U174" t="n">
        <v>42426.5</v>
      </c>
      <c r="V174" t="n">
        <v>0.083333</v>
      </c>
      <c r="W174" t="inlineStr">
        <is>
          <t>CNY</t>
        </is>
      </c>
      <c r="X174" t="n">
        <v>0.515068</v>
      </c>
      <c r="Y174" t="n">
        <v>38378.67</v>
      </c>
      <c r="Z174" t="n">
        <v>0</v>
      </c>
      <c r="AA174" t="n">
        <v>21852.53</v>
      </c>
      <c r="AB174" t="n">
        <v>0</v>
      </c>
      <c r="AC174" t="n">
        <v>0</v>
      </c>
      <c r="AF174" t="n">
        <v>0</v>
      </c>
      <c r="AG174" t="n">
        <v>21852.53</v>
      </c>
      <c r="AH174" t="n">
        <v>0.5693925818690434</v>
      </c>
      <c r="AI174" t="n">
        <v>21852.53</v>
      </c>
      <c r="AJ174" t="n">
        <v>0.5693925818690434</v>
      </c>
      <c r="AK174" t="n">
        <v>0.5693925818690434</v>
      </c>
      <c r="AQ174" t="n">
        <v>21852.53</v>
      </c>
      <c r="AR174" t="n">
        <v>0.5693925818690434</v>
      </c>
      <c r="BM174" t="n">
        <v>0</v>
      </c>
      <c r="BN174" t="n">
        <v>0</v>
      </c>
      <c r="BO174" t="n">
        <v>0</v>
      </c>
      <c r="BR174" t="n">
        <v>0</v>
      </c>
      <c r="BT174" t="n">
        <v>0</v>
      </c>
      <c r="BU174" t="n">
        <v>0</v>
      </c>
      <c r="BY174" t="n">
        <v>0</v>
      </c>
      <c r="CP174" t="inlineStr">
        <is>
          <t>财会及报告管理部</t>
        </is>
      </c>
      <c r="CQ174" t="n">
        <v>3</v>
      </c>
      <c r="CR174" t="n">
        <v>8</v>
      </c>
      <c r="CS174" t="inlineStr">
        <is>
          <t>T1</t>
        </is>
      </c>
      <c r="CT174" t="inlineStr">
        <is>
          <t>N</t>
        </is>
      </c>
    </row>
    <row r="175">
      <c r="A175" t="inlineStr">
        <is>
          <t>zacharyHong(洪成)</t>
        </is>
      </c>
      <c r="C175" t="n">
        <v>3001562</v>
      </c>
      <c r="D175" t="inlineStr">
        <is>
          <t>财会及报告管理部</t>
        </is>
      </c>
      <c r="E175" t="inlineStr">
        <is>
          <t>资产管理组</t>
        </is>
      </c>
      <c r="G175" t="inlineStr">
        <is>
          <t>S2职能系统－财经线/财会及报告管理部/资产管理组</t>
        </is>
      </c>
      <c r="H175" s="188" t="n">
        <v>44585</v>
      </c>
      <c r="I175" t="inlineStr">
        <is>
          <t>高校招聘</t>
        </is>
      </c>
      <c r="J175" t="inlineStr">
        <is>
          <t>财经类－FN</t>
        </is>
      </c>
      <c r="K175" t="inlineStr">
        <is>
          <t>会计</t>
        </is>
      </c>
      <c r="L175" t="inlineStr">
        <is>
          <t>S7</t>
        </is>
      </c>
      <c r="N175" t="inlineStr">
        <is>
          <t>T1</t>
        </is>
      </c>
      <c r="Q175" t="inlineStr">
        <is>
          <t>G,G</t>
        </is>
      </c>
      <c r="U175" t="n">
        <v>39603.5</v>
      </c>
      <c r="V175" t="n">
        <v>0.083333</v>
      </c>
      <c r="W175" t="inlineStr">
        <is>
          <t>CNY</t>
        </is>
      </c>
      <c r="X175" t="n">
        <v>1</v>
      </c>
      <c r="Y175" t="n">
        <v>38649.04</v>
      </c>
      <c r="Z175" t="n">
        <v>0</v>
      </c>
      <c r="AA175" t="n">
        <v>79207</v>
      </c>
      <c r="AB175" t="n">
        <v>85710</v>
      </c>
      <c r="AC175" t="n">
        <v>60200</v>
      </c>
      <c r="AF175" t="n">
        <v>0</v>
      </c>
      <c r="AG175" t="n">
        <v>225117</v>
      </c>
      <c r="AH175" t="n">
        <v>5.824646614767145</v>
      </c>
      <c r="AI175" t="n">
        <v>225117</v>
      </c>
      <c r="AJ175" t="n">
        <v>5.824646614767145</v>
      </c>
      <c r="AK175" t="n">
        <v>4.267040009273193</v>
      </c>
      <c r="AQ175" t="n">
        <v>225117</v>
      </c>
      <c r="AR175" t="n">
        <v>5.824646614767145</v>
      </c>
      <c r="AS175" t="n">
        <v>1.004470918947862</v>
      </c>
      <c r="BL175" t="n">
        <v>1</v>
      </c>
      <c r="BM175" t="n">
        <v>34675</v>
      </c>
      <c r="BN175" t="n">
        <v>0</v>
      </c>
      <c r="BO175" t="n">
        <v>34985</v>
      </c>
      <c r="BP175" t="inlineStr">
        <is>
          <t>G,O</t>
        </is>
      </c>
      <c r="BQ175" t="inlineStr">
        <is>
          <t>T1</t>
        </is>
      </c>
      <c r="BR175" t="n">
        <v>157075</v>
      </c>
      <c r="BS175" t="n">
        <v>4.529920692141312</v>
      </c>
      <c r="BT175" t="n">
        <v>67040</v>
      </c>
      <c r="BU175" t="n">
        <v>224115</v>
      </c>
      <c r="BV175" t="n">
        <v>6.463302090843547</v>
      </c>
      <c r="BY175" t="n">
        <v>224115</v>
      </c>
      <c r="BZ175" t="n">
        <v>6.463302090843547</v>
      </c>
      <c r="CP175" t="inlineStr">
        <is>
          <t>财会及报告管理部</t>
        </is>
      </c>
      <c r="CQ175" t="inlineStr">
        <is>
          <t>3,3</t>
        </is>
      </c>
      <c r="CR175" t="n">
        <v>7</v>
      </c>
      <c r="CS175" t="inlineStr">
        <is>
          <t>T1</t>
        </is>
      </c>
      <c r="CT175" t="inlineStr">
        <is>
          <t>N</t>
        </is>
      </c>
    </row>
    <row r="176">
      <c r="A176" t="inlineStr">
        <is>
          <t>rubyWei(魏茹)</t>
        </is>
      </c>
      <c r="C176" t="n">
        <v>61323894</v>
      </c>
      <c r="D176" t="inlineStr">
        <is>
          <t>风险管理和内部控制</t>
        </is>
      </c>
      <c r="E176" t="inlineStr">
        <is>
          <t>S系统风控组</t>
        </is>
      </c>
      <c r="G176" t="inlineStr">
        <is>
          <t>S2职能系统－财经线/风险管理和内部控制/S系统风控组</t>
        </is>
      </c>
      <c r="H176" s="188" t="n">
        <v>45086</v>
      </c>
      <c r="I176" t="inlineStr">
        <is>
          <t>社会招聘</t>
        </is>
      </c>
      <c r="J176" t="inlineStr">
        <is>
          <t>财经类－FN</t>
        </is>
      </c>
      <c r="K176" t="inlineStr">
        <is>
          <t>风险管理</t>
        </is>
      </c>
      <c r="L176" t="inlineStr">
        <is>
          <t>S9</t>
        </is>
      </c>
      <c r="N176" t="inlineStr">
        <is>
          <t>T2</t>
        </is>
      </c>
      <c r="Q176" t="inlineStr">
        <is>
          <t>G,G</t>
        </is>
      </c>
      <c r="U176" t="n">
        <v>41933.35</v>
      </c>
      <c r="V176" t="n">
        <v>0.083333</v>
      </c>
      <c r="W176" t="inlineStr">
        <is>
          <t>CNY</t>
        </is>
      </c>
      <c r="X176" t="n">
        <v>1</v>
      </c>
      <c r="Y176" t="n">
        <v>39724.02</v>
      </c>
      <c r="Z176" t="n">
        <v>0</v>
      </c>
      <c r="AA176" t="n">
        <v>83866.7</v>
      </c>
      <c r="AB176" t="n">
        <v>57190</v>
      </c>
      <c r="AC176" t="n">
        <v>0</v>
      </c>
      <c r="AF176" t="n">
        <v>0</v>
      </c>
      <c r="AG176" t="n">
        <v>141056.7</v>
      </c>
      <c r="AH176" t="n">
        <v>3.550917052201666</v>
      </c>
      <c r="AI176" t="n">
        <v>141056.7</v>
      </c>
      <c r="AJ176" t="n">
        <v>3.550917052201666</v>
      </c>
      <c r="AK176" t="n">
        <v>3.550917052201666</v>
      </c>
      <c r="AQ176" t="n">
        <v>141056.7</v>
      </c>
      <c r="AR176" t="n">
        <v>3.550917052201666</v>
      </c>
      <c r="AS176" t="n">
        <v>6.240066357000664</v>
      </c>
      <c r="BL176" t="n">
        <v>0.561643835616438</v>
      </c>
      <c r="BM176" t="n">
        <v>37700</v>
      </c>
      <c r="BN176" t="n">
        <v>0</v>
      </c>
      <c r="BO176" t="n">
        <v>40250</v>
      </c>
      <c r="BP176" t="inlineStr">
        <is>
          <t>N,G</t>
        </is>
      </c>
      <c r="BQ176" t="inlineStr">
        <is>
          <t>T2</t>
        </is>
      </c>
      <c r="BR176" t="n">
        <v>22605</v>
      </c>
      <c r="BS176" t="n">
        <v>0.5996021220159151</v>
      </c>
      <c r="BT176" t="n">
        <v>0</v>
      </c>
      <c r="BU176" t="n">
        <v>22605</v>
      </c>
      <c r="BV176" t="n">
        <v>0.5996021220159151</v>
      </c>
      <c r="BY176" t="n">
        <v>22605</v>
      </c>
      <c r="BZ176" t="n">
        <v>0.5996021220159151</v>
      </c>
      <c r="CP176" t="inlineStr">
        <is>
          <t>风险管理和内部控制</t>
        </is>
      </c>
      <c r="CQ176" t="inlineStr">
        <is>
          <t>3,3</t>
        </is>
      </c>
      <c r="CR176" t="n">
        <v>9</v>
      </c>
      <c r="CS176" t="inlineStr">
        <is>
          <t>T2</t>
        </is>
      </c>
      <c r="CT176" t="inlineStr">
        <is>
          <t>N</t>
        </is>
      </c>
    </row>
    <row r="177">
      <c r="A177" t="inlineStr">
        <is>
          <t>rileyLei(雷曦玉)</t>
        </is>
      </c>
      <c r="C177" t="n">
        <v>36668166</v>
      </c>
      <c r="D177" t="inlineStr">
        <is>
          <t>风险管理和内部控制</t>
        </is>
      </c>
      <c r="E177" t="inlineStr">
        <is>
          <t>CSIG风控中心</t>
        </is>
      </c>
      <c r="G177" t="inlineStr">
        <is>
          <t>S2职能系统－财经线/风险管理和内部控制/CSIG风控中心</t>
        </is>
      </c>
      <c r="H177" s="188" t="n">
        <v>43420</v>
      </c>
      <c r="I177" t="inlineStr">
        <is>
          <t>社会招聘</t>
        </is>
      </c>
      <c r="J177" t="inlineStr">
        <is>
          <t>财经类－FN</t>
        </is>
      </c>
      <c r="K177" t="inlineStr">
        <is>
          <t>风险管理</t>
        </is>
      </c>
      <c r="L177" t="inlineStr">
        <is>
          <t>S11</t>
        </is>
      </c>
      <c r="N177" t="inlineStr">
        <is>
          <t>Others</t>
        </is>
      </c>
      <c r="Q177" t="inlineStr">
        <is>
          <t>G,G</t>
        </is>
      </c>
      <c r="U177" t="n">
        <v>68065.5</v>
      </c>
      <c r="V177" t="n">
        <v>0.083333</v>
      </c>
      <c r="W177" t="inlineStr">
        <is>
          <t>CNY</t>
        </is>
      </c>
      <c r="X177" t="n">
        <v>1</v>
      </c>
      <c r="Y177" t="n">
        <v>63375.47</v>
      </c>
      <c r="Z177" t="n">
        <v>0</v>
      </c>
      <c r="AA177" t="n">
        <v>136131</v>
      </c>
      <c r="AB177" t="n">
        <v>54485</v>
      </c>
      <c r="AC177" t="n">
        <v>0</v>
      </c>
      <c r="AF177" t="n">
        <v>0</v>
      </c>
      <c r="AG177" t="n">
        <v>190616</v>
      </c>
      <c r="AH177" t="n">
        <v>3.007725228704418</v>
      </c>
      <c r="AI177" t="n">
        <v>190616</v>
      </c>
      <c r="AJ177" t="n">
        <v>3.007725228704418</v>
      </c>
      <c r="AK177" t="n">
        <v>3.007725228704418</v>
      </c>
      <c r="AQ177" t="n">
        <v>190616</v>
      </c>
      <c r="AR177" t="n">
        <v>3.007725228704418</v>
      </c>
      <c r="AS177" t="n">
        <v>1.042016071721424</v>
      </c>
      <c r="BL177" t="n">
        <v>1</v>
      </c>
      <c r="BM177" t="n">
        <v>59760</v>
      </c>
      <c r="BN177" t="n">
        <v>0</v>
      </c>
      <c r="BO177" t="n">
        <v>60940</v>
      </c>
      <c r="BP177" t="inlineStr">
        <is>
          <t>G,G</t>
        </is>
      </c>
      <c r="BQ177" t="inlineStr">
        <is>
          <t>Others</t>
        </is>
      </c>
      <c r="BR177" t="n">
        <v>182930</v>
      </c>
      <c r="BS177" t="n">
        <v>3.061077643908969</v>
      </c>
      <c r="BT177" t="n">
        <v>0</v>
      </c>
      <c r="BU177" t="n">
        <v>182930</v>
      </c>
      <c r="BV177" t="n">
        <v>3.061077643908969</v>
      </c>
      <c r="BY177" t="n">
        <v>182930</v>
      </c>
      <c r="BZ177" t="n">
        <v>3.061077643908969</v>
      </c>
      <c r="CP177" t="inlineStr">
        <is>
          <t>风险管理和内部控制</t>
        </is>
      </c>
      <c r="CQ177" t="inlineStr">
        <is>
          <t>3,3</t>
        </is>
      </c>
      <c r="CR177" t="n">
        <v>11</v>
      </c>
      <c r="CS177" t="inlineStr">
        <is>
          <t>Others</t>
        </is>
      </c>
      <c r="CT177" t="inlineStr">
        <is>
          <t>N</t>
        </is>
      </c>
    </row>
    <row r="178">
      <c r="A178" t="inlineStr">
        <is>
          <t>victoriaChen(陈月)</t>
        </is>
      </c>
      <c r="C178" t="n">
        <v>94394835</v>
      </c>
      <c r="D178" t="inlineStr">
        <is>
          <t>财会及报告管理部</t>
        </is>
      </c>
      <c r="E178" t="inlineStr">
        <is>
          <t>海外财会管理中心</t>
        </is>
      </c>
      <c r="G178" t="inlineStr">
        <is>
          <t>S2职能系统－财经线/财会及报告管理部/海外财会管理中心</t>
        </is>
      </c>
      <c r="H178" s="188" t="n">
        <v>41533</v>
      </c>
      <c r="I178" t="inlineStr">
        <is>
          <t>社会招聘</t>
        </is>
      </c>
      <c r="J178" t="inlineStr">
        <is>
          <t>财经类－FN</t>
        </is>
      </c>
      <c r="K178" t="inlineStr">
        <is>
          <t>会计</t>
        </is>
      </c>
      <c r="L178" t="inlineStr">
        <is>
          <t>S10</t>
        </is>
      </c>
      <c r="N178" t="inlineStr">
        <is>
          <t>T1#</t>
        </is>
      </c>
      <c r="Q178" t="inlineStr">
        <is>
          <t>G,G</t>
        </is>
      </c>
      <c r="U178" t="n">
        <v>53986.95</v>
      </c>
      <c r="V178" t="n">
        <v>0.083333</v>
      </c>
      <c r="W178" t="inlineStr">
        <is>
          <t>CNY</t>
        </is>
      </c>
      <c r="X178" t="n">
        <v>1</v>
      </c>
      <c r="Y178" t="n">
        <v>49069.12</v>
      </c>
      <c r="Z178" t="n">
        <v>0</v>
      </c>
      <c r="AA178" t="n">
        <v>107973.9</v>
      </c>
      <c r="AB178" t="n">
        <v>182495</v>
      </c>
      <c r="AC178" t="n">
        <v>72670</v>
      </c>
      <c r="AF178" t="n">
        <v>0</v>
      </c>
      <c r="AG178" t="n">
        <v>363138.9</v>
      </c>
      <c r="AH178" t="n">
        <v>7.400558640546234</v>
      </c>
      <c r="AI178" t="n">
        <v>363138.9</v>
      </c>
      <c r="AJ178" t="n">
        <v>7.400558640546234</v>
      </c>
      <c r="AK178" t="n">
        <v>5.919586493501412</v>
      </c>
      <c r="AQ178" t="n">
        <v>363138.9</v>
      </c>
      <c r="AR178" t="n">
        <v>7.400558640546234</v>
      </c>
      <c r="AS178" t="n">
        <v>3.834219195438708</v>
      </c>
      <c r="BL178" t="n">
        <v>1</v>
      </c>
      <c r="BM178" t="n">
        <v>43220</v>
      </c>
      <c r="BN178" t="n">
        <v>0</v>
      </c>
      <c r="BO178" t="n">
        <v>46265</v>
      </c>
      <c r="BP178" t="inlineStr">
        <is>
          <t>U,G</t>
        </is>
      </c>
      <c r="BQ178" t="inlineStr">
        <is>
          <t>T2</t>
        </is>
      </c>
      <c r="BR178" t="n">
        <v>94710</v>
      </c>
      <c r="BS178" t="n">
        <v>2.191346598796853</v>
      </c>
      <c r="BT178" t="n">
        <v>0</v>
      </c>
      <c r="BU178" t="n">
        <v>94710</v>
      </c>
      <c r="BV178" t="n">
        <v>2.191346598796853</v>
      </c>
      <c r="BY178" t="n">
        <v>94710</v>
      </c>
      <c r="BZ178" t="n">
        <v>2.191346598796853</v>
      </c>
      <c r="CP178" t="inlineStr">
        <is>
          <t>财会及报告管理部</t>
        </is>
      </c>
      <c r="CQ178" t="inlineStr">
        <is>
          <t>3,3</t>
        </is>
      </c>
      <c r="CR178" t="n">
        <v>10</v>
      </c>
      <c r="CS178" t="inlineStr">
        <is>
          <t>T1#</t>
        </is>
      </c>
      <c r="CT178" t="inlineStr">
        <is>
          <t>N</t>
        </is>
      </c>
    </row>
    <row r="179">
      <c r="A179" t="inlineStr">
        <is>
          <t>vincentMao(毛锐胜)</t>
        </is>
      </c>
      <c r="C179" t="n">
        <v>78223446</v>
      </c>
      <c r="D179" t="inlineStr">
        <is>
          <t>财会及报告管理部</t>
        </is>
      </c>
      <c r="E179" t="inlineStr">
        <is>
          <t>账务中心</t>
        </is>
      </c>
      <c r="G179" t="inlineStr">
        <is>
          <t>S2职能系统－财经线/财会及报告管理部/账务中心</t>
        </is>
      </c>
      <c r="H179" s="188" t="n">
        <v>36501</v>
      </c>
      <c r="I179" t="inlineStr">
        <is>
          <t>社会招聘</t>
        </is>
      </c>
      <c r="J179" t="inlineStr">
        <is>
          <t>财经类－FN</t>
        </is>
      </c>
      <c r="K179" t="inlineStr">
        <is>
          <t>会计</t>
        </is>
      </c>
      <c r="L179" t="inlineStr">
        <is>
          <t>S8</t>
        </is>
      </c>
      <c r="N179" t="inlineStr">
        <is>
          <t>T1#</t>
        </is>
      </c>
      <c r="Q179" t="inlineStr">
        <is>
          <t>G,G</t>
        </is>
      </c>
      <c r="U179" t="n">
        <v>36321.3</v>
      </c>
      <c r="V179" t="n">
        <v>0.083333</v>
      </c>
      <c r="W179" t="inlineStr">
        <is>
          <t>CNY</t>
        </is>
      </c>
      <c r="X179" t="n">
        <v>1</v>
      </c>
      <c r="Y179" t="n">
        <v>35073.67</v>
      </c>
      <c r="Z179" t="n">
        <v>0</v>
      </c>
      <c r="AA179" t="n">
        <v>72642.60000000001</v>
      </c>
      <c r="AB179" t="n">
        <v>124485</v>
      </c>
      <c r="AC179" t="n">
        <v>36690</v>
      </c>
      <c r="AF179" t="n">
        <v>0</v>
      </c>
      <c r="AG179" t="n">
        <v>233817.6</v>
      </c>
      <c r="AH179" t="n">
        <v>6.666470888276021</v>
      </c>
      <c r="AI179" t="n">
        <v>233817.6</v>
      </c>
      <c r="AJ179" t="n">
        <v>6.666470888276021</v>
      </c>
      <c r="AK179" t="n">
        <v>5.620387031069176</v>
      </c>
      <c r="AQ179" t="n">
        <v>233817.6</v>
      </c>
      <c r="AR179" t="n">
        <v>6.666470888276021</v>
      </c>
      <c r="AS179" t="n">
        <v>0.8911241115155211</v>
      </c>
      <c r="BL179" t="n">
        <v>1</v>
      </c>
      <c r="BM179" t="n">
        <v>29610</v>
      </c>
      <c r="BN179" t="n">
        <v>0</v>
      </c>
      <c r="BO179" t="n">
        <v>31725</v>
      </c>
      <c r="BP179" t="inlineStr">
        <is>
          <t>G,O</t>
        </is>
      </c>
      <c r="BQ179" t="inlineStr">
        <is>
          <t>T1#</t>
        </is>
      </c>
      <c r="BR179" t="n">
        <v>200265</v>
      </c>
      <c r="BS179" t="n">
        <v>6.763424518743668</v>
      </c>
      <c r="BT179" t="n">
        <v>62120</v>
      </c>
      <c r="BU179" t="n">
        <v>262385</v>
      </c>
      <c r="BV179" t="n">
        <v>8.861364403917596</v>
      </c>
      <c r="BY179" t="n">
        <v>262385</v>
      </c>
      <c r="BZ179" t="n">
        <v>8.861364403917596</v>
      </c>
      <c r="CP179" t="inlineStr">
        <is>
          <t>财会及报告管理部</t>
        </is>
      </c>
      <c r="CQ179" t="inlineStr">
        <is>
          <t>3,3</t>
        </is>
      </c>
      <c r="CR179" t="n">
        <v>8</v>
      </c>
      <c r="CS179" t="inlineStr">
        <is>
          <t>T1#</t>
        </is>
      </c>
      <c r="CT179" t="inlineStr">
        <is>
          <t>N</t>
        </is>
      </c>
    </row>
    <row r="180">
      <c r="A180" t="inlineStr">
        <is>
          <t>juliaPeng(彭嫣)</t>
        </is>
      </c>
      <c r="C180" t="n">
        <v>2079535</v>
      </c>
      <c r="D180" t="inlineStr">
        <is>
          <t>财经投资并购及管理部</t>
        </is>
      </c>
      <c r="E180" t="inlineStr">
        <is>
          <t>运营支持中心</t>
        </is>
      </c>
      <c r="G180" t="inlineStr">
        <is>
          <t>S2职能系统－财经线/财经投资并购及管理部/运营支持中心</t>
        </is>
      </c>
      <c r="H180" s="188" t="n">
        <v>43952</v>
      </c>
      <c r="I180" t="inlineStr">
        <is>
          <t>高校招聘</t>
        </is>
      </c>
      <c r="J180" t="inlineStr">
        <is>
          <t>财经类－FN</t>
        </is>
      </c>
      <c r="K180" t="inlineStr">
        <is>
          <t>投资并购</t>
        </is>
      </c>
      <c r="L180" t="inlineStr">
        <is>
          <t>S9</t>
        </is>
      </c>
      <c r="N180" t="inlineStr">
        <is>
          <t>T2</t>
        </is>
      </c>
      <c r="Q180" t="inlineStr">
        <is>
          <t>O,U</t>
        </is>
      </c>
      <c r="U180" t="n">
        <v>52831.3</v>
      </c>
      <c r="V180" t="n">
        <v>0.083333</v>
      </c>
      <c r="W180" t="inlineStr">
        <is>
          <t>CNY</t>
        </is>
      </c>
      <c r="X180" t="n">
        <v>1</v>
      </c>
      <c r="Y180" t="n">
        <v>50640.41</v>
      </c>
      <c r="Z180" t="n">
        <v>0</v>
      </c>
      <c r="AA180" t="n">
        <v>105662.6</v>
      </c>
      <c r="AB180" t="n">
        <v>75250</v>
      </c>
      <c r="AC180" t="n">
        <v>0</v>
      </c>
      <c r="AF180" t="n">
        <v>0</v>
      </c>
      <c r="AG180" t="n">
        <v>180912.6</v>
      </c>
      <c r="AH180" t="n">
        <v>3.572494772455436</v>
      </c>
      <c r="AI180" t="n">
        <v>180912.6</v>
      </c>
      <c r="AJ180" t="n">
        <v>3.572494772455436</v>
      </c>
      <c r="AK180" t="n">
        <v>3.572494772455436</v>
      </c>
      <c r="AQ180" t="n">
        <v>180912.6</v>
      </c>
      <c r="AR180" t="n">
        <v>3.572494772455436</v>
      </c>
      <c r="AS180" t="n">
        <v>1.715705818199061</v>
      </c>
      <c r="BL180" t="n">
        <v>1</v>
      </c>
      <c r="BM180" t="n">
        <v>42610</v>
      </c>
      <c r="BN180" t="n">
        <v>0</v>
      </c>
      <c r="BO180" t="n">
        <v>42955</v>
      </c>
      <c r="BP180" t="inlineStr">
        <is>
          <t>G,U</t>
        </is>
      </c>
      <c r="BQ180" t="inlineStr">
        <is>
          <t>T1</t>
        </is>
      </c>
      <c r="BR180" t="n">
        <v>105445</v>
      </c>
      <c r="BS180" t="n">
        <v>2.474653837127435</v>
      </c>
      <c r="BT180" t="n">
        <v>0</v>
      </c>
      <c r="BU180" t="n">
        <v>105445</v>
      </c>
      <c r="BV180" t="n">
        <v>2.474653837127435</v>
      </c>
      <c r="BY180" t="n">
        <v>105445</v>
      </c>
      <c r="BZ180" t="n">
        <v>2.474653837127435</v>
      </c>
      <c r="CP180" t="inlineStr">
        <is>
          <t>财经投资并购及管理部</t>
        </is>
      </c>
      <c r="CQ180" t="inlineStr">
        <is>
          <t>5,1</t>
        </is>
      </c>
      <c r="CR180" t="n">
        <v>9</v>
      </c>
      <c r="CS180" t="inlineStr">
        <is>
          <t>T2</t>
        </is>
      </c>
      <c r="CT180" t="inlineStr">
        <is>
          <t>N</t>
        </is>
      </c>
    </row>
    <row r="181">
      <c r="A181" t="inlineStr">
        <is>
          <t>brianLiang(梁军旭)</t>
        </is>
      </c>
      <c r="C181" t="n">
        <v>95424683</v>
      </c>
      <c r="D181" t="inlineStr">
        <is>
          <t>财经IT管理部</t>
        </is>
      </c>
      <c r="E181" t="inlineStr">
        <is>
          <t>国际业务支持中心</t>
        </is>
      </c>
      <c r="G181" t="inlineStr">
        <is>
          <t>S2职能系统－财经线/财经IT管理部/国际业务支持中心</t>
        </is>
      </c>
      <c r="H181" s="188" t="n">
        <v>43482</v>
      </c>
      <c r="I181" t="inlineStr">
        <is>
          <t>高校招聘</t>
        </is>
      </c>
      <c r="J181" t="inlineStr">
        <is>
          <t>技术研发类－TRD</t>
        </is>
      </c>
      <c r="K181" t="inlineStr">
        <is>
          <t>应用开发</t>
        </is>
      </c>
      <c r="L181" t="inlineStr">
        <is>
          <t>T8</t>
        </is>
      </c>
      <c r="N181" t="inlineStr">
        <is>
          <t>Others</t>
        </is>
      </c>
      <c r="Q181" t="inlineStr">
        <is>
          <t>G,U</t>
        </is>
      </c>
      <c r="U181" t="n">
        <v>42054.65</v>
      </c>
      <c r="V181" t="n">
        <v>0.083333</v>
      </c>
      <c r="W181" t="inlineStr">
        <is>
          <t>CNY</t>
        </is>
      </c>
      <c r="X181" t="n">
        <v>1</v>
      </c>
      <c r="Y181" t="n">
        <v>40455.35</v>
      </c>
      <c r="Z181" t="n">
        <v>0</v>
      </c>
      <c r="AA181" t="n">
        <v>42054.65</v>
      </c>
      <c r="AB181" t="n">
        <v>39340</v>
      </c>
      <c r="AC181" t="n">
        <v>0</v>
      </c>
      <c r="AF181" t="n">
        <v>0</v>
      </c>
      <c r="AG181" t="n">
        <v>81394.64999999999</v>
      </c>
      <c r="AH181" t="n">
        <v>2.011962571081451</v>
      </c>
      <c r="AI181" t="n">
        <v>81394.64999999999</v>
      </c>
      <c r="AJ181" t="n">
        <v>2.011962571081451</v>
      </c>
      <c r="AK181" t="n">
        <v>2.011962571081451</v>
      </c>
      <c r="AQ181" t="n">
        <v>81394.64999999999</v>
      </c>
      <c r="AR181" t="n">
        <v>2.011962571081451</v>
      </c>
      <c r="AS181" t="n">
        <v>0.722159968059622</v>
      </c>
      <c r="BL181" t="n">
        <v>1</v>
      </c>
      <c r="BM181" t="n">
        <v>36655</v>
      </c>
      <c r="BN181" t="n">
        <v>0</v>
      </c>
      <c r="BO181" t="n">
        <v>36690</v>
      </c>
      <c r="BP181" t="inlineStr">
        <is>
          <t>G,G</t>
        </is>
      </c>
      <c r="BQ181" t="inlineStr">
        <is>
          <t>Others</t>
        </is>
      </c>
      <c r="BR181" t="n">
        <v>112710</v>
      </c>
      <c r="BS181" t="n">
        <v>3.074887464193152</v>
      </c>
      <c r="BT181" t="n">
        <v>0</v>
      </c>
      <c r="BU181" t="n">
        <v>112710</v>
      </c>
      <c r="BV181" t="n">
        <v>3.074887464193152</v>
      </c>
      <c r="BY181" t="n">
        <v>112710</v>
      </c>
      <c r="BZ181" t="n">
        <v>3.074887464193152</v>
      </c>
      <c r="CP181" t="inlineStr">
        <is>
          <t>财经IT管理部</t>
        </is>
      </c>
      <c r="CQ181" t="inlineStr">
        <is>
          <t>3,1</t>
        </is>
      </c>
      <c r="CR181" t="n">
        <v>8</v>
      </c>
      <c r="CS181" t="inlineStr">
        <is>
          <t>Others</t>
        </is>
      </c>
      <c r="CT181" t="inlineStr">
        <is>
          <t>N</t>
        </is>
      </c>
    </row>
    <row r="182">
      <c r="A182" t="inlineStr">
        <is>
          <t>joeWang(汪明德)</t>
        </is>
      </c>
      <c r="C182" t="n">
        <v>85029078</v>
      </c>
      <c r="D182" t="inlineStr">
        <is>
          <t>财经IT管理部</t>
        </is>
      </c>
      <c r="E182" t="inlineStr">
        <is>
          <t>公共支持中心</t>
        </is>
      </c>
      <c r="G182" t="inlineStr">
        <is>
          <t>S2职能系统－财经线/财经IT管理部/公共支持中心</t>
        </is>
      </c>
      <c r="H182" s="188" t="n">
        <v>38689</v>
      </c>
      <c r="I182" t="inlineStr">
        <is>
          <t>社会招聘</t>
        </is>
      </c>
      <c r="J182" t="inlineStr">
        <is>
          <t>技术研发类－TRD</t>
        </is>
      </c>
      <c r="K182" t="inlineStr">
        <is>
          <t>应用开发</t>
        </is>
      </c>
      <c r="L182" t="inlineStr">
        <is>
          <t>T11</t>
        </is>
      </c>
      <c r="N182" t="inlineStr">
        <is>
          <t>T2</t>
        </is>
      </c>
      <c r="Q182" t="inlineStr">
        <is>
          <t>G,O</t>
        </is>
      </c>
      <c r="U182" t="n">
        <v>48923.15</v>
      </c>
      <c r="V182" t="n">
        <v>0.083333</v>
      </c>
      <c r="W182" t="inlineStr">
        <is>
          <t>CNY</t>
        </is>
      </c>
      <c r="X182" t="n">
        <v>1</v>
      </c>
      <c r="Y182" t="n">
        <v>45726.79</v>
      </c>
      <c r="Z182" t="n">
        <v>0</v>
      </c>
      <c r="AA182" t="n">
        <v>146769.45</v>
      </c>
      <c r="AB182" t="n">
        <v>58820</v>
      </c>
      <c r="AC182" t="n">
        <v>0</v>
      </c>
      <c r="AF182" t="n">
        <v>0</v>
      </c>
      <c r="AG182" t="n">
        <v>205589.45</v>
      </c>
      <c r="AH182" t="n">
        <v>4.496039411469732</v>
      </c>
      <c r="AI182" t="n">
        <v>205589.45</v>
      </c>
      <c r="AJ182" t="n">
        <v>4.496039411469732</v>
      </c>
      <c r="AK182" t="n">
        <v>4.496039411469732</v>
      </c>
      <c r="AQ182" t="n">
        <v>205589.45</v>
      </c>
      <c r="AR182" t="n">
        <v>4.496039411469732</v>
      </c>
      <c r="AS182" t="n">
        <v>1.133161274320675</v>
      </c>
      <c r="BL182" t="n">
        <v>1</v>
      </c>
      <c r="BM182" t="n">
        <v>40890</v>
      </c>
      <c r="BN182" t="n">
        <v>0</v>
      </c>
      <c r="BO182" t="n">
        <v>43460</v>
      </c>
      <c r="BP182" t="inlineStr">
        <is>
          <t>G,O</t>
        </is>
      </c>
      <c r="BQ182" t="inlineStr">
        <is>
          <t>T2</t>
        </is>
      </c>
      <c r="BR182" t="n">
        <v>181430</v>
      </c>
      <c r="BS182" t="n">
        <v>4.43702616776718</v>
      </c>
      <c r="BT182" t="n">
        <v>0</v>
      </c>
      <c r="BU182" t="n">
        <v>181430</v>
      </c>
      <c r="BV182" t="n">
        <v>4.43702616776718</v>
      </c>
      <c r="BY182" t="n">
        <v>181430</v>
      </c>
      <c r="BZ182" t="n">
        <v>4.43702616776718</v>
      </c>
      <c r="CP182" t="inlineStr">
        <is>
          <t>财经IT管理部</t>
        </is>
      </c>
      <c r="CQ182" t="inlineStr">
        <is>
          <t>5,3</t>
        </is>
      </c>
      <c r="CR182" t="n">
        <v>11</v>
      </c>
      <c r="CS182" t="inlineStr">
        <is>
          <t>T2</t>
        </is>
      </c>
      <c r="CT182" t="inlineStr">
        <is>
          <t>N</t>
        </is>
      </c>
    </row>
    <row r="183">
      <c r="A183" t="inlineStr">
        <is>
          <t>danielQian(钱博博)</t>
        </is>
      </c>
      <c r="C183" t="n">
        <v>51822655</v>
      </c>
      <c r="D183" t="inlineStr">
        <is>
          <t>CSIG财务管理</t>
        </is>
      </c>
      <c r="E183" t="inlineStr">
        <is>
          <t>行业财务管理3中心</t>
        </is>
      </c>
      <c r="G183" t="inlineStr">
        <is>
          <t>S2职能系统－财经线/CSIG财务管理/行业财务管理3中心</t>
        </is>
      </c>
      <c r="H183" s="188" t="n">
        <v>44856</v>
      </c>
      <c r="I183" t="inlineStr">
        <is>
          <t>社会招聘</t>
        </is>
      </c>
      <c r="J183" t="inlineStr">
        <is>
          <t>财经类－FN</t>
        </is>
      </c>
      <c r="K183" t="inlineStr">
        <is>
          <t>财务管理</t>
        </is>
      </c>
      <c r="L183" t="inlineStr">
        <is>
          <t>S11</t>
        </is>
      </c>
      <c r="N183" t="inlineStr">
        <is>
          <t>T1</t>
        </is>
      </c>
      <c r="Q183" t="inlineStr">
        <is>
          <t>G,G</t>
        </is>
      </c>
      <c r="U183" t="n">
        <v>49774.5</v>
      </c>
      <c r="V183" t="n">
        <v>0.083333</v>
      </c>
      <c r="W183" t="inlineStr">
        <is>
          <t>CNY</t>
        </is>
      </c>
      <c r="X183" t="n">
        <v>1</v>
      </c>
      <c r="Y183" t="n">
        <v>47334.89</v>
      </c>
      <c r="Z183" t="n">
        <v>0</v>
      </c>
      <c r="AA183" t="n">
        <v>99549</v>
      </c>
      <c r="AB183" t="n">
        <v>111225</v>
      </c>
      <c r="AC183" t="n">
        <v>89465</v>
      </c>
      <c r="AF183" t="n">
        <v>0</v>
      </c>
      <c r="AG183" t="n">
        <v>300239</v>
      </c>
      <c r="AH183" t="n">
        <v>6.342868864805643</v>
      </c>
      <c r="AI183" t="n">
        <v>300239</v>
      </c>
      <c r="AJ183" t="n">
        <v>6.342868864805643</v>
      </c>
      <c r="AK183" t="n">
        <v>4.452825389474867</v>
      </c>
      <c r="AQ183" t="n">
        <v>300239</v>
      </c>
      <c r="AR183" t="n">
        <v>6.342868864805643</v>
      </c>
      <c r="AS183" t="n">
        <v>1.459383658192777</v>
      </c>
      <c r="BL183" t="n">
        <v>1</v>
      </c>
      <c r="BM183" t="n">
        <v>42385</v>
      </c>
      <c r="BN183" t="n">
        <v>0</v>
      </c>
      <c r="BO183" t="n">
        <v>44075</v>
      </c>
      <c r="BP183" t="inlineStr">
        <is>
          <t>G,G</t>
        </is>
      </c>
      <c r="BQ183" t="inlineStr">
        <is>
          <t>T1</t>
        </is>
      </c>
      <c r="BR183" t="n">
        <v>148095</v>
      </c>
      <c r="BS183" t="n">
        <v>3.494042703786717</v>
      </c>
      <c r="BT183" t="n">
        <v>57635</v>
      </c>
      <c r="BU183" t="n">
        <v>205730</v>
      </c>
      <c r="BV183" t="n">
        <v>4.85383980181668</v>
      </c>
      <c r="BY183" t="n">
        <v>205730</v>
      </c>
      <c r="BZ183" t="n">
        <v>4.85383980181668</v>
      </c>
      <c r="CP183" t="inlineStr">
        <is>
          <t>CSIG财务管理</t>
        </is>
      </c>
      <c r="CQ183" t="inlineStr">
        <is>
          <t>3,3</t>
        </is>
      </c>
      <c r="CR183" t="n">
        <v>11</v>
      </c>
      <c r="CS183" t="inlineStr">
        <is>
          <t>T1</t>
        </is>
      </c>
      <c r="CT183" t="inlineStr">
        <is>
          <t>N</t>
        </is>
      </c>
    </row>
    <row r="184">
      <c r="A184" t="inlineStr">
        <is>
          <t>rileyWang(王萍英)</t>
        </is>
      </c>
      <c r="C184" t="n">
        <v>52133669</v>
      </c>
      <c r="D184" t="inlineStr">
        <is>
          <t>财经投资并购及管理部</t>
        </is>
      </c>
      <c r="E184" t="inlineStr">
        <is>
          <t>运营支持中心</t>
        </is>
      </c>
      <c r="G184" t="inlineStr">
        <is>
          <t>S2职能系统－财经线/财经投资并购及管理部/运营支持中心</t>
        </is>
      </c>
      <c r="H184" s="188" t="n">
        <v>36561</v>
      </c>
      <c r="I184" t="inlineStr">
        <is>
          <t>社会招聘</t>
        </is>
      </c>
      <c r="J184" t="inlineStr">
        <is>
          <t>财经类－FN</t>
        </is>
      </c>
      <c r="K184" t="inlineStr">
        <is>
          <t>投资并购</t>
        </is>
      </c>
      <c r="L184" t="inlineStr">
        <is>
          <t>S6</t>
        </is>
      </c>
      <c r="N184" t="inlineStr">
        <is>
          <t>T2</t>
        </is>
      </c>
      <c r="Q184" t="inlineStr">
        <is>
          <t>U,G</t>
        </is>
      </c>
      <c r="U184" t="n">
        <v>27714.95</v>
      </c>
      <c r="V184" t="n">
        <v>0.083333</v>
      </c>
      <c r="W184" t="inlineStr">
        <is>
          <t>CNY</t>
        </is>
      </c>
      <c r="X184" t="n">
        <v>1</v>
      </c>
      <c r="Y184" t="n">
        <v>26089.25</v>
      </c>
      <c r="Z184" t="n">
        <v>0</v>
      </c>
      <c r="AA184" t="n">
        <v>27714.95</v>
      </c>
      <c r="AB184" t="n">
        <v>31840</v>
      </c>
      <c r="AC184" t="n">
        <v>0</v>
      </c>
      <c r="AF184" t="n">
        <v>0</v>
      </c>
      <c r="AG184" t="n">
        <v>59554.95</v>
      </c>
      <c r="AH184" t="n">
        <v>2.282739059191046</v>
      </c>
      <c r="AI184" t="n">
        <v>59554.95</v>
      </c>
      <c r="AJ184" t="n">
        <v>2.282739059191046</v>
      </c>
      <c r="AK184" t="n">
        <v>2.282739059191046</v>
      </c>
      <c r="AQ184" t="n">
        <v>59554.95</v>
      </c>
      <c r="AR184" t="n">
        <v>2.282739059191046</v>
      </c>
      <c r="AS184" t="n">
        <v>0.6841071736258687</v>
      </c>
      <c r="BL184" t="n">
        <v>1</v>
      </c>
      <c r="BM184" t="n">
        <v>24700</v>
      </c>
      <c r="BN184" t="n">
        <v>0</v>
      </c>
      <c r="BO184" t="n">
        <v>26530</v>
      </c>
      <c r="BP184" t="inlineStr">
        <is>
          <t>G,G</t>
        </is>
      </c>
      <c r="BQ184" t="inlineStr">
        <is>
          <t>T2</t>
        </is>
      </c>
      <c r="BR184" t="n">
        <v>87055</v>
      </c>
      <c r="BS184" t="n">
        <v>3.524493927125506</v>
      </c>
      <c r="BT184" t="n">
        <v>0</v>
      </c>
      <c r="BU184" t="n">
        <v>87055</v>
      </c>
      <c r="BV184" t="n">
        <v>3.524493927125506</v>
      </c>
      <c r="BY184" t="n">
        <v>87055</v>
      </c>
      <c r="BZ184" t="n">
        <v>3.524493927125506</v>
      </c>
      <c r="CP184" t="inlineStr">
        <is>
          <t>财经投资并购及管理部</t>
        </is>
      </c>
      <c r="CQ184" t="inlineStr">
        <is>
          <t>3,1</t>
        </is>
      </c>
      <c r="CR184" t="n">
        <v>6</v>
      </c>
      <c r="CS184" t="inlineStr">
        <is>
          <t>T2</t>
        </is>
      </c>
      <c r="CT184" t="inlineStr">
        <is>
          <t>N</t>
        </is>
      </c>
    </row>
    <row r="185">
      <c r="A185" t="inlineStr">
        <is>
          <t>marthaLei(雷佳颖)</t>
        </is>
      </c>
      <c r="C185" t="n">
        <v>3906538</v>
      </c>
      <c r="D185" t="inlineStr">
        <is>
          <t>应收账款管理中心</t>
        </is>
      </c>
      <c r="E185" t="inlineStr">
        <is>
          <t>应收管理2组</t>
        </is>
      </c>
      <c r="G185" t="inlineStr">
        <is>
          <t>S2职能系统－财经线/应收账款管理中心/应收管理2组</t>
        </is>
      </c>
      <c r="H185" s="188" t="n">
        <v>37671</v>
      </c>
      <c r="I185" t="inlineStr">
        <is>
          <t>高校招聘</t>
        </is>
      </c>
      <c r="J185" t="inlineStr">
        <is>
          <t>财经类－FN</t>
        </is>
      </c>
      <c r="K185" t="inlineStr">
        <is>
          <t>会计</t>
        </is>
      </c>
      <c r="L185" t="inlineStr">
        <is>
          <t>S6</t>
        </is>
      </c>
      <c r="N185" t="inlineStr">
        <is>
          <t>T1</t>
        </is>
      </c>
      <c r="Q185" t="inlineStr">
        <is>
          <t>U,G</t>
        </is>
      </c>
      <c r="U185" t="n">
        <v>31275.15</v>
      </c>
      <c r="V185" t="n">
        <v>0.083333</v>
      </c>
      <c r="W185" t="inlineStr">
        <is>
          <t>CNY</t>
        </is>
      </c>
      <c r="X185" t="n">
        <v>1</v>
      </c>
      <c r="Y185" t="n">
        <v>28404.7</v>
      </c>
      <c r="Z185" t="n">
        <v>0</v>
      </c>
      <c r="AA185" t="n">
        <v>31275.15</v>
      </c>
      <c r="AB185" t="n">
        <v>77595</v>
      </c>
      <c r="AC185" t="n">
        <v>0</v>
      </c>
      <c r="AF185" t="n">
        <v>0</v>
      </c>
      <c r="AG185" t="n">
        <v>108870.15</v>
      </c>
      <c r="AH185" t="n">
        <v>3.832821680919003</v>
      </c>
      <c r="AI185" t="n">
        <v>108870.15</v>
      </c>
      <c r="AJ185" t="n">
        <v>3.832821680919003</v>
      </c>
      <c r="AK185" t="n">
        <v>3.832821680919003</v>
      </c>
      <c r="AQ185" t="n">
        <v>108870.15</v>
      </c>
      <c r="AR185" t="n">
        <v>3.832821680919003</v>
      </c>
      <c r="AS185" t="n">
        <v>1.12358893647763</v>
      </c>
      <c r="BL185" t="n">
        <v>1</v>
      </c>
      <c r="BM185" t="n">
        <v>27165</v>
      </c>
      <c r="BN185" t="n">
        <v>0</v>
      </c>
      <c r="BO185" t="n">
        <v>27805</v>
      </c>
      <c r="BP185" t="inlineStr">
        <is>
          <t>G,G</t>
        </is>
      </c>
      <c r="BQ185" t="inlineStr">
        <is>
          <t>Others</t>
        </is>
      </c>
      <c r="BR185" t="n">
        <v>96895</v>
      </c>
      <c r="BS185" t="n">
        <v>3.566905945150009</v>
      </c>
      <c r="BT185" t="n">
        <v>0</v>
      </c>
      <c r="BU185" t="n">
        <v>96895</v>
      </c>
      <c r="BV185" t="n">
        <v>3.566905945150009</v>
      </c>
      <c r="BY185" t="n">
        <v>96895</v>
      </c>
      <c r="BZ185" t="n">
        <v>3.566905945150009</v>
      </c>
      <c r="CP185" t="inlineStr">
        <is>
          <t>应收账款管理中心</t>
        </is>
      </c>
      <c r="CQ185" t="inlineStr">
        <is>
          <t>3,1</t>
        </is>
      </c>
      <c r="CR185" t="n">
        <v>6</v>
      </c>
      <c r="CS185" t="inlineStr">
        <is>
          <t>T1</t>
        </is>
      </c>
      <c r="CT185" t="inlineStr">
        <is>
          <t>N</t>
        </is>
      </c>
    </row>
    <row r="186">
      <c r="A186" t="inlineStr">
        <is>
          <t>joyceLiu(刘霞颖)</t>
        </is>
      </c>
      <c r="C186" t="n">
        <v>34127738</v>
      </c>
      <c r="D186" t="inlineStr">
        <is>
          <t>反舞弊调查部</t>
        </is>
      </c>
      <c r="E186" t="inlineStr">
        <is>
          <t>反舞弊调查部</t>
        </is>
      </c>
      <c r="G186" t="inlineStr">
        <is>
          <t>S2职能系统－财经线/反舞弊调查部</t>
        </is>
      </c>
      <c r="H186" s="188" t="n">
        <v>41059</v>
      </c>
      <c r="I186" t="inlineStr">
        <is>
          <t>社会招聘</t>
        </is>
      </c>
      <c r="J186" t="inlineStr">
        <is>
          <t>财经类－FN</t>
        </is>
      </c>
      <c r="K186" t="inlineStr">
        <is>
          <t>风险管理</t>
        </is>
      </c>
      <c r="L186" t="inlineStr">
        <is>
          <t>S8</t>
        </is>
      </c>
      <c r="N186" t="inlineStr">
        <is>
          <t>T2</t>
        </is>
      </c>
      <c r="Q186" t="inlineStr">
        <is>
          <t>O,U</t>
        </is>
      </c>
      <c r="U186" t="n">
        <v>36420.35</v>
      </c>
      <c r="V186" t="n">
        <v>0.083333</v>
      </c>
      <c r="W186" t="inlineStr">
        <is>
          <t>CNY</t>
        </is>
      </c>
      <c r="X186" t="n">
        <v>1</v>
      </c>
      <c r="Y186" t="n">
        <v>35884.98</v>
      </c>
      <c r="Z186" t="n">
        <v>0</v>
      </c>
      <c r="AA186" t="n">
        <v>72840.7</v>
      </c>
      <c r="AB186" t="n">
        <v>45940</v>
      </c>
      <c r="AC186" t="n">
        <v>0</v>
      </c>
      <c r="AF186" t="n">
        <v>0</v>
      </c>
      <c r="AG186" t="n">
        <v>118780.7</v>
      </c>
      <c r="AH186" t="n">
        <v>3.310039464979498</v>
      </c>
      <c r="AI186" t="n">
        <v>118780.7</v>
      </c>
      <c r="AJ186" t="n">
        <v>3.310039464979498</v>
      </c>
      <c r="AK186" t="n">
        <v>3.310039464979498</v>
      </c>
      <c r="AQ186" t="n">
        <v>118780.7</v>
      </c>
      <c r="AR186" t="n">
        <v>3.310039464979498</v>
      </c>
      <c r="AS186" t="n">
        <v>0.849708133629015</v>
      </c>
      <c r="BL186" t="n">
        <v>1</v>
      </c>
      <c r="BM186" t="n">
        <v>32145</v>
      </c>
      <c r="BN186" t="n">
        <v>0</v>
      </c>
      <c r="BO186" t="n">
        <v>32580</v>
      </c>
      <c r="BP186" t="inlineStr">
        <is>
          <t>G,O</t>
        </is>
      </c>
      <c r="BQ186" t="inlineStr">
        <is>
          <t>T2</t>
        </is>
      </c>
      <c r="BR186" t="n">
        <v>139790</v>
      </c>
      <c r="BS186" t="n">
        <v>4.348732306735107</v>
      </c>
      <c r="BT186" t="n">
        <v>0</v>
      </c>
      <c r="BU186" t="n">
        <v>139790</v>
      </c>
      <c r="BV186" t="n">
        <v>4.348732306735107</v>
      </c>
      <c r="BY186" t="n">
        <v>139790</v>
      </c>
      <c r="BZ186" t="n">
        <v>4.348732306735107</v>
      </c>
      <c r="CP186" t="inlineStr">
        <is>
          <t>反舞弊调查部</t>
        </is>
      </c>
      <c r="CQ186" t="inlineStr">
        <is>
          <t>5,1</t>
        </is>
      </c>
      <c r="CR186" t="n">
        <v>8</v>
      </c>
      <c r="CS186" t="inlineStr">
        <is>
          <t>T2</t>
        </is>
      </c>
      <c r="CT186" t="inlineStr">
        <is>
          <t>N</t>
        </is>
      </c>
    </row>
    <row r="187">
      <c r="A187" t="inlineStr">
        <is>
          <t>francesCheng(程娇)</t>
        </is>
      </c>
      <c r="C187" t="n">
        <v>80645338</v>
      </c>
      <c r="D187" t="inlineStr">
        <is>
          <t>CSIG财务管理</t>
        </is>
      </c>
      <c r="E187" t="inlineStr">
        <is>
          <t>投资公司财务管理中心</t>
        </is>
      </c>
      <c r="G187" t="inlineStr">
        <is>
          <t>S2职能系统－财经线/CSIG财务管理/投资公司财务管理中心</t>
        </is>
      </c>
      <c r="H187" s="188" t="n">
        <v>36527</v>
      </c>
      <c r="I187" t="inlineStr">
        <is>
          <t>社会招聘</t>
        </is>
      </c>
      <c r="J187" t="inlineStr">
        <is>
          <t>财经类－FN</t>
        </is>
      </c>
      <c r="K187" t="inlineStr">
        <is>
          <t>财务管理</t>
        </is>
      </c>
      <c r="L187" t="inlineStr">
        <is>
          <t>S6</t>
        </is>
      </c>
      <c r="N187" t="inlineStr">
        <is>
          <t>T1</t>
        </is>
      </c>
      <c r="Q187" t="inlineStr">
        <is>
          <t>G,O</t>
        </is>
      </c>
      <c r="U187" t="n">
        <v>22979.45</v>
      </c>
      <c r="V187" t="n">
        <v>0.083333</v>
      </c>
      <c r="W187" t="inlineStr">
        <is>
          <t>CNY</t>
        </is>
      </c>
      <c r="X187" t="n">
        <v>1</v>
      </c>
      <c r="Y187" t="n">
        <v>20950.99</v>
      </c>
      <c r="Z187" t="n">
        <v>0</v>
      </c>
      <c r="AA187" t="n">
        <v>68938.35000000001</v>
      </c>
      <c r="AB187" t="n">
        <v>54245</v>
      </c>
      <c r="AC187" t="n">
        <v>35345</v>
      </c>
      <c r="AF187" t="n">
        <v>0</v>
      </c>
      <c r="AG187" t="n">
        <v>158528.35</v>
      </c>
      <c r="AH187" t="n">
        <v>7.566628116380181</v>
      </c>
      <c r="AI187" t="n">
        <v>158528.35</v>
      </c>
      <c r="AJ187" t="n">
        <v>7.566628116380181</v>
      </c>
      <c r="AK187" t="n">
        <v>5.879595665885001</v>
      </c>
      <c r="AQ187" t="n">
        <v>158528.35</v>
      </c>
      <c r="AR187" t="n">
        <v>7.566628116380181</v>
      </c>
      <c r="AS187" t="n">
        <v>1.772950287983001</v>
      </c>
      <c r="BL187" t="n">
        <v>1</v>
      </c>
      <c r="BM187" t="n">
        <v>19620</v>
      </c>
      <c r="BN187" t="n">
        <v>0</v>
      </c>
      <c r="BO187" t="n">
        <v>20475</v>
      </c>
      <c r="BP187" t="inlineStr">
        <is>
          <t>O,G</t>
        </is>
      </c>
      <c r="BQ187" t="inlineStr">
        <is>
          <t>T2</t>
        </is>
      </c>
      <c r="BR187" t="n">
        <v>89415</v>
      </c>
      <c r="BS187" t="n">
        <v>4.557339449541284</v>
      </c>
      <c r="BT187" t="n">
        <v>0</v>
      </c>
      <c r="BU187" t="n">
        <v>89415</v>
      </c>
      <c r="BV187" t="n">
        <v>4.557339449541284</v>
      </c>
      <c r="BY187" t="n">
        <v>89415</v>
      </c>
      <c r="BZ187" t="n">
        <v>4.557339449541284</v>
      </c>
      <c r="CP187" t="inlineStr">
        <is>
          <t>CSIG财务管理</t>
        </is>
      </c>
      <c r="CQ187" t="inlineStr">
        <is>
          <t>5,3</t>
        </is>
      </c>
      <c r="CR187" t="n">
        <v>6</v>
      </c>
      <c r="CS187" t="inlineStr">
        <is>
          <t>T1</t>
        </is>
      </c>
      <c r="CT187" t="inlineStr">
        <is>
          <t>N</t>
        </is>
      </c>
    </row>
    <row r="188">
      <c r="A188" t="inlineStr">
        <is>
          <t>dianeFeng(冯晗)</t>
        </is>
      </c>
      <c r="C188" t="n">
        <v>20940120</v>
      </c>
      <c r="D188" t="inlineStr">
        <is>
          <t>资金管理</t>
        </is>
      </c>
      <c r="E188" t="inlineStr">
        <is>
          <t>融资及资金筹划中心</t>
        </is>
      </c>
      <c r="G188" t="inlineStr">
        <is>
          <t>S2职能系统－财经线/资金管理/融资及资金筹划中心</t>
        </is>
      </c>
      <c r="H188" s="188" t="n">
        <v>40436</v>
      </c>
      <c r="I188" t="inlineStr">
        <is>
          <t>社会招聘</t>
        </is>
      </c>
      <c r="J188" t="inlineStr">
        <is>
          <t>财经类－FN</t>
        </is>
      </c>
      <c r="K188" t="inlineStr">
        <is>
          <t>资金管理</t>
        </is>
      </c>
      <c r="L188" t="inlineStr">
        <is>
          <t>S9</t>
        </is>
      </c>
      <c r="N188" t="inlineStr">
        <is>
          <t>T1</t>
        </is>
      </c>
      <c r="Q188" t="inlineStr">
        <is>
          <t>O,G</t>
        </is>
      </c>
      <c r="U188" t="n">
        <v>39018.75</v>
      </c>
      <c r="V188" t="n">
        <v>0.083333</v>
      </c>
      <c r="W188" t="inlineStr">
        <is>
          <t>CNY</t>
        </is>
      </c>
      <c r="X188" t="n">
        <v>1</v>
      </c>
      <c r="Y188" t="n">
        <v>36532.12</v>
      </c>
      <c r="Z188" t="n">
        <v>0</v>
      </c>
      <c r="AA188" t="n">
        <v>117056.25</v>
      </c>
      <c r="AB188" t="n">
        <v>88095</v>
      </c>
      <c r="AC188" t="n">
        <v>62965</v>
      </c>
      <c r="AF188" t="n">
        <v>0</v>
      </c>
      <c r="AG188" t="n">
        <v>268116.25</v>
      </c>
      <c r="AH188" t="n">
        <v>7.339192195799203</v>
      </c>
      <c r="AI188" t="n">
        <v>268116.25</v>
      </c>
      <c r="AJ188" t="n">
        <v>7.339192195799203</v>
      </c>
      <c r="AK188" t="n">
        <v>5.615640428204002</v>
      </c>
      <c r="AQ188" t="n">
        <v>268116.25</v>
      </c>
      <c r="AR188" t="n">
        <v>7.339192195799203</v>
      </c>
      <c r="AS188" t="n">
        <v>1.853936177568801</v>
      </c>
      <c r="BL188" t="n">
        <v>1</v>
      </c>
      <c r="BM188" t="n">
        <v>31565</v>
      </c>
      <c r="BN188" t="n">
        <v>0</v>
      </c>
      <c r="BO188" t="n">
        <v>32910</v>
      </c>
      <c r="BP188" t="inlineStr">
        <is>
          <t>G,G</t>
        </is>
      </c>
      <c r="BQ188" t="inlineStr">
        <is>
          <t>T1</t>
        </is>
      </c>
      <c r="BR188" t="n">
        <v>106565</v>
      </c>
      <c r="BS188" t="n">
        <v>3.376049421827974</v>
      </c>
      <c r="BT188" t="n">
        <v>38055</v>
      </c>
      <c r="BU188" t="n">
        <v>144620</v>
      </c>
      <c r="BV188" t="n">
        <v>4.581656898463488</v>
      </c>
      <c r="BY188" t="n">
        <v>144620</v>
      </c>
      <c r="BZ188" t="n">
        <v>4.581656898463488</v>
      </c>
      <c r="CP188" t="inlineStr">
        <is>
          <t>资金管理</t>
        </is>
      </c>
      <c r="CQ188" t="inlineStr">
        <is>
          <t>5,3</t>
        </is>
      </c>
      <c r="CR188" t="n">
        <v>9</v>
      </c>
      <c r="CS188" t="inlineStr">
        <is>
          <t>T1</t>
        </is>
      </c>
      <c r="CT188" t="inlineStr">
        <is>
          <t>N</t>
        </is>
      </c>
    </row>
    <row r="189">
      <c r="A189" t="inlineStr">
        <is>
          <t>lillianZheng(郑琪颖)</t>
        </is>
      </c>
      <c r="C189" t="n">
        <v>77342776</v>
      </c>
      <c r="D189" t="inlineStr">
        <is>
          <t>CDG财务管理</t>
        </is>
      </c>
      <c r="E189" t="inlineStr">
        <is>
          <t>AMS收入支持中心</t>
        </is>
      </c>
      <c r="G189" t="inlineStr">
        <is>
          <t>S2职能系统－财经线/CDG财务管理/AMS收入支持中心</t>
        </is>
      </c>
      <c r="H189" s="188" t="n">
        <v>37106</v>
      </c>
      <c r="I189" t="inlineStr">
        <is>
          <t>社会招聘</t>
        </is>
      </c>
      <c r="J189" t="inlineStr">
        <is>
          <t>财经类－FN</t>
        </is>
      </c>
      <c r="K189" t="inlineStr">
        <is>
          <t>财务管理</t>
        </is>
      </c>
      <c r="L189" t="inlineStr">
        <is>
          <t>S7</t>
        </is>
      </c>
      <c r="N189" t="inlineStr">
        <is>
          <t>Others</t>
        </is>
      </c>
      <c r="Q189" t="inlineStr">
        <is>
          <t>O,G</t>
        </is>
      </c>
      <c r="U189" t="n">
        <v>27143.2</v>
      </c>
      <c r="V189" t="n">
        <v>0.083333</v>
      </c>
      <c r="W189" t="inlineStr">
        <is>
          <t>CNY</t>
        </is>
      </c>
      <c r="X189" t="n">
        <v>1</v>
      </c>
      <c r="Y189" t="n">
        <v>25939.26</v>
      </c>
      <c r="Z189" t="n">
        <v>0</v>
      </c>
      <c r="AA189" t="n">
        <v>81429.60000000001</v>
      </c>
      <c r="AB189" t="n">
        <v>20520</v>
      </c>
      <c r="AC189" t="n">
        <v>0</v>
      </c>
      <c r="AF189" t="n">
        <v>0</v>
      </c>
      <c r="AG189" t="n">
        <v>101949.6</v>
      </c>
      <c r="AH189" t="n">
        <v>3.930320294410866</v>
      </c>
      <c r="AI189" t="n">
        <v>101949.6</v>
      </c>
      <c r="AJ189" t="n">
        <v>3.930320294410866</v>
      </c>
      <c r="AK189" t="n">
        <v>3.930320294410866</v>
      </c>
      <c r="AQ189" t="n">
        <v>101949.6</v>
      </c>
      <c r="AR189" t="n">
        <v>3.930320294410866</v>
      </c>
      <c r="AS189" t="n">
        <v>1.182709976798144</v>
      </c>
      <c r="BL189" t="n">
        <v>1</v>
      </c>
      <c r="BM189" t="n">
        <v>23360</v>
      </c>
      <c r="BN189" t="n">
        <v>0</v>
      </c>
      <c r="BO189" t="n">
        <v>25655</v>
      </c>
      <c r="BP189" t="inlineStr">
        <is>
          <t>G,G</t>
        </is>
      </c>
      <c r="BQ189" t="inlineStr">
        <is>
          <t>Others</t>
        </is>
      </c>
      <c r="BR189" t="n">
        <v>86200</v>
      </c>
      <c r="BS189" t="n">
        <v>3.690068493150685</v>
      </c>
      <c r="BT189" t="n">
        <v>0</v>
      </c>
      <c r="BU189" t="n">
        <v>86200</v>
      </c>
      <c r="BV189" t="n">
        <v>3.690068493150685</v>
      </c>
      <c r="BY189" t="n">
        <v>86200</v>
      </c>
      <c r="BZ189" t="n">
        <v>3.690068493150685</v>
      </c>
      <c r="CP189" t="inlineStr">
        <is>
          <t>CDG财务管理</t>
        </is>
      </c>
      <c r="CQ189" t="inlineStr">
        <is>
          <t>5,3</t>
        </is>
      </c>
      <c r="CR189" t="n">
        <v>7</v>
      </c>
      <c r="CS189" t="inlineStr">
        <is>
          <t>Others</t>
        </is>
      </c>
      <c r="CT189" t="inlineStr">
        <is>
          <t>N</t>
        </is>
      </c>
    </row>
    <row r="190">
      <c r="A190" t="inlineStr">
        <is>
          <t>walterHe(何鹏)</t>
        </is>
      </c>
      <c r="C190" t="n">
        <v>64497857</v>
      </c>
      <c r="D190" t="inlineStr">
        <is>
          <t>反舞弊调查部</t>
        </is>
      </c>
      <c r="E190" t="inlineStr">
        <is>
          <t>海外反舞弊工作组</t>
        </is>
      </c>
      <c r="G190" t="inlineStr">
        <is>
          <t>S2职能系统－财经线/反舞弊调查部/海外反舞弊工作组</t>
        </is>
      </c>
      <c r="H190" s="188" t="n">
        <v>36169</v>
      </c>
      <c r="I190" t="inlineStr">
        <is>
          <t>社会招聘</t>
        </is>
      </c>
      <c r="J190" t="inlineStr">
        <is>
          <t>财经类－FN</t>
        </is>
      </c>
      <c r="K190" t="inlineStr">
        <is>
          <t>风险管理</t>
        </is>
      </c>
      <c r="L190" t="inlineStr">
        <is>
          <t>S6</t>
        </is>
      </c>
      <c r="N190" t="inlineStr">
        <is>
          <t>T1</t>
        </is>
      </c>
      <c r="Q190" t="inlineStr">
        <is>
          <t>O,O</t>
        </is>
      </c>
      <c r="U190" t="n">
        <v>37946.55</v>
      </c>
      <c r="V190" t="n">
        <v>0.083333</v>
      </c>
      <c r="W190" t="inlineStr">
        <is>
          <t>CNY</t>
        </is>
      </c>
      <c r="X190" t="n">
        <v>1</v>
      </c>
      <c r="Y190" t="n">
        <v>36560.27</v>
      </c>
      <c r="Z190" t="n">
        <v>0</v>
      </c>
      <c r="AA190" t="n">
        <v>151786.2</v>
      </c>
      <c r="AB190" t="n">
        <v>87140</v>
      </c>
      <c r="AC190" t="n">
        <v>66300</v>
      </c>
      <c r="AF190" t="n">
        <v>0</v>
      </c>
      <c r="AG190" t="n">
        <v>305226.2</v>
      </c>
      <c r="AH190" t="n">
        <v>8.348576200339878</v>
      </c>
      <c r="AI190" t="n">
        <v>305226.2</v>
      </c>
      <c r="AJ190" t="n">
        <v>8.348576200339878</v>
      </c>
      <c r="AK190" t="n">
        <v>6.535132262425853</v>
      </c>
      <c r="AQ190" t="n">
        <v>305226.2</v>
      </c>
      <c r="AR190" t="n">
        <v>8.348576200339878</v>
      </c>
      <c r="AS190" t="n">
        <v>4.35975146407656</v>
      </c>
      <c r="BL190" t="n">
        <v>1</v>
      </c>
      <c r="BM190" t="n">
        <v>30455</v>
      </c>
      <c r="BN190" t="n">
        <v>0</v>
      </c>
      <c r="BO190" t="n">
        <v>33280</v>
      </c>
      <c r="BP190" t="inlineStr">
        <is>
          <t>G,U</t>
        </is>
      </c>
      <c r="BQ190" t="inlineStr">
        <is>
          <t>T1</t>
        </is>
      </c>
      <c r="BR190" t="n">
        <v>70010</v>
      </c>
      <c r="BS190" t="n">
        <v>2.298801510425218</v>
      </c>
      <c r="BT190" t="n">
        <v>0</v>
      </c>
      <c r="BU190" t="n">
        <v>70010</v>
      </c>
      <c r="BV190" t="n">
        <v>2.298801510425218</v>
      </c>
      <c r="BY190" t="n">
        <v>70010</v>
      </c>
      <c r="BZ190" t="n">
        <v>2.298801510425218</v>
      </c>
      <c r="CP190" t="inlineStr">
        <is>
          <t>反舞弊调查部</t>
        </is>
      </c>
      <c r="CQ190" t="inlineStr">
        <is>
          <t>5,5</t>
        </is>
      </c>
      <c r="CR190" t="n">
        <v>6</v>
      </c>
      <c r="CS190" t="inlineStr">
        <is>
          <t>T1</t>
        </is>
      </c>
      <c r="CT190" t="inlineStr">
        <is>
          <t>N</t>
        </is>
      </c>
    </row>
    <row r="191">
      <c r="A191" t="inlineStr">
        <is>
          <t>paulFang(方胜)</t>
        </is>
      </c>
      <c r="C191" t="n">
        <v>89612566</v>
      </c>
      <c r="D191" t="inlineStr">
        <is>
          <t>FiT财务管理</t>
        </is>
      </c>
      <c r="E191" t="inlineStr">
        <is>
          <t>结算支持中心</t>
        </is>
      </c>
      <c r="G191" t="inlineStr">
        <is>
          <t>S2职能系统－财经线/FiT财务管理/结算支持中心</t>
        </is>
      </c>
      <c r="H191" s="188" t="n">
        <v>37554</v>
      </c>
      <c r="I191" t="inlineStr">
        <is>
          <t>高校招聘</t>
        </is>
      </c>
      <c r="J191" t="inlineStr">
        <is>
          <t>财经类－FN</t>
        </is>
      </c>
      <c r="K191" t="inlineStr">
        <is>
          <t>财务管理</t>
        </is>
      </c>
      <c r="L191" t="inlineStr">
        <is>
          <t>S9</t>
        </is>
      </c>
      <c r="N191" t="inlineStr">
        <is>
          <t>T1</t>
        </is>
      </c>
      <c r="Q191" t="inlineStr">
        <is>
          <t>G,O</t>
        </is>
      </c>
      <c r="U191" t="n">
        <v>38480.65</v>
      </c>
      <c r="V191" t="n">
        <v>0.083333</v>
      </c>
      <c r="W191" t="inlineStr">
        <is>
          <t>CNY</t>
        </is>
      </c>
      <c r="X191" t="n">
        <v>1</v>
      </c>
      <c r="Y191" t="n">
        <v>37035.55</v>
      </c>
      <c r="Z191" t="n">
        <v>0</v>
      </c>
      <c r="AA191" t="n">
        <v>115441.95</v>
      </c>
      <c r="AB191" t="n">
        <v>93505</v>
      </c>
      <c r="AC191" t="n">
        <v>68600</v>
      </c>
      <c r="AF191" t="n">
        <v>0</v>
      </c>
      <c r="AG191" t="n">
        <v>277546.95</v>
      </c>
      <c r="AH191" t="n">
        <v>7.494068536851755</v>
      </c>
      <c r="AI191" t="n">
        <v>277546.95</v>
      </c>
      <c r="AJ191" t="n">
        <v>7.494068536851755</v>
      </c>
      <c r="AK191" t="n">
        <v>5.641794168035847</v>
      </c>
      <c r="AQ191" t="n">
        <v>277546.95</v>
      </c>
      <c r="AR191" t="n">
        <v>7.494068536851755</v>
      </c>
      <c r="AS191" t="n">
        <v>2.462596601747926</v>
      </c>
      <c r="BL191" t="n">
        <v>1</v>
      </c>
      <c r="BM191" t="n">
        <v>32400</v>
      </c>
      <c r="BN191" t="n">
        <v>0</v>
      </c>
      <c r="BO191" t="n">
        <v>34810</v>
      </c>
      <c r="BP191" t="inlineStr">
        <is>
          <t>U,O</t>
        </is>
      </c>
      <c r="BQ191" t="inlineStr">
        <is>
          <t>T1</t>
        </is>
      </c>
      <c r="BR191" t="n">
        <v>112705</v>
      </c>
      <c r="BS191" t="n">
        <v>3.478549382716049</v>
      </c>
      <c r="BT191" t="n">
        <v>0</v>
      </c>
      <c r="BU191" t="n">
        <v>112705</v>
      </c>
      <c r="BV191" t="n">
        <v>3.478549382716049</v>
      </c>
      <c r="BY191" t="n">
        <v>112705</v>
      </c>
      <c r="BZ191" t="n">
        <v>3.478549382716049</v>
      </c>
      <c r="CP191" t="inlineStr">
        <is>
          <t>FiT财务管理</t>
        </is>
      </c>
      <c r="CQ191" t="inlineStr">
        <is>
          <t>5,3</t>
        </is>
      </c>
      <c r="CR191" t="n">
        <v>9</v>
      </c>
      <c r="CS191" t="inlineStr">
        <is>
          <t>T1</t>
        </is>
      </c>
      <c r="CT191" t="inlineStr">
        <is>
          <t>N</t>
        </is>
      </c>
    </row>
    <row r="192">
      <c r="A192" t="inlineStr">
        <is>
          <t>lucyZheng(郑洁雅)</t>
        </is>
      </c>
      <c r="C192" t="n">
        <v>77250745</v>
      </c>
      <c r="D192" t="inlineStr">
        <is>
          <t>税务部</t>
        </is>
      </c>
      <c r="E192" t="inlineStr">
        <is>
          <t>投并税务组</t>
        </is>
      </c>
      <c r="G192" t="inlineStr">
        <is>
          <t>S2职能系统－财经线/税务部/投并税务组</t>
        </is>
      </c>
      <c r="H192" s="188" t="n">
        <v>45079</v>
      </c>
      <c r="I192" t="inlineStr">
        <is>
          <t>社会招聘</t>
        </is>
      </c>
      <c r="J192" t="inlineStr">
        <is>
          <t>财经类－FN</t>
        </is>
      </c>
      <c r="K192" t="inlineStr">
        <is>
          <t>税务</t>
        </is>
      </c>
      <c r="L192" t="inlineStr">
        <is>
          <t>S6</t>
        </is>
      </c>
      <c r="N192" t="inlineStr">
        <is>
          <t>T1#</t>
        </is>
      </c>
      <c r="Q192" t="inlineStr">
        <is>
          <t>O,G</t>
        </is>
      </c>
      <c r="U192" t="n">
        <v>25125.6</v>
      </c>
      <c r="V192" t="n">
        <v>0.083333</v>
      </c>
      <c r="W192" t="inlineStr">
        <is>
          <t>CNY</t>
        </is>
      </c>
      <c r="X192" t="n">
        <v>1</v>
      </c>
      <c r="Y192" t="n">
        <v>22779.23</v>
      </c>
      <c r="Z192" t="n">
        <v>0</v>
      </c>
      <c r="AA192" t="n">
        <v>75376.8</v>
      </c>
      <c r="AB192" t="n">
        <v>77835</v>
      </c>
      <c r="AC192" t="n">
        <v>43715</v>
      </c>
      <c r="AF192" t="n">
        <v>0</v>
      </c>
      <c r="AG192" t="n">
        <v>196926.8</v>
      </c>
      <c r="AH192" t="n">
        <v>8.645015656806661</v>
      </c>
      <c r="AI192" t="n">
        <v>196926.8</v>
      </c>
      <c r="AJ192" t="n">
        <v>8.645015656806661</v>
      </c>
      <c r="AK192" t="n">
        <v>6.725942887446151</v>
      </c>
      <c r="AQ192" t="n">
        <v>196926.8</v>
      </c>
      <c r="AR192" t="n">
        <v>8.645015656806661</v>
      </c>
      <c r="AS192" t="n">
        <v>16.01030894308943</v>
      </c>
      <c r="BL192" t="n">
        <v>0.580821917808219</v>
      </c>
      <c r="BM192" t="n">
        <v>20985</v>
      </c>
      <c r="BN192" t="n">
        <v>0</v>
      </c>
      <c r="BO192" t="n">
        <v>21185</v>
      </c>
      <c r="BP192" t="inlineStr">
        <is>
          <t>N,G</t>
        </is>
      </c>
      <c r="BQ192" t="inlineStr">
        <is>
          <t>Others</t>
        </is>
      </c>
      <c r="BR192" t="n">
        <v>12300</v>
      </c>
      <c r="BS192" t="n">
        <v>0.586132952108649</v>
      </c>
      <c r="BT192" t="n">
        <v>0</v>
      </c>
      <c r="BU192" t="n">
        <v>12300</v>
      </c>
      <c r="BV192" t="n">
        <v>0.586132952108649</v>
      </c>
      <c r="BY192" t="n">
        <v>12300</v>
      </c>
      <c r="BZ192" t="n">
        <v>0.586132952108649</v>
      </c>
      <c r="CP192" t="inlineStr">
        <is>
          <t>税务部</t>
        </is>
      </c>
      <c r="CQ192" t="inlineStr">
        <is>
          <t>5,3</t>
        </is>
      </c>
      <c r="CR192" t="n">
        <v>6</v>
      </c>
      <c r="CS192" t="inlineStr">
        <is>
          <t>T1#</t>
        </is>
      </c>
      <c r="CT192" t="inlineStr">
        <is>
          <t>N</t>
        </is>
      </c>
    </row>
    <row r="193">
      <c r="A193" t="inlineStr">
        <is>
          <t>williamDong(董林)</t>
        </is>
      </c>
      <c r="C193" t="n">
        <v>31176201</v>
      </c>
      <c r="D193" t="inlineStr">
        <is>
          <t>财会及报告管理部</t>
        </is>
      </c>
      <c r="E193" t="inlineStr">
        <is>
          <t>员工报销服务中心</t>
        </is>
      </c>
      <c r="G193" t="inlineStr">
        <is>
          <t>S2职能系统－财经线/财会及报告管理部/员工报销服务中心</t>
        </is>
      </c>
      <c r="H193" s="188" t="n">
        <v>36275</v>
      </c>
      <c r="I193" t="inlineStr">
        <is>
          <t>社会招聘</t>
        </is>
      </c>
      <c r="J193" t="inlineStr">
        <is>
          <t>财经类－FN</t>
        </is>
      </c>
      <c r="K193" t="inlineStr">
        <is>
          <t>会计</t>
        </is>
      </c>
      <c r="L193" t="inlineStr">
        <is>
          <t>S9</t>
        </is>
      </c>
      <c r="N193" t="inlineStr">
        <is>
          <t>T1</t>
        </is>
      </c>
      <c r="Q193" t="inlineStr">
        <is>
          <t>G,U</t>
        </is>
      </c>
      <c r="U193" t="n">
        <v>53887.95</v>
      </c>
      <c r="V193" t="n">
        <v>0.083333</v>
      </c>
      <c r="W193" t="inlineStr">
        <is>
          <t>CNY</t>
        </is>
      </c>
      <c r="X193" t="n">
        <v>1</v>
      </c>
      <c r="Y193" t="n">
        <v>50914.64</v>
      </c>
      <c r="Z193" t="n">
        <v>0</v>
      </c>
      <c r="AA193" t="n">
        <v>53887.95</v>
      </c>
      <c r="AB193" t="n">
        <v>132700</v>
      </c>
      <c r="AC193" t="n">
        <v>0</v>
      </c>
      <c r="AF193" t="n">
        <v>0</v>
      </c>
      <c r="AG193" t="n">
        <v>186587.95</v>
      </c>
      <c r="AH193" t="n">
        <v>3.664720991840461</v>
      </c>
      <c r="AI193" t="n">
        <v>186587.95</v>
      </c>
      <c r="AJ193" t="n">
        <v>3.664720991840461</v>
      </c>
      <c r="AK193" t="n">
        <v>3.664720991840461</v>
      </c>
      <c r="AQ193" t="n">
        <v>186587.95</v>
      </c>
      <c r="AR193" t="n">
        <v>3.664720991840461</v>
      </c>
      <c r="AS193" t="n">
        <v>0.8402024090960262</v>
      </c>
      <c r="BL193" t="n">
        <v>1</v>
      </c>
      <c r="BM193" t="n">
        <v>45255</v>
      </c>
      <c r="BN193" t="n">
        <v>0</v>
      </c>
      <c r="BO193" t="n">
        <v>45380</v>
      </c>
      <c r="BP193" t="inlineStr">
        <is>
          <t>G,G</t>
        </is>
      </c>
      <c r="BQ193" t="inlineStr">
        <is>
          <t>T1</t>
        </is>
      </c>
      <c r="BR193" t="n">
        <v>137785</v>
      </c>
      <c r="BS193" t="n">
        <v>3.044635951828527</v>
      </c>
      <c r="BT193" t="n">
        <v>84290</v>
      </c>
      <c r="BU193" t="n">
        <v>222075</v>
      </c>
      <c r="BV193" t="n">
        <v>4.907192575406032</v>
      </c>
      <c r="BY193" t="n">
        <v>222075</v>
      </c>
      <c r="BZ193" t="n">
        <v>4.907192575406032</v>
      </c>
      <c r="CP193" t="inlineStr">
        <is>
          <t>财会及报告管理部</t>
        </is>
      </c>
      <c r="CQ193" t="inlineStr">
        <is>
          <t>3,1</t>
        </is>
      </c>
      <c r="CR193" t="n">
        <v>9</v>
      </c>
      <c r="CS193" t="inlineStr">
        <is>
          <t>T1</t>
        </is>
      </c>
      <c r="CT193" t="inlineStr">
        <is>
          <t>N</t>
        </is>
      </c>
    </row>
    <row r="194">
      <c r="A194" t="inlineStr">
        <is>
          <t>bettyLu(卢英蝶)</t>
        </is>
      </c>
      <c r="C194" t="n">
        <v>16207133</v>
      </c>
      <c r="D194" t="inlineStr">
        <is>
          <t>财会及报告管理部</t>
        </is>
      </c>
      <c r="E194" t="inlineStr">
        <is>
          <t>财报中心</t>
        </is>
      </c>
      <c r="G194" t="inlineStr">
        <is>
          <t>S2职能系统－财经线/财会及报告管理部/财报中心</t>
        </is>
      </c>
      <c r="H194" s="188" t="n">
        <v>40667</v>
      </c>
      <c r="I194" t="inlineStr">
        <is>
          <t>高校招聘</t>
        </is>
      </c>
      <c r="J194" t="inlineStr">
        <is>
          <t>财经类－FN</t>
        </is>
      </c>
      <c r="K194" t="inlineStr">
        <is>
          <t>会计</t>
        </is>
      </c>
      <c r="L194" t="inlineStr">
        <is>
          <t>S11</t>
        </is>
      </c>
      <c r="N194" t="inlineStr">
        <is>
          <t>T2</t>
        </is>
      </c>
      <c r="Q194" t="inlineStr">
        <is>
          <t>G,G</t>
        </is>
      </c>
      <c r="U194" t="n">
        <v>40635.7</v>
      </c>
      <c r="V194" t="n">
        <v>0.083333</v>
      </c>
      <c r="W194" t="inlineStr">
        <is>
          <t>CNY</t>
        </is>
      </c>
      <c r="X194" t="n">
        <v>1</v>
      </c>
      <c r="Y194" t="n">
        <v>37331.29</v>
      </c>
      <c r="Z194" t="n">
        <v>0</v>
      </c>
      <c r="AA194" t="n">
        <v>81271.39999999999</v>
      </c>
      <c r="AB194" t="n">
        <v>49015</v>
      </c>
      <c r="AC194" t="n">
        <v>0</v>
      </c>
      <c r="AF194" t="n">
        <v>0</v>
      </c>
      <c r="AG194" t="n">
        <v>130286.4</v>
      </c>
      <c r="AH194" t="n">
        <v>3.490005301183002</v>
      </c>
      <c r="AI194" t="n">
        <v>130286.4</v>
      </c>
      <c r="AJ194" t="n">
        <v>3.490005301183002</v>
      </c>
      <c r="AK194" t="n">
        <v>3.490005301183002</v>
      </c>
      <c r="AQ194" t="n">
        <v>130286.4</v>
      </c>
      <c r="AR194" t="n">
        <v>3.490005301183002</v>
      </c>
      <c r="AS194" t="n">
        <v>0.6725847916989314</v>
      </c>
      <c r="BL194" t="n">
        <v>1</v>
      </c>
      <c r="BM194" t="n">
        <v>33110</v>
      </c>
      <c r="BN194" t="n">
        <v>0</v>
      </c>
      <c r="BO194" t="n">
        <v>36110</v>
      </c>
      <c r="BP194" t="inlineStr">
        <is>
          <t>G,G</t>
        </is>
      </c>
      <c r="BQ194" t="inlineStr">
        <is>
          <t>T1</t>
        </is>
      </c>
      <c r="BR194" t="n">
        <v>123760</v>
      </c>
      <c r="BS194" t="n">
        <v>3.73784355179704</v>
      </c>
      <c r="BT194" t="n">
        <v>69950</v>
      </c>
      <c r="BU194" t="n">
        <v>193710</v>
      </c>
      <c r="BV194" t="n">
        <v>5.850498338870432</v>
      </c>
      <c r="BY194" t="n">
        <v>193710</v>
      </c>
      <c r="BZ194" t="n">
        <v>5.850498338870432</v>
      </c>
      <c r="CP194" t="inlineStr">
        <is>
          <t>财会及报告管理部</t>
        </is>
      </c>
      <c r="CQ194" t="inlineStr">
        <is>
          <t>3,3</t>
        </is>
      </c>
      <c r="CR194" t="n">
        <v>11</v>
      </c>
      <c r="CS194" t="inlineStr">
        <is>
          <t>T2</t>
        </is>
      </c>
      <c r="CT194" t="inlineStr">
        <is>
          <t>N</t>
        </is>
      </c>
    </row>
    <row r="195">
      <c r="A195" t="inlineStr">
        <is>
          <t>carolZhu(朱露云)</t>
        </is>
      </c>
      <c r="C195" t="n">
        <v>45429686</v>
      </c>
      <c r="D195" t="inlineStr">
        <is>
          <t>财经投资并购及管理部</t>
        </is>
      </c>
      <c r="E195" t="inlineStr">
        <is>
          <t>行业及项目管理中心</t>
        </is>
      </c>
      <c r="G195" t="inlineStr">
        <is>
          <t>S2职能系统－财经线/财经投资并购及管理部/行业及项目管理中心</t>
        </is>
      </c>
      <c r="H195" s="188" t="n">
        <v>42566</v>
      </c>
      <c r="I195" t="inlineStr">
        <is>
          <t>社会招聘</t>
        </is>
      </c>
      <c r="J195" t="inlineStr">
        <is>
          <t>财经类－FN</t>
        </is>
      </c>
      <c r="K195" t="inlineStr">
        <is>
          <t>投资并购</t>
        </is>
      </c>
      <c r="L195" t="inlineStr">
        <is>
          <t>S8</t>
        </is>
      </c>
      <c r="N195" t="inlineStr">
        <is>
          <t>T1#</t>
        </is>
      </c>
      <c r="Q195" t="inlineStr">
        <is>
          <t>O,G</t>
        </is>
      </c>
      <c r="U195" t="n">
        <v>47383.85</v>
      </c>
      <c r="V195" t="n">
        <v>0.083333</v>
      </c>
      <c r="W195" t="inlineStr">
        <is>
          <t>CNY</t>
        </is>
      </c>
      <c r="X195" t="n">
        <v>1</v>
      </c>
      <c r="Y195" t="n">
        <v>43872.22</v>
      </c>
      <c r="Z195" t="n">
        <v>0</v>
      </c>
      <c r="AA195" t="n">
        <v>142151.55</v>
      </c>
      <c r="AB195" t="n">
        <v>161225</v>
      </c>
      <c r="AC195" t="n">
        <v>69655</v>
      </c>
      <c r="AF195" t="n">
        <v>0</v>
      </c>
      <c r="AG195" t="n">
        <v>373031.55</v>
      </c>
      <c r="AH195" t="n">
        <v>8.502682335199815</v>
      </c>
      <c r="AI195" t="n">
        <v>373031.55</v>
      </c>
      <c r="AJ195" t="n">
        <v>8.502682335199815</v>
      </c>
      <c r="AK195" t="n">
        <v>6.915003389388547</v>
      </c>
      <c r="AQ195" t="n">
        <v>373031.55</v>
      </c>
      <c r="AR195" t="n">
        <v>8.502682335199815</v>
      </c>
      <c r="AS195" t="n">
        <v>2.209051905368193</v>
      </c>
      <c r="BL195" t="n">
        <v>1</v>
      </c>
      <c r="BM195" t="n">
        <v>38335</v>
      </c>
      <c r="BN195" t="n">
        <v>0</v>
      </c>
      <c r="BO195" t="n">
        <v>41590</v>
      </c>
      <c r="BP195" t="inlineStr">
        <is>
          <t>G,U</t>
        </is>
      </c>
      <c r="BQ195" t="inlineStr">
        <is>
          <t>T1#</t>
        </is>
      </c>
      <c r="BR195" t="n">
        <v>168865</v>
      </c>
      <c r="BS195" t="n">
        <v>4.40498239206991</v>
      </c>
      <c r="BT195" t="n">
        <v>0</v>
      </c>
      <c r="BU195" t="n">
        <v>168865</v>
      </c>
      <c r="BV195" t="n">
        <v>4.40498239206991</v>
      </c>
      <c r="BY195" t="n">
        <v>168865</v>
      </c>
      <c r="BZ195" t="n">
        <v>4.40498239206991</v>
      </c>
      <c r="CP195" t="inlineStr">
        <is>
          <t>财经投资并购及管理部</t>
        </is>
      </c>
      <c r="CQ195" t="inlineStr">
        <is>
          <t>5,3</t>
        </is>
      </c>
      <c r="CR195" t="n">
        <v>8</v>
      </c>
      <c r="CS195" t="inlineStr">
        <is>
          <t>T1#</t>
        </is>
      </c>
      <c r="CT195" t="inlineStr">
        <is>
          <t>N</t>
        </is>
      </c>
    </row>
    <row r="196">
      <c r="A196" t="inlineStr">
        <is>
          <t>ericPeng(彭睿)</t>
        </is>
      </c>
      <c r="C196" t="n">
        <v>74978451</v>
      </c>
      <c r="D196" t="inlineStr">
        <is>
          <t>财经IT管理部</t>
        </is>
      </c>
      <c r="E196" t="inlineStr">
        <is>
          <t>财经IT管理部</t>
        </is>
      </c>
      <c r="G196" t="inlineStr">
        <is>
          <t>S2职能系统－财经线/财经IT管理部</t>
        </is>
      </c>
      <c r="H196" s="188" t="n">
        <v>45000</v>
      </c>
      <c r="I196" t="inlineStr">
        <is>
          <t>社会招聘</t>
        </is>
      </c>
      <c r="J196" t="inlineStr">
        <is>
          <t>技术研发类－TRD</t>
        </is>
      </c>
      <c r="K196" t="inlineStr">
        <is>
          <t>应用开发</t>
        </is>
      </c>
      <c r="L196" t="inlineStr">
        <is>
          <t>T13</t>
        </is>
      </c>
      <c r="N196" t="inlineStr">
        <is>
          <t>T2</t>
        </is>
      </c>
      <c r="Q196" t="inlineStr">
        <is>
          <t>G,O</t>
        </is>
      </c>
      <c r="U196" t="n">
        <v>53302.95</v>
      </c>
      <c r="V196" t="n">
        <v>0.083333</v>
      </c>
      <c r="W196" t="inlineStr">
        <is>
          <t>CNY</t>
        </is>
      </c>
      <c r="X196" t="n">
        <v>1</v>
      </c>
      <c r="Y196" t="n">
        <v>49329.57</v>
      </c>
      <c r="Z196" t="n">
        <v>0</v>
      </c>
      <c r="AA196" t="n">
        <v>159908.85</v>
      </c>
      <c r="AB196" t="n">
        <v>54880</v>
      </c>
      <c r="AC196" t="n">
        <v>0</v>
      </c>
      <c r="AF196" t="n">
        <v>0</v>
      </c>
      <c r="AG196" t="n">
        <v>214788.85</v>
      </c>
      <c r="AH196" t="n">
        <v>4.354160192355215</v>
      </c>
      <c r="AI196" t="n">
        <v>214788.85</v>
      </c>
      <c r="AJ196" t="n">
        <v>4.354160192355215</v>
      </c>
      <c r="AK196" t="n">
        <v>4.354160192355215</v>
      </c>
      <c r="AQ196" t="n">
        <v>214788.85</v>
      </c>
      <c r="AR196" t="n">
        <v>4.354160192355215</v>
      </c>
      <c r="AS196" t="n">
        <v>5.449419002917671</v>
      </c>
      <c r="BL196" t="n">
        <v>0.797260273972602</v>
      </c>
      <c r="BM196" t="n">
        <v>45495</v>
      </c>
      <c r="BN196" t="n">
        <v>0</v>
      </c>
      <c r="BO196" t="n">
        <v>49440</v>
      </c>
      <c r="BP196" t="inlineStr">
        <is>
          <t>U,O</t>
        </is>
      </c>
      <c r="BQ196" t="inlineStr">
        <is>
          <t>Others</t>
        </is>
      </c>
      <c r="BR196" t="n">
        <v>39415</v>
      </c>
      <c r="BS196" t="n">
        <v>0.8663589405429168</v>
      </c>
      <c r="BT196" t="n">
        <v>0</v>
      </c>
      <c r="BU196" t="n">
        <v>39415</v>
      </c>
      <c r="BV196" t="n">
        <v>0.8663589405429168</v>
      </c>
      <c r="BY196" t="n">
        <v>39415</v>
      </c>
      <c r="BZ196" t="n">
        <v>0.8663589405429168</v>
      </c>
      <c r="CP196" t="inlineStr">
        <is>
          <t>财经IT管理部</t>
        </is>
      </c>
      <c r="CQ196" t="inlineStr">
        <is>
          <t>5,3</t>
        </is>
      </c>
      <c r="CR196" t="n">
        <v>13</v>
      </c>
      <c r="CS196" t="inlineStr">
        <is>
          <t>T2</t>
        </is>
      </c>
      <c r="CT196" t="inlineStr">
        <is>
          <t>N</t>
        </is>
      </c>
    </row>
    <row r="197">
      <c r="A197" t="inlineStr">
        <is>
          <t>henryMa(马锋龙)</t>
        </is>
      </c>
      <c r="C197" t="n">
        <v>70261089</v>
      </c>
      <c r="D197" t="inlineStr">
        <is>
          <t>反舞弊调查部</t>
        </is>
      </c>
      <c r="E197" t="inlineStr">
        <is>
          <t>反舞弊调查部</t>
        </is>
      </c>
      <c r="G197" t="inlineStr">
        <is>
          <t>S2职能系统－财经线/反舞弊调查部</t>
        </is>
      </c>
      <c r="H197" s="188" t="n">
        <v>42864</v>
      </c>
      <c r="I197" t="inlineStr">
        <is>
          <t>社会招聘</t>
        </is>
      </c>
      <c r="J197" t="inlineStr">
        <is>
          <t>财经类－FN</t>
        </is>
      </c>
      <c r="K197" t="inlineStr">
        <is>
          <t>风险管理</t>
        </is>
      </c>
      <c r="L197" t="inlineStr">
        <is>
          <t>S6</t>
        </is>
      </c>
      <c r="N197" t="inlineStr">
        <is>
          <t>T2</t>
        </is>
      </c>
      <c r="Q197" t="inlineStr">
        <is>
          <t>G,G</t>
        </is>
      </c>
      <c r="U197" t="n">
        <v>21418.15</v>
      </c>
      <c r="V197" t="n">
        <v>0.083333</v>
      </c>
      <c r="W197" t="inlineStr">
        <is>
          <t>CNY</t>
        </is>
      </c>
      <c r="X197" t="n">
        <v>1</v>
      </c>
      <c r="Y197" t="n">
        <v>20125.01</v>
      </c>
      <c r="Z197" t="n">
        <v>0</v>
      </c>
      <c r="AA197" t="n">
        <v>42836.3</v>
      </c>
      <c r="AB197" t="n">
        <v>31765</v>
      </c>
      <c r="AC197" t="n">
        <v>0</v>
      </c>
      <c r="AF197" t="n">
        <v>0</v>
      </c>
      <c r="AG197" t="n">
        <v>74601.3</v>
      </c>
      <c r="AH197" t="n">
        <v>3.706895052474509</v>
      </c>
      <c r="AI197" t="n">
        <v>74601.3</v>
      </c>
      <c r="AJ197" t="n">
        <v>3.706895052474509</v>
      </c>
      <c r="AK197" t="n">
        <v>3.706895052474509</v>
      </c>
      <c r="AQ197" t="n">
        <v>74601.3</v>
      </c>
      <c r="AR197" t="n">
        <v>3.706895052474509</v>
      </c>
      <c r="AS197" t="n">
        <v>1.220571007853403</v>
      </c>
      <c r="BL197" t="n">
        <v>1</v>
      </c>
      <c r="BM197" t="n">
        <v>18065</v>
      </c>
      <c r="BN197" t="n">
        <v>0</v>
      </c>
      <c r="BO197" t="n">
        <v>18945</v>
      </c>
      <c r="BP197" t="inlineStr">
        <is>
          <t>G,G</t>
        </is>
      </c>
      <c r="BQ197" t="inlineStr">
        <is>
          <t>T2</t>
        </is>
      </c>
      <c r="BR197" t="n">
        <v>61120</v>
      </c>
      <c r="BS197" t="n">
        <v>3.38333794630501</v>
      </c>
      <c r="BT197" t="n">
        <v>0</v>
      </c>
      <c r="BU197" t="n">
        <v>61120</v>
      </c>
      <c r="BV197" t="n">
        <v>3.38333794630501</v>
      </c>
      <c r="BY197" t="n">
        <v>61120</v>
      </c>
      <c r="BZ197" t="n">
        <v>3.38333794630501</v>
      </c>
      <c r="CP197" t="inlineStr">
        <is>
          <t>反舞弊调查部</t>
        </is>
      </c>
      <c r="CQ197" t="inlineStr">
        <is>
          <t>3,3</t>
        </is>
      </c>
      <c r="CR197" t="n">
        <v>6</v>
      </c>
      <c r="CS197" t="inlineStr">
        <is>
          <t>T2</t>
        </is>
      </c>
      <c r="CT197" t="inlineStr">
        <is>
          <t>N</t>
        </is>
      </c>
    </row>
    <row r="198">
      <c r="A198" t="inlineStr">
        <is>
          <t>vincentQian(钱阳)</t>
        </is>
      </c>
      <c r="C198" t="n">
        <v>41930499</v>
      </c>
      <c r="D198" t="inlineStr">
        <is>
          <t>财会及报告管理部</t>
        </is>
      </c>
      <c r="E198" t="inlineStr">
        <is>
          <t>应收管理中心</t>
        </is>
      </c>
      <c r="G198" t="inlineStr">
        <is>
          <t>S2职能系统－财经线/财会及报告管理部/应收管理中心</t>
        </is>
      </c>
      <c r="H198" s="188" t="n">
        <v>42676</v>
      </c>
      <c r="I198" t="inlineStr">
        <is>
          <t>高校招聘</t>
        </is>
      </c>
      <c r="J198" t="inlineStr">
        <is>
          <t>财经类－FN</t>
        </is>
      </c>
      <c r="K198" t="inlineStr">
        <is>
          <t>会计</t>
        </is>
      </c>
      <c r="L198" t="inlineStr">
        <is>
          <t>S5</t>
        </is>
      </c>
      <c r="N198" t="inlineStr">
        <is>
          <t>T1</t>
        </is>
      </c>
      <c r="Q198" t="inlineStr">
        <is>
          <t>G,G</t>
        </is>
      </c>
      <c r="U198" t="n">
        <v>31674.8</v>
      </c>
      <c r="V198" t="n">
        <v>0.083333</v>
      </c>
      <c r="W198" t="inlineStr">
        <is>
          <t>CNY</t>
        </is>
      </c>
      <c r="X198" t="n">
        <v>1</v>
      </c>
      <c r="Y198" t="n">
        <v>29854.68</v>
      </c>
      <c r="Z198" t="n">
        <v>0</v>
      </c>
      <c r="AA198" t="n">
        <v>63349.6</v>
      </c>
      <c r="AB198" t="n">
        <v>65305</v>
      </c>
      <c r="AC198" t="n">
        <v>35435</v>
      </c>
      <c r="AF198" t="n">
        <v>0</v>
      </c>
      <c r="AG198" t="n">
        <v>164089.6</v>
      </c>
      <c r="AH198" t="n">
        <v>5.49627730057733</v>
      </c>
      <c r="AI198" t="n">
        <v>164089.6</v>
      </c>
      <c r="AJ198" t="n">
        <v>5.49627730057733</v>
      </c>
      <c r="AK198" t="n">
        <v>4.309361212379433</v>
      </c>
      <c r="AQ198" t="n">
        <v>164089.6</v>
      </c>
      <c r="AR198" t="n">
        <v>5.49627730057733</v>
      </c>
      <c r="AS198" t="n">
        <v>1.073779406471878</v>
      </c>
      <c r="BL198" t="n">
        <v>1</v>
      </c>
      <c r="BM198" t="n">
        <v>26170</v>
      </c>
      <c r="BN198" t="n">
        <v>0</v>
      </c>
      <c r="BO198" t="n">
        <v>27005</v>
      </c>
      <c r="BP198" t="inlineStr">
        <is>
          <t>G,O</t>
        </is>
      </c>
      <c r="BQ198" t="inlineStr">
        <is>
          <t>T1</t>
        </is>
      </c>
      <c r="BR198" t="n">
        <v>108795</v>
      </c>
      <c r="BS198" t="n">
        <v>4.157241115781429</v>
      </c>
      <c r="BT198" t="n">
        <v>44020</v>
      </c>
      <c r="BU198" t="n">
        <v>152815</v>
      </c>
      <c r="BV198" t="n">
        <v>5.839319831868552</v>
      </c>
      <c r="BY198" t="n">
        <v>152815</v>
      </c>
      <c r="BZ198" t="n">
        <v>5.839319831868552</v>
      </c>
      <c r="CP198" t="inlineStr">
        <is>
          <t>财会及报告管理部</t>
        </is>
      </c>
      <c r="CQ198" t="inlineStr">
        <is>
          <t>3,3</t>
        </is>
      </c>
      <c r="CR198" t="n">
        <v>5</v>
      </c>
      <c r="CS198" t="inlineStr">
        <is>
          <t>T1</t>
        </is>
      </c>
      <c r="CT198" t="inlineStr">
        <is>
          <t>N</t>
        </is>
      </c>
    </row>
    <row r="199">
      <c r="A199" t="inlineStr">
        <is>
          <t>lucyZou(邹霞)</t>
        </is>
      </c>
      <c r="C199" t="n">
        <v>59489941</v>
      </c>
      <c r="D199" t="inlineStr">
        <is>
          <t>税务部</t>
        </is>
      </c>
      <c r="E199" t="inlineStr">
        <is>
          <t>税务部</t>
        </is>
      </c>
      <c r="G199" t="inlineStr">
        <is>
          <t>S2职能系统－财经线/税务部</t>
        </is>
      </c>
      <c r="H199" s="188" t="n">
        <v>44933</v>
      </c>
      <c r="I199" t="inlineStr">
        <is>
          <t>社会招聘</t>
        </is>
      </c>
      <c r="J199" t="inlineStr">
        <is>
          <t>财经类－FN</t>
        </is>
      </c>
      <c r="K199" t="inlineStr">
        <is>
          <t>税务</t>
        </is>
      </c>
      <c r="L199" t="inlineStr">
        <is>
          <t>S9</t>
        </is>
      </c>
      <c r="N199" t="inlineStr">
        <is>
          <t>T1#</t>
        </is>
      </c>
      <c r="Q199" t="inlineStr">
        <is>
          <t>G,G</t>
        </is>
      </c>
      <c r="U199" t="n">
        <v>38546.4</v>
      </c>
      <c r="V199" t="n">
        <v>0.083333</v>
      </c>
      <c r="W199" t="inlineStr">
        <is>
          <t>CNY</t>
        </is>
      </c>
      <c r="X199" t="n">
        <v>1</v>
      </c>
      <c r="Y199" t="n">
        <v>34879.21</v>
      </c>
      <c r="Z199" t="n">
        <v>0</v>
      </c>
      <c r="AA199" t="n">
        <v>77092.8</v>
      </c>
      <c r="AB199" t="n">
        <v>118665</v>
      </c>
      <c r="AC199" t="n">
        <v>42960</v>
      </c>
      <c r="AF199" t="n">
        <v>0</v>
      </c>
      <c r="AG199" t="n">
        <v>238717.8</v>
      </c>
      <c r="AH199" t="n">
        <v>6.844128637087824</v>
      </c>
      <c r="AI199" t="n">
        <v>238717.8</v>
      </c>
      <c r="AJ199" t="n">
        <v>6.844128637087824</v>
      </c>
      <c r="AK199" t="n">
        <v>5.612449364535492</v>
      </c>
      <c r="AQ199" t="n">
        <v>238717.8</v>
      </c>
      <c r="AR199" t="n">
        <v>6.844128637087824</v>
      </c>
      <c r="AS199" t="n">
        <v>6.895372616984401</v>
      </c>
      <c r="BL199" t="n">
        <v>0.980821917808219</v>
      </c>
      <c r="BM199" t="n">
        <v>32675</v>
      </c>
      <c r="BN199" t="n">
        <v>0</v>
      </c>
      <c r="BO199" t="n">
        <v>35300</v>
      </c>
      <c r="BP199" t="inlineStr">
        <is>
          <t>U,G</t>
        </is>
      </c>
      <c r="BQ199" t="inlineStr">
        <is>
          <t>T1#</t>
        </is>
      </c>
      <c r="BR199" t="n">
        <v>34620</v>
      </c>
      <c r="BS199" t="n">
        <v>1.059525631216526</v>
      </c>
      <c r="BT199" t="n">
        <v>0</v>
      </c>
      <c r="BU199" t="n">
        <v>34620</v>
      </c>
      <c r="BV199" t="n">
        <v>1.059525631216526</v>
      </c>
      <c r="BY199" t="n">
        <v>34620</v>
      </c>
      <c r="BZ199" t="n">
        <v>1.059525631216526</v>
      </c>
      <c r="CP199" t="inlineStr">
        <is>
          <t>税务部</t>
        </is>
      </c>
      <c r="CQ199" t="inlineStr">
        <is>
          <t>3,3</t>
        </is>
      </c>
      <c r="CR199" t="n">
        <v>9</v>
      </c>
      <c r="CS199" t="inlineStr">
        <is>
          <t>T1#</t>
        </is>
      </c>
      <c r="CT199" t="inlineStr">
        <is>
          <t>N</t>
        </is>
      </c>
    </row>
    <row r="200">
      <c r="A200" t="inlineStr">
        <is>
          <t>christinaFu(傅艳)</t>
        </is>
      </c>
      <c r="C200" t="n">
        <v>43153200</v>
      </c>
      <c r="D200" t="inlineStr">
        <is>
          <t>风险管理和内部控制</t>
        </is>
      </c>
      <c r="E200" t="inlineStr">
        <is>
          <t>IEG风控中心</t>
        </is>
      </c>
      <c r="G200" t="inlineStr">
        <is>
          <t>S2职能系统－财经线/风险管理和内部控制/IEG风控中心</t>
        </is>
      </c>
      <c r="H200" s="188" t="n">
        <v>44420</v>
      </c>
      <c r="I200" t="inlineStr">
        <is>
          <t>高校招聘</t>
        </is>
      </c>
      <c r="J200" t="inlineStr">
        <is>
          <t>财经类－FN</t>
        </is>
      </c>
      <c r="K200" t="inlineStr">
        <is>
          <t>风险管理</t>
        </is>
      </c>
      <c r="L200" t="inlineStr">
        <is>
          <t>S5</t>
        </is>
      </c>
      <c r="N200" t="inlineStr">
        <is>
          <t>T2</t>
        </is>
      </c>
      <c r="Q200" t="inlineStr">
        <is>
          <t>G,G</t>
        </is>
      </c>
      <c r="U200" t="n">
        <v>20130.1</v>
      </c>
      <c r="V200" t="n">
        <v>0.083333</v>
      </c>
      <c r="W200" t="inlineStr">
        <is>
          <t>CNY</t>
        </is>
      </c>
      <c r="X200" t="n">
        <v>1</v>
      </c>
      <c r="Y200" t="n">
        <v>18573.37</v>
      </c>
      <c r="Z200" t="n">
        <v>0</v>
      </c>
      <c r="AA200" t="n">
        <v>40260.2</v>
      </c>
      <c r="AB200" t="n">
        <v>22770</v>
      </c>
      <c r="AC200" t="n">
        <v>0</v>
      </c>
      <c r="AF200" t="n">
        <v>0</v>
      </c>
      <c r="AG200" t="n">
        <v>63030.2</v>
      </c>
      <c r="AH200" t="n">
        <v>3.393579086617022</v>
      </c>
      <c r="AI200" t="n">
        <v>63030.2</v>
      </c>
      <c r="AJ200" t="n">
        <v>3.393579086617022</v>
      </c>
      <c r="AK200" t="n">
        <v>3.393579086617022</v>
      </c>
      <c r="AQ200" t="n">
        <v>63030.2</v>
      </c>
      <c r="AR200" t="n">
        <v>3.393579086617022</v>
      </c>
      <c r="AS200" t="n">
        <v>1.0222218618229</v>
      </c>
      <c r="BL200" t="n">
        <v>1</v>
      </c>
      <c r="BM200" t="n">
        <v>17835</v>
      </c>
      <c r="BN200" t="n">
        <v>0</v>
      </c>
      <c r="BO200" t="n">
        <v>18095</v>
      </c>
      <c r="BP200" t="inlineStr">
        <is>
          <t>G,G</t>
        </is>
      </c>
      <c r="BQ200" t="inlineStr">
        <is>
          <t>T2</t>
        </is>
      </c>
      <c r="BR200" t="n">
        <v>61660</v>
      </c>
      <c r="BS200" t="n">
        <v>3.457246986262966</v>
      </c>
      <c r="BT200" t="n">
        <v>0</v>
      </c>
      <c r="BU200" t="n">
        <v>61660</v>
      </c>
      <c r="BV200" t="n">
        <v>3.457246986262966</v>
      </c>
      <c r="BY200" t="n">
        <v>61660</v>
      </c>
      <c r="BZ200" t="n">
        <v>3.457246986262966</v>
      </c>
      <c r="CP200" t="inlineStr">
        <is>
          <t>风险管理和内部控制</t>
        </is>
      </c>
      <c r="CQ200" t="inlineStr">
        <is>
          <t>3,3</t>
        </is>
      </c>
      <c r="CR200" t="n">
        <v>5</v>
      </c>
      <c r="CS200" t="inlineStr">
        <is>
          <t>T2</t>
        </is>
      </c>
      <c r="CT200" t="inlineStr">
        <is>
          <t>N</t>
        </is>
      </c>
    </row>
    <row r="201">
      <c r="A201" t="inlineStr">
        <is>
          <t>evelynShen(沈茹畅)</t>
        </is>
      </c>
      <c r="C201" t="n">
        <v>31546688</v>
      </c>
      <c r="D201" t="inlineStr">
        <is>
          <t>CFO办公室</t>
        </is>
      </c>
      <c r="E201" t="inlineStr">
        <is>
          <t>管理决策委员会</t>
        </is>
      </c>
      <c r="G201" t="inlineStr">
        <is>
          <t>S2职能系统－财经线/CFO办公室/管理决策委员会</t>
        </is>
      </c>
      <c r="H201" s="188" t="n">
        <v>37248</v>
      </c>
      <c r="I201" t="inlineStr">
        <is>
          <t>高校招聘</t>
        </is>
      </c>
      <c r="J201" t="inlineStr">
        <is>
          <t>财经类－FN</t>
        </is>
      </c>
      <c r="K201" t="inlineStr">
        <is>
          <t>投资者关系</t>
        </is>
      </c>
      <c r="L201" t="inlineStr">
        <is>
          <t>S6</t>
        </is>
      </c>
      <c r="N201" t="inlineStr">
        <is>
          <t>T1#</t>
        </is>
      </c>
      <c r="Q201" t="inlineStr">
        <is>
          <t>G,G</t>
        </is>
      </c>
      <c r="U201" t="n">
        <v>32193.05</v>
      </c>
      <c r="V201" t="n">
        <v>0.083333</v>
      </c>
      <c r="W201" t="inlineStr">
        <is>
          <t>CNY</t>
        </is>
      </c>
      <c r="X201" t="n">
        <v>1</v>
      </c>
      <c r="Y201" t="n">
        <v>29173.74</v>
      </c>
      <c r="Z201" t="n">
        <v>0</v>
      </c>
      <c r="AA201" t="n">
        <v>64386.1</v>
      </c>
      <c r="AB201" t="n">
        <v>104055</v>
      </c>
      <c r="AC201" t="n">
        <v>37740</v>
      </c>
      <c r="AF201" t="n">
        <v>0</v>
      </c>
      <c r="AG201" t="n">
        <v>206181.1</v>
      </c>
      <c r="AH201" t="n">
        <v>7.067352351806796</v>
      </c>
      <c r="AI201" t="n">
        <v>206181.1</v>
      </c>
      <c r="AJ201" t="n">
        <v>7.067352351806796</v>
      </c>
      <c r="AK201" t="n">
        <v>5.773723218209253</v>
      </c>
      <c r="AQ201" t="n">
        <v>206181.1</v>
      </c>
      <c r="AR201" t="n">
        <v>7.067352351806796</v>
      </c>
      <c r="AS201" t="n">
        <v>0.9745289974949189</v>
      </c>
      <c r="BL201" t="n">
        <v>1</v>
      </c>
      <c r="BM201" t="n">
        <v>28875</v>
      </c>
      <c r="BN201" t="n">
        <v>0</v>
      </c>
      <c r="BO201" t="n">
        <v>30235</v>
      </c>
      <c r="BP201" t="inlineStr">
        <is>
          <t>G,G</t>
        </is>
      </c>
      <c r="BQ201" t="inlineStr">
        <is>
          <t>T1#</t>
        </is>
      </c>
      <c r="BR201" t="n">
        <v>155270</v>
      </c>
      <c r="BS201" t="n">
        <v>5.377316017316017</v>
      </c>
      <c r="BT201" t="n">
        <v>56300</v>
      </c>
      <c r="BU201" t="n">
        <v>211570</v>
      </c>
      <c r="BV201" t="n">
        <v>7.327099567099567</v>
      </c>
      <c r="BY201" t="n">
        <v>211570</v>
      </c>
      <c r="BZ201" t="n">
        <v>7.327099567099567</v>
      </c>
      <c r="CP201" t="inlineStr">
        <is>
          <t>CFO办公室</t>
        </is>
      </c>
      <c r="CQ201" t="inlineStr">
        <is>
          <t>3,3</t>
        </is>
      </c>
      <c r="CR201" t="n">
        <v>6</v>
      </c>
      <c r="CS201" t="inlineStr">
        <is>
          <t>T1#</t>
        </is>
      </c>
      <c r="CT201" t="inlineStr">
        <is>
          <t>N</t>
        </is>
      </c>
    </row>
    <row r="202">
      <c r="A202" t="inlineStr">
        <is>
          <t>fredShi(史飞雄)</t>
        </is>
      </c>
      <c r="C202" t="n">
        <v>51184834</v>
      </c>
      <c r="D202" t="inlineStr">
        <is>
          <t>资金管理</t>
        </is>
      </c>
      <c r="E202" t="inlineStr">
        <is>
          <t>资金结算及风险控制中心</t>
        </is>
      </c>
      <c r="G202" t="inlineStr">
        <is>
          <t>S2职能系统－财经线/资金管理/资金结算及风险控制中心</t>
        </is>
      </c>
      <c r="H202" s="188" t="n">
        <v>39349</v>
      </c>
      <c r="I202" t="inlineStr">
        <is>
          <t>高校招聘</t>
        </is>
      </c>
      <c r="J202" t="inlineStr">
        <is>
          <t>财经类－FN</t>
        </is>
      </c>
      <c r="K202" t="inlineStr">
        <is>
          <t>资金管理</t>
        </is>
      </c>
      <c r="L202" t="inlineStr">
        <is>
          <t>S7</t>
        </is>
      </c>
      <c r="N202" t="inlineStr">
        <is>
          <t>T1#</t>
        </is>
      </c>
      <c r="Q202" t="inlineStr">
        <is>
          <t>G,G</t>
        </is>
      </c>
      <c r="U202" t="n">
        <v>31665.8</v>
      </c>
      <c r="V202" t="n">
        <v>0.083333</v>
      </c>
      <c r="W202" t="inlineStr">
        <is>
          <t>CNY</t>
        </is>
      </c>
      <c r="X202" t="n">
        <v>1</v>
      </c>
      <c r="Y202" t="n">
        <v>29885.05</v>
      </c>
      <c r="Z202" t="n">
        <v>0</v>
      </c>
      <c r="AA202" t="n">
        <v>63331.6</v>
      </c>
      <c r="AB202" t="n">
        <v>106320</v>
      </c>
      <c r="AC202" t="n">
        <v>57310</v>
      </c>
      <c r="AF202" t="n">
        <v>0</v>
      </c>
      <c r="AG202" t="n">
        <v>226961.6</v>
      </c>
      <c r="AH202" t="n">
        <v>7.59448620631386</v>
      </c>
      <c r="AI202" t="n">
        <v>226961.6</v>
      </c>
      <c r="AJ202" t="n">
        <v>7.59448620631386</v>
      </c>
      <c r="AK202" t="n">
        <v>5.676804957662778</v>
      </c>
      <c r="AQ202" t="n">
        <v>226961.6</v>
      </c>
      <c r="AR202" t="n">
        <v>7.59448620631386</v>
      </c>
      <c r="AS202" t="n">
        <v>1.143296980077072</v>
      </c>
      <c r="BL202" t="n">
        <v>1</v>
      </c>
      <c r="BM202" t="n">
        <v>26650</v>
      </c>
      <c r="BN202" t="n">
        <v>0</v>
      </c>
      <c r="BO202" t="n">
        <v>28545</v>
      </c>
      <c r="BP202" t="inlineStr">
        <is>
          <t>G,G</t>
        </is>
      </c>
      <c r="BQ202" t="inlineStr">
        <is>
          <t>T1#</t>
        </is>
      </c>
      <c r="BR202" t="n">
        <v>149740</v>
      </c>
      <c r="BS202" t="n">
        <v>5.618761726078799</v>
      </c>
      <c r="BT202" t="n">
        <v>48775</v>
      </c>
      <c r="BU202" t="n">
        <v>198515</v>
      </c>
      <c r="BV202" t="n">
        <v>7.448968105065666</v>
      </c>
      <c r="BY202" t="n">
        <v>198515</v>
      </c>
      <c r="BZ202" t="n">
        <v>7.448968105065666</v>
      </c>
      <c r="CP202" t="inlineStr">
        <is>
          <t>资金管理</t>
        </is>
      </c>
      <c r="CQ202" t="inlineStr">
        <is>
          <t>3,3</t>
        </is>
      </c>
      <c r="CR202" t="n">
        <v>7</v>
      </c>
      <c r="CS202" t="inlineStr">
        <is>
          <t>T1#</t>
        </is>
      </c>
      <c r="CT202" t="inlineStr">
        <is>
          <t>N</t>
        </is>
      </c>
    </row>
    <row r="203">
      <c r="A203" t="inlineStr">
        <is>
          <t>henryXie(谢曦军)</t>
        </is>
      </c>
      <c r="C203" t="n">
        <v>9187571</v>
      </c>
      <c r="D203" t="inlineStr">
        <is>
          <t>财经IT管理部</t>
        </is>
      </c>
      <c r="E203" t="inlineStr">
        <is>
          <t>中台开发中心</t>
        </is>
      </c>
      <c r="G203" t="inlineStr">
        <is>
          <t>S2职能系统－财经线/财经IT管理部/中台开发中心</t>
        </is>
      </c>
      <c r="H203" s="188" t="n">
        <v>40569</v>
      </c>
      <c r="I203" t="inlineStr">
        <is>
          <t>社会招聘</t>
        </is>
      </c>
      <c r="J203" t="inlineStr">
        <is>
          <t>技术研发类－TRD</t>
        </is>
      </c>
      <c r="K203" t="inlineStr">
        <is>
          <t>应用开发</t>
        </is>
      </c>
      <c r="L203" t="inlineStr">
        <is>
          <t>T9</t>
        </is>
      </c>
      <c r="N203" t="inlineStr">
        <is>
          <t>T1#</t>
        </is>
      </c>
      <c r="Q203" t="inlineStr">
        <is>
          <t>G,U</t>
        </is>
      </c>
      <c r="U203" t="n">
        <v>55222.3</v>
      </c>
      <c r="V203" t="n">
        <v>0.083333</v>
      </c>
      <c r="W203" t="inlineStr">
        <is>
          <t>CNY</t>
        </is>
      </c>
      <c r="X203" t="n">
        <v>1</v>
      </c>
      <c r="Y203" t="n">
        <v>53938.87</v>
      </c>
      <c r="Z203" t="n">
        <v>0</v>
      </c>
      <c r="AA203" t="n">
        <v>55222.3</v>
      </c>
      <c r="AB203" t="n">
        <v>173115</v>
      </c>
      <c r="AC203" t="n">
        <v>0</v>
      </c>
      <c r="AF203" t="n">
        <v>0</v>
      </c>
      <c r="AG203" t="n">
        <v>228337.3</v>
      </c>
      <c r="AH203" t="n">
        <v>4.233260726448292</v>
      </c>
      <c r="AI203" t="n">
        <v>228337.3</v>
      </c>
      <c r="AJ203" t="n">
        <v>4.233260726448292</v>
      </c>
      <c r="AK203" t="n">
        <v>4.233260726448292</v>
      </c>
      <c r="AQ203" t="n">
        <v>228337.3</v>
      </c>
      <c r="AR203" t="n">
        <v>4.233260726448292</v>
      </c>
      <c r="AS203" t="n">
        <v>0.6954823873414251</v>
      </c>
      <c r="BL203" t="n">
        <v>1</v>
      </c>
      <c r="BM203" t="n">
        <v>46375</v>
      </c>
      <c r="BN203" t="n">
        <v>0</v>
      </c>
      <c r="BO203" t="n">
        <v>47475</v>
      </c>
      <c r="BP203" t="inlineStr">
        <is>
          <t>G,G</t>
        </is>
      </c>
      <c r="BQ203" t="inlineStr">
        <is>
          <t>T1#</t>
        </is>
      </c>
      <c r="BR203" t="n">
        <v>256505</v>
      </c>
      <c r="BS203" t="n">
        <v>5.531105121293801</v>
      </c>
      <c r="BT203" t="n">
        <v>71810</v>
      </c>
      <c r="BU203" t="n">
        <v>328315</v>
      </c>
      <c r="BV203" t="n">
        <v>7.079568733153639</v>
      </c>
      <c r="BY203" t="n">
        <v>328315</v>
      </c>
      <c r="BZ203" t="n">
        <v>7.079568733153639</v>
      </c>
      <c r="CP203" t="inlineStr">
        <is>
          <t>财经IT管理部</t>
        </is>
      </c>
      <c r="CQ203" t="inlineStr">
        <is>
          <t>3,1</t>
        </is>
      </c>
      <c r="CR203" t="n">
        <v>9</v>
      </c>
      <c r="CS203" t="inlineStr">
        <is>
          <t>T1#</t>
        </is>
      </c>
      <c r="CT203" t="inlineStr">
        <is>
          <t>N</t>
        </is>
      </c>
    </row>
    <row r="204">
      <c r="A204" t="inlineStr">
        <is>
          <t>ruthXia(夏菲)</t>
        </is>
      </c>
      <c r="C204" t="n">
        <v>56348363</v>
      </c>
      <c r="D204" t="inlineStr">
        <is>
          <t>海外财经中心</t>
        </is>
      </c>
      <c r="E204" t="inlineStr">
        <is>
          <t>海外本地财务</t>
        </is>
      </c>
      <c r="G204" t="inlineStr">
        <is>
          <t>S2职能系统－财经线/海外财经中心/海外本地财务</t>
        </is>
      </c>
      <c r="H204" s="188" t="n">
        <v>39752</v>
      </c>
      <c r="I204" t="inlineStr">
        <is>
          <t>高校招聘</t>
        </is>
      </c>
      <c r="J204" t="inlineStr">
        <is>
          <t>财经类－FN</t>
        </is>
      </c>
      <c r="K204" t="inlineStr">
        <is>
          <t>财务管理</t>
        </is>
      </c>
      <c r="L204" t="inlineStr">
        <is>
          <t>S9</t>
        </is>
      </c>
      <c r="N204" t="inlineStr">
        <is>
          <t>T1</t>
        </is>
      </c>
      <c r="Q204" t="inlineStr">
        <is>
          <t>O,G</t>
        </is>
      </c>
      <c r="U204" t="n">
        <v>55744.15</v>
      </c>
      <c r="V204" t="n">
        <v>0.083333</v>
      </c>
      <c r="W204" t="inlineStr">
        <is>
          <t>CNY</t>
        </is>
      </c>
      <c r="X204" t="n">
        <v>1</v>
      </c>
      <c r="Y204" t="n">
        <v>52032.54</v>
      </c>
      <c r="Z204" t="n">
        <v>0</v>
      </c>
      <c r="AA204" t="n">
        <v>167232.45</v>
      </c>
      <c r="AB204" t="n">
        <v>113360</v>
      </c>
      <c r="AC204" t="n">
        <v>68810</v>
      </c>
      <c r="AF204" t="n">
        <v>0</v>
      </c>
      <c r="AG204" t="n">
        <v>349402.45</v>
      </c>
      <c r="AH204" t="n">
        <v>6.715075796799464</v>
      </c>
      <c r="AI204" t="n">
        <v>349402.45</v>
      </c>
      <c r="AJ204" t="n">
        <v>6.715075796799464</v>
      </c>
      <c r="AK204" t="n">
        <v>5.392634109347727</v>
      </c>
      <c r="AQ204" t="n">
        <v>349402.45</v>
      </c>
      <c r="AR204" t="n">
        <v>6.715075796799464</v>
      </c>
      <c r="AS204" t="n">
        <v>1.339502194790009</v>
      </c>
      <c r="BL204" t="n">
        <v>1</v>
      </c>
      <c r="BM204" t="n">
        <v>44765</v>
      </c>
      <c r="BN204" t="n">
        <v>0</v>
      </c>
      <c r="BO204" t="n">
        <v>48540</v>
      </c>
      <c r="BP204" t="inlineStr">
        <is>
          <t>G,O</t>
        </is>
      </c>
      <c r="BQ204" t="inlineStr">
        <is>
          <t>T1</t>
        </is>
      </c>
      <c r="BR204" t="n">
        <v>195790</v>
      </c>
      <c r="BS204" t="n">
        <v>4.373729476153245</v>
      </c>
      <c r="BT204" t="n">
        <v>65055</v>
      </c>
      <c r="BU204" t="n">
        <v>260845</v>
      </c>
      <c r="BV204" t="n">
        <v>5.826985368033061</v>
      </c>
      <c r="BY204" t="n">
        <v>260845</v>
      </c>
      <c r="BZ204" t="n">
        <v>5.826985368033061</v>
      </c>
      <c r="CP204" t="inlineStr">
        <is>
          <t>海外财经中心</t>
        </is>
      </c>
      <c r="CQ204" t="inlineStr">
        <is>
          <t>5,3</t>
        </is>
      </c>
      <c r="CR204" t="n">
        <v>9</v>
      </c>
      <c r="CS204" t="inlineStr">
        <is>
          <t>T1</t>
        </is>
      </c>
      <c r="CT204" t="inlineStr">
        <is>
          <t>N</t>
        </is>
      </c>
    </row>
    <row r="205">
      <c r="A205" t="inlineStr">
        <is>
          <t>charlotteZeng(曾露妍)</t>
        </is>
      </c>
      <c r="C205" t="n">
        <v>88653318</v>
      </c>
      <c r="D205" t="inlineStr">
        <is>
          <t>风险管理和内部控制</t>
        </is>
      </c>
      <c r="E205" t="inlineStr">
        <is>
          <t>采购财务管理中心</t>
        </is>
      </c>
      <c r="G205" t="inlineStr">
        <is>
          <t>S2职能系统－财经线/风险管理和内部控制/采购财务管理中心</t>
        </is>
      </c>
      <c r="H205" s="188" t="n">
        <v>45632</v>
      </c>
      <c r="I205" t="inlineStr">
        <is>
          <t>社会招聘</t>
        </is>
      </c>
      <c r="J205" t="inlineStr">
        <is>
          <t>财经类－FN</t>
        </is>
      </c>
      <c r="K205" t="inlineStr">
        <is>
          <t>风险管理</t>
        </is>
      </c>
      <c r="L205" t="inlineStr">
        <is>
          <t>S8</t>
        </is>
      </c>
      <c r="N205" t="inlineStr">
        <is>
          <t>T2</t>
        </is>
      </c>
      <c r="Q205" t="inlineStr">
        <is>
          <t>N,N</t>
        </is>
      </c>
      <c r="U205" t="n">
        <v>46534.9</v>
      </c>
      <c r="V205" t="n">
        <v>0.083333</v>
      </c>
      <c r="W205" t="inlineStr">
        <is>
          <t>CNY</t>
        </is>
      </c>
      <c r="X205" t="n">
        <v>0.068493</v>
      </c>
      <c r="Y205" t="n">
        <v>46534.9</v>
      </c>
      <c r="Z205" t="n">
        <v>0</v>
      </c>
      <c r="AA205" t="n">
        <v>3187.31</v>
      </c>
      <c r="AB205" t="n">
        <v>0</v>
      </c>
      <c r="AC205" t="n">
        <v>0</v>
      </c>
      <c r="AF205" t="n">
        <v>0</v>
      </c>
      <c r="AG205" t="n">
        <v>3187.31</v>
      </c>
      <c r="AH205" t="n">
        <v>0.06849289458019679</v>
      </c>
      <c r="AI205" t="n">
        <v>3187.31</v>
      </c>
      <c r="AJ205" t="n">
        <v>0.06849289458019679</v>
      </c>
      <c r="AK205" t="n">
        <v>0.06849289458019679</v>
      </c>
      <c r="AQ205" t="n">
        <v>3187.31</v>
      </c>
      <c r="AR205" t="n">
        <v>0.06849289458019679</v>
      </c>
      <c r="BM205" t="n">
        <v>0</v>
      </c>
      <c r="BN205" t="n">
        <v>0</v>
      </c>
      <c r="BO205" t="n">
        <v>0</v>
      </c>
      <c r="BR205" t="n">
        <v>0</v>
      </c>
      <c r="BT205" t="n">
        <v>0</v>
      </c>
      <c r="BU205" t="n">
        <v>0</v>
      </c>
      <c r="BY205" t="n">
        <v>0</v>
      </c>
      <c r="CP205" t="inlineStr">
        <is>
          <t>风险管理和内部控制</t>
        </is>
      </c>
      <c r="CR205" t="n">
        <v>8</v>
      </c>
      <c r="CS205" t="inlineStr">
        <is>
          <t>T2</t>
        </is>
      </c>
      <c r="CT205" t="inlineStr">
        <is>
          <t>N</t>
        </is>
      </c>
    </row>
    <row r="206">
      <c r="A206" t="inlineStr">
        <is>
          <t>lisaGu(顾丽燕)</t>
        </is>
      </c>
      <c r="C206" t="n">
        <v>80168989</v>
      </c>
      <c r="D206" t="inlineStr">
        <is>
          <t>CFO办公室</t>
        </is>
      </c>
      <c r="E206" t="inlineStr">
        <is>
          <t>ESG协同办公室</t>
        </is>
      </c>
      <c r="G206" t="inlineStr">
        <is>
          <t>S2职能系统－财经线/CFO办公室/ESG协同办公室</t>
        </is>
      </c>
      <c r="H206" s="188" t="n">
        <v>38246</v>
      </c>
      <c r="I206" t="inlineStr">
        <is>
          <t>社会招聘</t>
        </is>
      </c>
      <c r="J206" t="inlineStr">
        <is>
          <t>财经类－FN</t>
        </is>
      </c>
      <c r="K206" t="inlineStr">
        <is>
          <t>投资者关系</t>
        </is>
      </c>
      <c r="L206" t="inlineStr">
        <is>
          <t>S6</t>
        </is>
      </c>
      <c r="N206" t="inlineStr">
        <is>
          <t>T1</t>
        </is>
      </c>
      <c r="Q206" t="inlineStr">
        <is>
          <t>O,G</t>
        </is>
      </c>
      <c r="U206" t="n">
        <v>29117.85</v>
      </c>
      <c r="V206" t="n">
        <v>0.083333</v>
      </c>
      <c r="W206" t="inlineStr">
        <is>
          <t>CNY</t>
        </is>
      </c>
      <c r="X206" t="n">
        <v>1</v>
      </c>
      <c r="Y206" t="n">
        <v>28282.68</v>
      </c>
      <c r="Z206" t="n">
        <v>0</v>
      </c>
      <c r="AA206" t="n">
        <v>87353.55</v>
      </c>
      <c r="AB206" t="n">
        <v>63585</v>
      </c>
      <c r="AC206" t="n">
        <v>56940</v>
      </c>
      <c r="AF206" t="n">
        <v>0</v>
      </c>
      <c r="AG206" t="n">
        <v>207878.55</v>
      </c>
      <c r="AH206" t="n">
        <v>7.350030124443652</v>
      </c>
      <c r="AI206" t="n">
        <v>207878.55</v>
      </c>
      <c r="AJ206" t="n">
        <v>7.350030124443652</v>
      </c>
      <c r="AK206" t="n">
        <v>5.336783854995353</v>
      </c>
      <c r="AQ206" t="n">
        <v>207878.55</v>
      </c>
      <c r="AR206" t="n">
        <v>7.350030124443652</v>
      </c>
      <c r="AS206" t="n">
        <v>1.366543189587168</v>
      </c>
      <c r="BL206" t="n">
        <v>1</v>
      </c>
      <c r="BM206" t="n">
        <v>24220</v>
      </c>
      <c r="BN206" t="n">
        <v>0</v>
      </c>
      <c r="BO206" t="n">
        <v>24975</v>
      </c>
      <c r="BP206" t="inlineStr">
        <is>
          <t>O,G</t>
        </is>
      </c>
      <c r="BQ206" t="inlineStr">
        <is>
          <t>T1</t>
        </is>
      </c>
      <c r="BR206" t="n">
        <v>104095</v>
      </c>
      <c r="BS206" t="n">
        <v>4.297894302229563</v>
      </c>
      <c r="BT206" t="n">
        <v>48025</v>
      </c>
      <c r="BU206" t="n">
        <v>152120</v>
      </c>
      <c r="BV206" t="n">
        <v>6.280759702725021</v>
      </c>
      <c r="BY206" t="n">
        <v>152120</v>
      </c>
      <c r="BZ206" t="n">
        <v>6.280759702725021</v>
      </c>
      <c r="CP206" t="inlineStr">
        <is>
          <t>CFO办公室</t>
        </is>
      </c>
      <c r="CQ206" t="inlineStr">
        <is>
          <t>5,3</t>
        </is>
      </c>
      <c r="CR206" t="n">
        <v>6</v>
      </c>
      <c r="CS206" t="inlineStr">
        <is>
          <t>T1</t>
        </is>
      </c>
      <c r="CT206" t="inlineStr">
        <is>
          <t>N</t>
        </is>
      </c>
    </row>
    <row r="207">
      <c r="A207" t="inlineStr">
        <is>
          <t>christinaChen(陈颖馨)</t>
        </is>
      </c>
      <c r="C207" t="n">
        <v>30585945</v>
      </c>
      <c r="D207" t="inlineStr">
        <is>
          <t>风险管理和内部控制</t>
        </is>
      </c>
      <c r="E207" t="inlineStr">
        <is>
          <t>WXG风控中心</t>
        </is>
      </c>
      <c r="G207" t="inlineStr">
        <is>
          <t>S2职能系统－财经线/风险管理和内部控制/WXG风控中心</t>
        </is>
      </c>
      <c r="H207" s="188" t="n">
        <v>43564</v>
      </c>
      <c r="I207" t="inlineStr">
        <is>
          <t>社会招聘</t>
        </is>
      </c>
      <c r="J207" t="inlineStr">
        <is>
          <t>财经类－FN</t>
        </is>
      </c>
      <c r="K207" t="inlineStr">
        <is>
          <t>风险管理</t>
        </is>
      </c>
      <c r="L207" t="inlineStr">
        <is>
          <t>S6</t>
        </is>
      </c>
      <c r="N207" t="inlineStr">
        <is>
          <t>T1</t>
        </is>
      </c>
      <c r="Q207" t="inlineStr">
        <is>
          <t>G,U</t>
        </is>
      </c>
      <c r="U207" t="n">
        <v>34213.9</v>
      </c>
      <c r="V207" t="n">
        <v>0.083333</v>
      </c>
      <c r="W207" t="inlineStr">
        <is>
          <t>CNY</t>
        </is>
      </c>
      <c r="X207" t="n">
        <v>1</v>
      </c>
      <c r="Y207" t="n">
        <v>31105.33</v>
      </c>
      <c r="Z207" t="n">
        <v>0</v>
      </c>
      <c r="AA207" t="n">
        <v>34213.9</v>
      </c>
      <c r="AB207" t="n">
        <v>73000</v>
      </c>
      <c r="AC207" t="n">
        <v>0</v>
      </c>
      <c r="AF207" t="n">
        <v>0</v>
      </c>
      <c r="AG207" t="n">
        <v>107213.9</v>
      </c>
      <c r="AH207" t="n">
        <v>3.446801561018642</v>
      </c>
      <c r="AI207" t="n">
        <v>107213.9</v>
      </c>
      <c r="AJ207" t="n">
        <v>3.446801561018642</v>
      </c>
      <c r="AK207" t="n">
        <v>3.446801561018642</v>
      </c>
      <c r="AQ207" t="n">
        <v>107213.9</v>
      </c>
      <c r="AR207" t="n">
        <v>3.446801561018642</v>
      </c>
      <c r="AS207" t="n">
        <v>0.6240077990862264</v>
      </c>
      <c r="BL207" t="n">
        <v>1</v>
      </c>
      <c r="BM207" t="n">
        <v>29490</v>
      </c>
      <c r="BN207" t="n">
        <v>0</v>
      </c>
      <c r="BO207" t="n">
        <v>31110</v>
      </c>
      <c r="BP207" t="inlineStr">
        <is>
          <t>O,G</t>
        </is>
      </c>
      <c r="BQ207" t="inlineStr">
        <is>
          <t>T1</t>
        </is>
      </c>
      <c r="BR207" t="n">
        <v>135270</v>
      </c>
      <c r="BS207" t="n">
        <v>4.586978636826043</v>
      </c>
      <c r="BT207" t="n">
        <v>36545</v>
      </c>
      <c r="BU207" t="n">
        <v>171815</v>
      </c>
      <c r="BV207" t="n">
        <v>5.826212275347576</v>
      </c>
      <c r="BY207" t="n">
        <v>171815</v>
      </c>
      <c r="BZ207" t="n">
        <v>5.826212275347576</v>
      </c>
      <c r="CP207" t="inlineStr">
        <is>
          <t>风险管理和内部控制</t>
        </is>
      </c>
      <c r="CQ207" t="inlineStr">
        <is>
          <t>3,1</t>
        </is>
      </c>
      <c r="CR207" t="n">
        <v>6</v>
      </c>
      <c r="CS207" t="inlineStr">
        <is>
          <t>T1</t>
        </is>
      </c>
      <c r="CT207" t="inlineStr">
        <is>
          <t>N</t>
        </is>
      </c>
    </row>
    <row r="208">
      <c r="A208" t="inlineStr">
        <is>
          <t>marcusZheng(郑亮健)</t>
        </is>
      </c>
      <c r="C208" t="n">
        <v>99666512</v>
      </c>
      <c r="D208" t="inlineStr">
        <is>
          <t>风险管理和内部控制</t>
        </is>
      </c>
      <c r="E208" t="inlineStr">
        <is>
          <t>S系统风控组</t>
        </is>
      </c>
      <c r="G208" t="inlineStr">
        <is>
          <t>S2职能系统－财经线/风险管理和内部控制/S系统风控组</t>
        </is>
      </c>
      <c r="H208" s="188" t="n">
        <v>43959</v>
      </c>
      <c r="I208" t="inlineStr">
        <is>
          <t>社会招聘</t>
        </is>
      </c>
      <c r="J208" t="inlineStr">
        <is>
          <t>财经类－FN</t>
        </is>
      </c>
      <c r="K208" t="inlineStr">
        <is>
          <t>风险管理</t>
        </is>
      </c>
      <c r="L208" t="inlineStr">
        <is>
          <t>S9</t>
        </is>
      </c>
      <c r="N208" t="inlineStr">
        <is>
          <t>T1#</t>
        </is>
      </c>
      <c r="Q208" t="inlineStr">
        <is>
          <t>G,O</t>
        </is>
      </c>
      <c r="U208" t="n">
        <v>38774.2</v>
      </c>
      <c r="V208" t="n">
        <v>0.083333</v>
      </c>
      <c r="W208" t="inlineStr">
        <is>
          <t>CNY</t>
        </is>
      </c>
      <c r="X208" t="n">
        <v>1</v>
      </c>
      <c r="Y208" t="n">
        <v>36121</v>
      </c>
      <c r="Z208" t="n">
        <v>0</v>
      </c>
      <c r="AA208" t="n">
        <v>116322.6</v>
      </c>
      <c r="AB208" t="n">
        <v>116370</v>
      </c>
      <c r="AC208" t="n">
        <v>69960</v>
      </c>
      <c r="AF208" t="n">
        <v>0</v>
      </c>
      <c r="AG208" t="n">
        <v>302652.6</v>
      </c>
      <c r="AH208" t="n">
        <v>8.378854406024196</v>
      </c>
      <c r="AI208" t="n">
        <v>302652.6</v>
      </c>
      <c r="AJ208" t="n">
        <v>8.378854406024196</v>
      </c>
      <c r="AK208" t="n">
        <v>6.442030951524044</v>
      </c>
      <c r="AQ208" t="n">
        <v>302652.6</v>
      </c>
      <c r="AR208" t="n">
        <v>8.378854406024196</v>
      </c>
      <c r="AS208" t="n">
        <v>1.212501902968631</v>
      </c>
      <c r="BL208" t="n">
        <v>1</v>
      </c>
      <c r="BM208" t="n">
        <v>31060</v>
      </c>
      <c r="BN208" t="n">
        <v>0</v>
      </c>
      <c r="BO208" t="n">
        <v>31135</v>
      </c>
      <c r="BP208" t="inlineStr">
        <is>
          <t>O,G</t>
        </is>
      </c>
      <c r="BQ208" t="inlineStr">
        <is>
          <t>T1#</t>
        </is>
      </c>
      <c r="BR208" t="n">
        <v>196355</v>
      </c>
      <c r="BS208" t="n">
        <v>6.321796522858983</v>
      </c>
      <c r="BT208" t="n">
        <v>53255</v>
      </c>
      <c r="BU208" t="n">
        <v>249610</v>
      </c>
      <c r="BV208" t="n">
        <v>8.036381197681907</v>
      </c>
      <c r="BY208" t="n">
        <v>249610</v>
      </c>
      <c r="BZ208" t="n">
        <v>8.036381197681907</v>
      </c>
      <c r="CP208" t="inlineStr">
        <is>
          <t>风险管理和内部控制</t>
        </is>
      </c>
      <c r="CQ208" t="inlineStr">
        <is>
          <t>5,3</t>
        </is>
      </c>
      <c r="CR208" t="n">
        <v>9</v>
      </c>
      <c r="CS208" t="inlineStr">
        <is>
          <t>T1#</t>
        </is>
      </c>
      <c r="CT208" t="inlineStr">
        <is>
          <t>N</t>
        </is>
      </c>
    </row>
    <row r="209">
      <c r="A209" t="inlineStr">
        <is>
          <t>ashleyZhou(周君)</t>
        </is>
      </c>
      <c r="C209" t="n">
        <v>82233294</v>
      </c>
      <c r="D209" t="inlineStr">
        <is>
          <t>FiT财务管理</t>
        </is>
      </c>
      <c r="E209" t="inlineStr">
        <is>
          <t>业务支持与分析中心</t>
        </is>
      </c>
      <c r="G209" t="inlineStr">
        <is>
          <t>S2职能系统－财经线/FiT财务管理/业务支持与分析中心</t>
        </is>
      </c>
      <c r="H209" s="188" t="n">
        <v>42191</v>
      </c>
      <c r="I209" t="inlineStr">
        <is>
          <t>高校招聘</t>
        </is>
      </c>
      <c r="J209" t="inlineStr">
        <is>
          <t>财经类－FN</t>
        </is>
      </c>
      <c r="K209" t="inlineStr">
        <is>
          <t>财务管理</t>
        </is>
      </c>
      <c r="L209" t="inlineStr">
        <is>
          <t>S5</t>
        </is>
      </c>
      <c r="N209" t="inlineStr">
        <is>
          <t>T2</t>
        </is>
      </c>
      <c r="Q209" t="inlineStr">
        <is>
          <t>O,G</t>
        </is>
      </c>
      <c r="U209" t="n">
        <v>27115.5</v>
      </c>
      <c r="V209" t="n">
        <v>0.083333</v>
      </c>
      <c r="W209" t="inlineStr">
        <is>
          <t>CNY</t>
        </is>
      </c>
      <c r="X209" t="n">
        <v>1</v>
      </c>
      <c r="Y209" t="n">
        <v>24747.37</v>
      </c>
      <c r="Z209" t="n">
        <v>0</v>
      </c>
      <c r="AA209" t="n">
        <v>81346.5</v>
      </c>
      <c r="AB209" t="n">
        <v>30570</v>
      </c>
      <c r="AC209" t="n">
        <v>0</v>
      </c>
      <c r="AF209" t="n">
        <v>0</v>
      </c>
      <c r="AG209" t="n">
        <v>111916.5</v>
      </c>
      <c r="AH209" t="n">
        <v>4.522359345659761</v>
      </c>
      <c r="AI209" t="n">
        <v>111916.5</v>
      </c>
      <c r="AJ209" t="n">
        <v>4.522359345659761</v>
      </c>
      <c r="AK209" t="n">
        <v>4.522359345659761</v>
      </c>
      <c r="AQ209" t="n">
        <v>111916.5</v>
      </c>
      <c r="AR209" t="n">
        <v>4.522359345659761</v>
      </c>
      <c r="AS209" t="n">
        <v>1.088099752078168</v>
      </c>
      <c r="BL209" t="n">
        <v>1</v>
      </c>
      <c r="BM209" t="n">
        <v>23600</v>
      </c>
      <c r="BN209" t="n">
        <v>0</v>
      </c>
      <c r="BO209" t="n">
        <v>25230</v>
      </c>
      <c r="BP209" t="inlineStr">
        <is>
          <t>O,G</t>
        </is>
      </c>
      <c r="BQ209" t="inlineStr">
        <is>
          <t>T2</t>
        </is>
      </c>
      <c r="BR209" t="n">
        <v>102855</v>
      </c>
      <c r="BS209" t="n">
        <v>4.358262711864406</v>
      </c>
      <c r="BT209" t="n">
        <v>0</v>
      </c>
      <c r="BU209" t="n">
        <v>102855</v>
      </c>
      <c r="BV209" t="n">
        <v>4.358262711864406</v>
      </c>
      <c r="BY209" t="n">
        <v>102855</v>
      </c>
      <c r="BZ209" t="n">
        <v>4.358262711864406</v>
      </c>
      <c r="CP209" t="inlineStr">
        <is>
          <t>FiT财务管理</t>
        </is>
      </c>
      <c r="CQ209" t="inlineStr">
        <is>
          <t>5,3</t>
        </is>
      </c>
      <c r="CR209" t="n">
        <v>5</v>
      </c>
      <c r="CS209" t="inlineStr">
        <is>
          <t>T2</t>
        </is>
      </c>
      <c r="CT209" t="inlineStr">
        <is>
          <t>N</t>
        </is>
      </c>
    </row>
    <row r="210">
      <c r="A210" t="inlineStr">
        <is>
          <t>maryFu(傅曼素)</t>
        </is>
      </c>
      <c r="C210" t="n">
        <v>57377298</v>
      </c>
      <c r="D210" t="inlineStr">
        <is>
          <t>财经线-公共</t>
        </is>
      </c>
      <c r="E210" t="inlineStr">
        <is>
          <t>财经线-公共</t>
        </is>
      </c>
      <c r="G210" t="inlineStr">
        <is>
          <t>S2职能系统－财经线/财经线-公共</t>
        </is>
      </c>
      <c r="H210" s="188" t="n">
        <v>41219</v>
      </c>
      <c r="I210" t="inlineStr">
        <is>
          <t>社会招聘</t>
        </is>
      </c>
      <c r="J210" t="inlineStr">
        <is>
          <t>财经类－FN</t>
        </is>
      </c>
      <c r="K210" t="inlineStr">
        <is>
          <t>财务管理</t>
        </is>
      </c>
      <c r="L210" t="inlineStr">
        <is>
          <t>S7</t>
        </is>
      </c>
      <c r="N210" t="inlineStr">
        <is>
          <t>T1</t>
        </is>
      </c>
      <c r="Q210" t="inlineStr">
        <is>
          <t>U,U</t>
        </is>
      </c>
      <c r="U210" t="n">
        <v>27395.55</v>
      </c>
      <c r="V210" t="n">
        <v>0.083333</v>
      </c>
      <c r="W210" t="inlineStr">
        <is>
          <t>CNY</t>
        </is>
      </c>
      <c r="X210" t="n">
        <v>1</v>
      </c>
      <c r="Y210" t="n">
        <v>24679.5</v>
      </c>
      <c r="Z210" t="n">
        <v>0</v>
      </c>
      <c r="AA210" t="n">
        <v>0</v>
      </c>
      <c r="AB210" t="n">
        <v>55425</v>
      </c>
      <c r="AC210" t="n">
        <v>0</v>
      </c>
      <c r="AF210" t="n">
        <v>0</v>
      </c>
      <c r="AG210" t="n">
        <v>55425</v>
      </c>
      <c r="AH210" t="n">
        <v>2.245791041147511</v>
      </c>
      <c r="AI210" t="n">
        <v>55425</v>
      </c>
      <c r="AJ210" t="n">
        <v>2.245791041147511</v>
      </c>
      <c r="AK210" t="n">
        <v>2.245791041147511</v>
      </c>
      <c r="AQ210" t="n">
        <v>55425</v>
      </c>
      <c r="AR210" t="n">
        <v>2.245791041147511</v>
      </c>
      <c r="AS210" t="n">
        <v>0.3373197005660033</v>
      </c>
      <c r="BL210" t="n">
        <v>1</v>
      </c>
      <c r="BM210" t="n">
        <v>22915</v>
      </c>
      <c r="BN210" t="n">
        <v>0</v>
      </c>
      <c r="BO210" t="n">
        <v>23350</v>
      </c>
      <c r="BP210" t="inlineStr">
        <is>
          <t>G,G</t>
        </is>
      </c>
      <c r="BQ210" t="inlineStr">
        <is>
          <t>T1#</t>
        </is>
      </c>
      <c r="BR210" t="n">
        <v>117620</v>
      </c>
      <c r="BS210" t="n">
        <v>5.132882391446651</v>
      </c>
      <c r="BT210" t="n">
        <v>46690</v>
      </c>
      <c r="BU210" t="n">
        <v>164310</v>
      </c>
      <c r="BV210" t="n">
        <v>7.170412393628627</v>
      </c>
      <c r="BY210" t="n">
        <v>164310</v>
      </c>
      <c r="BZ210" t="n">
        <v>7.170412393628627</v>
      </c>
      <c r="CP210" t="inlineStr">
        <is>
          <t>财经线-公共</t>
        </is>
      </c>
      <c r="CQ210" t="inlineStr">
        <is>
          <t>1,1</t>
        </is>
      </c>
      <c r="CR210" t="n">
        <v>7</v>
      </c>
      <c r="CS210" t="inlineStr">
        <is>
          <t>T1</t>
        </is>
      </c>
      <c r="CT210" t="inlineStr">
        <is>
          <t>N</t>
        </is>
      </c>
    </row>
    <row r="211">
      <c r="A211" t="inlineStr">
        <is>
          <t>penelopeGuo(郭瑶琳)</t>
        </is>
      </c>
      <c r="C211" t="n">
        <v>14712429</v>
      </c>
      <c r="D211" t="inlineStr">
        <is>
          <t>风险管理和内部控制</t>
        </is>
      </c>
      <c r="E211" t="inlineStr">
        <is>
          <t>PCG风控中心</t>
        </is>
      </c>
      <c r="G211" t="inlineStr">
        <is>
          <t>S2职能系统－财经线/风险管理和内部控制/PCG风控中心</t>
        </is>
      </c>
      <c r="H211" s="188" t="n">
        <v>43851</v>
      </c>
      <c r="I211" t="inlineStr">
        <is>
          <t>高校招聘</t>
        </is>
      </c>
      <c r="J211" t="inlineStr">
        <is>
          <t>财经类－FN</t>
        </is>
      </c>
      <c r="K211" t="inlineStr">
        <is>
          <t>风险管理</t>
        </is>
      </c>
      <c r="L211" t="inlineStr">
        <is>
          <t>S5</t>
        </is>
      </c>
      <c r="N211" t="inlineStr">
        <is>
          <t>T2</t>
        </is>
      </c>
      <c r="Q211" t="inlineStr">
        <is>
          <t>G,G</t>
        </is>
      </c>
      <c r="U211" t="n">
        <v>19528.3</v>
      </c>
      <c r="V211" t="n">
        <v>0.083333</v>
      </c>
      <c r="W211" t="inlineStr">
        <is>
          <t>CNY</t>
        </is>
      </c>
      <c r="X211" t="n">
        <v>1</v>
      </c>
      <c r="Y211" t="n">
        <v>19174.16</v>
      </c>
      <c r="Z211" t="n">
        <v>0</v>
      </c>
      <c r="AA211" t="n">
        <v>39056.6</v>
      </c>
      <c r="AB211" t="n">
        <v>28355</v>
      </c>
      <c r="AC211" t="n">
        <v>0</v>
      </c>
      <c r="AF211" t="n">
        <v>0</v>
      </c>
      <c r="AG211" t="n">
        <v>67411.60000000001</v>
      </c>
      <c r="AH211" t="n">
        <v>3.515752450172524</v>
      </c>
      <c r="AI211" t="n">
        <v>67411.60000000001</v>
      </c>
      <c r="AJ211" t="n">
        <v>3.515752450172524</v>
      </c>
      <c r="AK211" t="n">
        <v>3.515752450172524</v>
      </c>
      <c r="AQ211" t="n">
        <v>67411.60000000001</v>
      </c>
      <c r="AR211" t="n">
        <v>3.515752450172524</v>
      </c>
      <c r="AS211" t="n">
        <v>0.9242695550832934</v>
      </c>
      <c r="BL211" t="n">
        <v>1</v>
      </c>
      <c r="BM211" t="n">
        <v>16630</v>
      </c>
      <c r="BN211" t="n">
        <v>0</v>
      </c>
      <c r="BO211" t="n">
        <v>18095</v>
      </c>
      <c r="BP211" t="inlineStr">
        <is>
          <t>G,O</t>
        </is>
      </c>
      <c r="BQ211" t="inlineStr">
        <is>
          <t>T2</t>
        </is>
      </c>
      <c r="BR211" t="n">
        <v>72935</v>
      </c>
      <c r="BS211" t="n">
        <v>4.385748647023451</v>
      </c>
      <c r="BT211" t="n">
        <v>0</v>
      </c>
      <c r="BU211" t="n">
        <v>72935</v>
      </c>
      <c r="BV211" t="n">
        <v>4.385748647023451</v>
      </c>
      <c r="BY211" t="n">
        <v>72935</v>
      </c>
      <c r="BZ211" t="n">
        <v>4.385748647023451</v>
      </c>
      <c r="CP211" t="inlineStr">
        <is>
          <t>风险管理和内部控制</t>
        </is>
      </c>
      <c r="CQ211" t="inlineStr">
        <is>
          <t>3,3</t>
        </is>
      </c>
      <c r="CR211" t="n">
        <v>5</v>
      </c>
      <c r="CS211" t="inlineStr">
        <is>
          <t>T2</t>
        </is>
      </c>
      <c r="CT211" t="inlineStr">
        <is>
          <t>N</t>
        </is>
      </c>
    </row>
    <row r="212">
      <c r="A212" t="inlineStr">
        <is>
          <t>susanJin(金君)</t>
        </is>
      </c>
      <c r="C212" t="n">
        <v>66431558</v>
      </c>
      <c r="D212" t="inlineStr">
        <is>
          <t>CSIG财务管理</t>
        </is>
      </c>
      <c r="E212" t="inlineStr">
        <is>
          <t>应收账款管理中心</t>
        </is>
      </c>
      <c r="G212" t="inlineStr">
        <is>
          <t>S2职能系统－财经线/CSIG财务管理/应收账款管理中心</t>
        </is>
      </c>
      <c r="H212" s="188" t="n">
        <v>44090</v>
      </c>
      <c r="I212" t="inlineStr">
        <is>
          <t>高校招聘</t>
        </is>
      </c>
      <c r="J212" t="inlineStr">
        <is>
          <t>财经类－FN</t>
        </is>
      </c>
      <c r="K212" t="inlineStr">
        <is>
          <t>财务管理</t>
        </is>
      </c>
      <c r="L212" t="inlineStr">
        <is>
          <t>S6</t>
        </is>
      </c>
      <c r="N212" t="inlineStr">
        <is>
          <t>T1</t>
        </is>
      </c>
      <c r="Q212" t="inlineStr">
        <is>
          <t>O,O</t>
        </is>
      </c>
      <c r="U212" t="n">
        <v>28603.75</v>
      </c>
      <c r="V212" t="n">
        <v>0.083333</v>
      </c>
      <c r="W212" t="inlineStr">
        <is>
          <t>CNY</t>
        </is>
      </c>
      <c r="X212" t="n">
        <v>1</v>
      </c>
      <c r="Y212" t="n">
        <v>27917.23</v>
      </c>
      <c r="Z212" t="n">
        <v>0</v>
      </c>
      <c r="AA212" t="n">
        <v>114415</v>
      </c>
      <c r="AB212" t="n">
        <v>68215</v>
      </c>
      <c r="AC212" t="n">
        <v>39540</v>
      </c>
      <c r="AF212" t="n">
        <v>0</v>
      </c>
      <c r="AG212" t="n">
        <v>222170</v>
      </c>
      <c r="AH212" t="n">
        <v>7.958167769510084</v>
      </c>
      <c r="AI212" t="n">
        <v>222170</v>
      </c>
      <c r="AJ212" t="n">
        <v>7.958167769510084</v>
      </c>
      <c r="AK212" t="n">
        <v>6.541838140818412</v>
      </c>
      <c r="AQ212" t="n">
        <v>222170</v>
      </c>
      <c r="AR212" t="n">
        <v>7.958167769510084</v>
      </c>
      <c r="AS212" t="n">
        <v>3.085908743662754</v>
      </c>
      <c r="BL212" t="n">
        <v>1</v>
      </c>
      <c r="BM212" t="n">
        <v>22920</v>
      </c>
      <c r="BN212" t="n">
        <v>0</v>
      </c>
      <c r="BO212" t="n">
        <v>23470</v>
      </c>
      <c r="BP212" t="inlineStr">
        <is>
          <t>O,U</t>
        </is>
      </c>
      <c r="BQ212" t="inlineStr">
        <is>
          <t>T2</t>
        </is>
      </c>
      <c r="BR212" t="n">
        <v>71995</v>
      </c>
      <c r="BS212" t="n">
        <v>3.141143106457243</v>
      </c>
      <c r="BT212" t="n">
        <v>0</v>
      </c>
      <c r="BU212" t="n">
        <v>71995</v>
      </c>
      <c r="BV212" t="n">
        <v>3.141143106457243</v>
      </c>
      <c r="BY212" t="n">
        <v>71995</v>
      </c>
      <c r="BZ212" t="n">
        <v>3.141143106457243</v>
      </c>
      <c r="CP212" t="inlineStr">
        <is>
          <t>CSIG财务管理</t>
        </is>
      </c>
      <c r="CQ212" t="inlineStr">
        <is>
          <t>5,5</t>
        </is>
      </c>
      <c r="CR212" t="n">
        <v>6</v>
      </c>
      <c r="CS212" t="inlineStr">
        <is>
          <t>T1</t>
        </is>
      </c>
      <c r="CT212" t="inlineStr">
        <is>
          <t>N</t>
        </is>
      </c>
    </row>
    <row r="213">
      <c r="A213" t="inlineStr">
        <is>
          <t>madelynHe(贺梅)</t>
        </is>
      </c>
      <c r="C213" t="n">
        <v>5691753</v>
      </c>
      <c r="D213" t="inlineStr">
        <is>
          <t>FiT财务管理</t>
        </is>
      </c>
      <c r="E213" t="inlineStr">
        <is>
          <t>业务支持与分析中心</t>
        </is>
      </c>
      <c r="G213" t="inlineStr">
        <is>
          <t>S2职能系统－财经线/FiT财务管理/业务支持与分析中心</t>
        </is>
      </c>
      <c r="H213" s="188" t="n">
        <v>40873</v>
      </c>
      <c r="I213" t="inlineStr">
        <is>
          <t>社会招聘</t>
        </is>
      </c>
      <c r="J213" t="inlineStr">
        <is>
          <t>财经类－FN</t>
        </is>
      </c>
      <c r="K213" t="inlineStr">
        <is>
          <t>财务管理</t>
        </is>
      </c>
      <c r="L213" t="inlineStr">
        <is>
          <t>S8</t>
        </is>
      </c>
      <c r="N213" t="inlineStr">
        <is>
          <t>T1</t>
        </is>
      </c>
      <c r="Q213" t="inlineStr">
        <is>
          <t>O,G</t>
        </is>
      </c>
      <c r="U213" t="n">
        <v>29277.45</v>
      </c>
      <c r="V213" t="n">
        <v>0.083333</v>
      </c>
      <c r="W213" t="inlineStr">
        <is>
          <t>CNY</t>
        </is>
      </c>
      <c r="X213" t="n">
        <v>1</v>
      </c>
      <c r="Y213" t="n">
        <v>26538.46</v>
      </c>
      <c r="Z213" t="n">
        <v>0</v>
      </c>
      <c r="AA213" t="n">
        <v>87832.35000000001</v>
      </c>
      <c r="AB213" t="n">
        <v>60570</v>
      </c>
      <c r="AC213" t="n">
        <v>41740</v>
      </c>
      <c r="AF213" t="n">
        <v>0</v>
      </c>
      <c r="AG213" t="n">
        <v>190142.35</v>
      </c>
      <c r="AH213" t="n">
        <v>7.164784618248384</v>
      </c>
      <c r="AI213" t="n">
        <v>190142.35</v>
      </c>
      <c r="AJ213" t="n">
        <v>7.164784618248384</v>
      </c>
      <c r="AK213" t="n">
        <v>5.591972932867996</v>
      </c>
      <c r="AQ213" t="n">
        <v>190142.35</v>
      </c>
      <c r="AR213" t="n">
        <v>7.164784618248384</v>
      </c>
      <c r="AS213" t="n">
        <v>2.310918206125426</v>
      </c>
      <c r="BL213" t="n">
        <v>1</v>
      </c>
      <c r="BM213" t="n">
        <v>24825</v>
      </c>
      <c r="BN213" t="n">
        <v>0</v>
      </c>
      <c r="BO213" t="n">
        <v>25865</v>
      </c>
      <c r="BP213" t="inlineStr">
        <is>
          <t>U,O</t>
        </is>
      </c>
      <c r="BQ213" t="inlineStr">
        <is>
          <t>T2</t>
        </is>
      </c>
      <c r="BR213" t="n">
        <v>82280</v>
      </c>
      <c r="BS213" t="n">
        <v>3.314400805639476</v>
      </c>
      <c r="BT213" t="n">
        <v>0</v>
      </c>
      <c r="BU213" t="n">
        <v>82280</v>
      </c>
      <c r="BV213" t="n">
        <v>3.314400805639476</v>
      </c>
      <c r="BY213" t="n">
        <v>82280</v>
      </c>
      <c r="BZ213" t="n">
        <v>3.314400805639476</v>
      </c>
      <c r="CP213" t="inlineStr">
        <is>
          <t>FiT财务管理</t>
        </is>
      </c>
      <c r="CQ213" t="inlineStr">
        <is>
          <t>5,3</t>
        </is>
      </c>
      <c r="CR213" t="n">
        <v>8</v>
      </c>
      <c r="CS213" t="inlineStr">
        <is>
          <t>T1</t>
        </is>
      </c>
      <c r="CT213" t="inlineStr">
        <is>
          <t>N</t>
        </is>
      </c>
    </row>
    <row r="214">
      <c r="A214" t="inlineStr">
        <is>
          <t>elizabethWei(韦妍嫣)</t>
        </is>
      </c>
      <c r="C214" t="n">
        <v>63211544</v>
      </c>
      <c r="D214" t="inlineStr">
        <is>
          <t>PCG财务管理</t>
        </is>
      </c>
      <c r="E214" t="inlineStr">
        <is>
          <t>财务规划及分析组</t>
        </is>
      </c>
      <c r="G214" t="inlineStr">
        <is>
          <t>S2职能系统－财经线/PCG财务管理/财务规划及分析组</t>
        </is>
      </c>
      <c r="H214" s="188" t="n">
        <v>39652</v>
      </c>
      <c r="I214" t="inlineStr">
        <is>
          <t>社会招聘</t>
        </is>
      </c>
      <c r="J214" t="inlineStr">
        <is>
          <t>财经类－FN</t>
        </is>
      </c>
      <c r="K214" t="inlineStr">
        <is>
          <t>财务管理</t>
        </is>
      </c>
      <c r="L214" t="inlineStr">
        <is>
          <t>S8</t>
        </is>
      </c>
      <c r="N214" t="inlineStr">
        <is>
          <t>T2</t>
        </is>
      </c>
      <c r="Q214" t="inlineStr">
        <is>
          <t>O,U</t>
        </is>
      </c>
      <c r="U214" t="n">
        <v>44560.7</v>
      </c>
      <c r="V214" t="n">
        <v>0.083333</v>
      </c>
      <c r="W214" t="inlineStr">
        <is>
          <t>CNY</t>
        </is>
      </c>
      <c r="X214" t="n">
        <v>1</v>
      </c>
      <c r="Y214" t="n">
        <v>43841.33</v>
      </c>
      <c r="Z214" t="n">
        <v>0</v>
      </c>
      <c r="AA214" t="n">
        <v>89121.39999999999</v>
      </c>
      <c r="AB214" t="n">
        <v>53870</v>
      </c>
      <c r="AC214" t="n">
        <v>0</v>
      </c>
      <c r="AF214" t="n">
        <v>0</v>
      </c>
      <c r="AG214" t="n">
        <v>142991.4</v>
      </c>
      <c r="AH214" t="n">
        <v>3.261566197923284</v>
      </c>
      <c r="AI214" t="n">
        <v>142991.4</v>
      </c>
      <c r="AJ214" t="n">
        <v>3.261566197923284</v>
      </c>
      <c r="AK214" t="n">
        <v>3.261566197923284</v>
      </c>
      <c r="AQ214" t="n">
        <v>142991.4</v>
      </c>
      <c r="AR214" t="n">
        <v>3.261566197923284</v>
      </c>
      <c r="AS214" t="n">
        <v>1.128582478295185</v>
      </c>
      <c r="BL214" t="n">
        <v>1</v>
      </c>
      <c r="BM214" t="n">
        <v>35710</v>
      </c>
      <c r="BN214" t="n">
        <v>0</v>
      </c>
      <c r="BO214" t="n">
        <v>39105</v>
      </c>
      <c r="BP214" t="inlineStr">
        <is>
          <t>G,G</t>
        </is>
      </c>
      <c r="BQ214" t="inlineStr">
        <is>
          <t>T2</t>
        </is>
      </c>
      <c r="BR214" t="n">
        <v>126700</v>
      </c>
      <c r="BS214" t="n">
        <v>3.548025763091571</v>
      </c>
      <c r="BT214" t="n">
        <v>0</v>
      </c>
      <c r="BU214" t="n">
        <v>126700</v>
      </c>
      <c r="BV214" t="n">
        <v>3.548025763091571</v>
      </c>
      <c r="BY214" t="n">
        <v>126700</v>
      </c>
      <c r="BZ214" t="n">
        <v>3.548025763091571</v>
      </c>
      <c r="CP214" t="inlineStr">
        <is>
          <t>PCG财务管理</t>
        </is>
      </c>
      <c r="CQ214" t="inlineStr">
        <is>
          <t>5,1</t>
        </is>
      </c>
      <c r="CR214" t="n">
        <v>8</v>
      </c>
      <c r="CS214" t="inlineStr">
        <is>
          <t>T2</t>
        </is>
      </c>
      <c r="CT214" t="inlineStr">
        <is>
          <t>N</t>
        </is>
      </c>
    </row>
    <row r="215">
      <c r="A215" t="inlineStr">
        <is>
          <t>barbaraPeng(彭萍)</t>
        </is>
      </c>
      <c r="C215" t="n">
        <v>94854269</v>
      </c>
      <c r="D215" t="inlineStr">
        <is>
          <t>税务部</t>
        </is>
      </c>
      <c r="E215" t="inlineStr">
        <is>
          <t>BG税务组</t>
        </is>
      </c>
      <c r="G215" t="inlineStr">
        <is>
          <t>S2职能系统－财经线/税务部/BG税务组</t>
        </is>
      </c>
      <c r="H215" s="188" t="n">
        <v>40999</v>
      </c>
      <c r="I215" t="inlineStr">
        <is>
          <t>社会招聘</t>
        </is>
      </c>
      <c r="J215" t="inlineStr">
        <is>
          <t>财经类－FN</t>
        </is>
      </c>
      <c r="K215" t="inlineStr">
        <is>
          <t>税务</t>
        </is>
      </c>
      <c r="L215" t="inlineStr">
        <is>
          <t>S10</t>
        </is>
      </c>
      <c r="N215" t="inlineStr">
        <is>
          <t>T2</t>
        </is>
      </c>
      <c r="Q215" t="inlineStr">
        <is>
          <t>G,U</t>
        </is>
      </c>
      <c r="U215" t="n">
        <v>52429.9</v>
      </c>
      <c r="V215" t="n">
        <v>0.083333</v>
      </c>
      <c r="W215" t="inlineStr">
        <is>
          <t>CNY</t>
        </is>
      </c>
      <c r="X215" t="n">
        <v>1</v>
      </c>
      <c r="Y215" t="n">
        <v>50360.51</v>
      </c>
      <c r="Z215" t="n">
        <v>0</v>
      </c>
      <c r="AA215" t="n">
        <v>52429.9</v>
      </c>
      <c r="AB215" t="n">
        <v>71610</v>
      </c>
      <c r="AC215" t="n">
        <v>0</v>
      </c>
      <c r="AF215" t="n">
        <v>0</v>
      </c>
      <c r="AG215" t="n">
        <v>124039.9</v>
      </c>
      <c r="AH215" t="n">
        <v>2.463038996229387</v>
      </c>
      <c r="AI215" t="n">
        <v>124039.9</v>
      </c>
      <c r="AJ215" t="n">
        <v>2.463038996229387</v>
      </c>
      <c r="AK215" t="n">
        <v>2.463038996229387</v>
      </c>
      <c r="AQ215" t="n">
        <v>124039.9</v>
      </c>
      <c r="AR215" t="n">
        <v>2.463038996229387</v>
      </c>
      <c r="AS215" t="n">
        <v>0.4439033031528469</v>
      </c>
      <c r="BL215" t="n">
        <v>1</v>
      </c>
      <c r="BM215" t="n">
        <v>42570</v>
      </c>
      <c r="BN215" t="n">
        <v>0</v>
      </c>
      <c r="BO215" t="n">
        <v>42585</v>
      </c>
      <c r="BP215" t="inlineStr">
        <is>
          <t>G,G</t>
        </is>
      </c>
      <c r="BQ215" t="inlineStr">
        <is>
          <t>T1#</t>
        </is>
      </c>
      <c r="BR215" t="n">
        <v>231350</v>
      </c>
      <c r="BS215" t="n">
        <v>5.434578341555086</v>
      </c>
      <c r="BT215" t="n">
        <v>48080</v>
      </c>
      <c r="BU215" t="n">
        <v>279430</v>
      </c>
      <c r="BV215" t="n">
        <v>6.564012215175006</v>
      </c>
      <c r="BY215" t="n">
        <v>279430</v>
      </c>
      <c r="BZ215" t="n">
        <v>6.564012215175006</v>
      </c>
      <c r="CP215" t="inlineStr">
        <is>
          <t>税务部</t>
        </is>
      </c>
      <c r="CQ215" t="inlineStr">
        <is>
          <t>3,1</t>
        </is>
      </c>
      <c r="CR215" t="n">
        <v>10</v>
      </c>
      <c r="CS215" t="inlineStr">
        <is>
          <t>T2</t>
        </is>
      </c>
      <c r="CT215" t="inlineStr">
        <is>
          <t>N</t>
        </is>
      </c>
    </row>
    <row r="216">
      <c r="A216" t="inlineStr">
        <is>
          <t>scarlettLiu(刘琪)</t>
        </is>
      </c>
      <c r="C216" t="n">
        <v>5997427</v>
      </c>
      <c r="D216" t="inlineStr">
        <is>
          <t>CSIG财务管理</t>
        </is>
      </c>
      <c r="E216" t="inlineStr">
        <is>
          <t>产品财务管理中心</t>
        </is>
      </c>
      <c r="G216" t="inlineStr">
        <is>
          <t>S2职能系统－财经线/CSIG财务管理/产品财务管理中心</t>
        </is>
      </c>
      <c r="H216" s="188" t="n">
        <v>39894</v>
      </c>
      <c r="I216" t="inlineStr">
        <is>
          <t>社会招聘</t>
        </is>
      </c>
      <c r="J216" t="inlineStr">
        <is>
          <t>财经类－FN</t>
        </is>
      </c>
      <c r="K216" t="inlineStr">
        <is>
          <t>财务管理</t>
        </is>
      </c>
      <c r="L216" t="inlineStr">
        <is>
          <t>S5</t>
        </is>
      </c>
      <c r="N216" t="inlineStr">
        <is>
          <t>T2</t>
        </is>
      </c>
      <c r="Q216" t="inlineStr">
        <is>
          <t>G,G</t>
        </is>
      </c>
      <c r="U216" t="n">
        <v>31946.1</v>
      </c>
      <c r="V216" t="n">
        <v>0.083333</v>
      </c>
      <c r="W216" t="inlineStr">
        <is>
          <t>CNY</t>
        </is>
      </c>
      <c r="X216" t="n">
        <v>1</v>
      </c>
      <c r="Y216" t="n">
        <v>29612.24</v>
      </c>
      <c r="Z216" t="n">
        <v>0</v>
      </c>
      <c r="AA216" t="n">
        <v>63892.2</v>
      </c>
      <c r="AB216" t="n">
        <v>47610</v>
      </c>
      <c r="AC216" t="n">
        <v>0</v>
      </c>
      <c r="AF216" t="n">
        <v>0</v>
      </c>
      <c r="AG216" t="n">
        <v>111502.2</v>
      </c>
      <c r="AH216" t="n">
        <v>3.765409168641075</v>
      </c>
      <c r="AI216" t="n">
        <v>111502.2</v>
      </c>
      <c r="AJ216" t="n">
        <v>3.765409168641075</v>
      </c>
      <c r="AK216" t="n">
        <v>3.765409168641075</v>
      </c>
      <c r="AQ216" t="n">
        <v>111502.2</v>
      </c>
      <c r="AR216" t="n">
        <v>3.765409168641075</v>
      </c>
      <c r="AS216" t="n">
        <v>0.9527252531294057</v>
      </c>
      <c r="BL216" t="n">
        <v>1</v>
      </c>
      <c r="BM216" t="n">
        <v>27165</v>
      </c>
      <c r="BN216" t="n">
        <v>0</v>
      </c>
      <c r="BO216" t="n">
        <v>28775</v>
      </c>
      <c r="BP216" t="inlineStr">
        <is>
          <t>G,O</t>
        </is>
      </c>
      <c r="BQ216" t="inlineStr">
        <is>
          <t>T2</t>
        </is>
      </c>
      <c r="BR216" t="n">
        <v>117035</v>
      </c>
      <c r="BS216" t="n">
        <v>4.308301122768268</v>
      </c>
      <c r="BT216" t="n">
        <v>0</v>
      </c>
      <c r="BU216" t="n">
        <v>117035</v>
      </c>
      <c r="BV216" t="n">
        <v>4.308301122768268</v>
      </c>
      <c r="BY216" t="n">
        <v>117035</v>
      </c>
      <c r="BZ216" t="n">
        <v>4.308301122768268</v>
      </c>
      <c r="CP216" t="inlineStr">
        <is>
          <t>CSIG财务管理</t>
        </is>
      </c>
      <c r="CQ216" t="inlineStr">
        <is>
          <t>3,3</t>
        </is>
      </c>
      <c r="CR216" t="n">
        <v>5</v>
      </c>
      <c r="CS216" t="inlineStr">
        <is>
          <t>T2</t>
        </is>
      </c>
      <c r="CT216" t="inlineStr">
        <is>
          <t>N</t>
        </is>
      </c>
    </row>
    <row r="217">
      <c r="A217" t="inlineStr">
        <is>
          <t>paulYu(余博)</t>
        </is>
      </c>
      <c r="C217" t="n">
        <v>79467106</v>
      </c>
      <c r="D217" t="inlineStr">
        <is>
          <t>风险管理和内部控制</t>
        </is>
      </c>
      <c r="E217" t="inlineStr">
        <is>
          <t>CSIG风控中心</t>
        </is>
      </c>
      <c r="G217" t="inlineStr">
        <is>
          <t>S2职能系统－财经线/风险管理和内部控制/CSIG风控中心</t>
        </is>
      </c>
      <c r="H217" s="188" t="n">
        <v>36578</v>
      </c>
      <c r="I217" t="inlineStr">
        <is>
          <t>高校招聘</t>
        </is>
      </c>
      <c r="J217" t="inlineStr">
        <is>
          <t>财经类－FN</t>
        </is>
      </c>
      <c r="K217" t="inlineStr">
        <is>
          <t>风险管理</t>
        </is>
      </c>
      <c r="L217" t="inlineStr">
        <is>
          <t>S10</t>
        </is>
      </c>
      <c r="N217" t="inlineStr">
        <is>
          <t>T1</t>
        </is>
      </c>
      <c r="Q217" t="inlineStr">
        <is>
          <t>G,O</t>
        </is>
      </c>
      <c r="U217" t="n">
        <v>44357.25</v>
      </c>
      <c r="V217" t="n">
        <v>0.083333</v>
      </c>
      <c r="W217" t="inlineStr">
        <is>
          <t>CNY</t>
        </is>
      </c>
      <c r="X217" t="n">
        <v>1</v>
      </c>
      <c r="Y217" t="n">
        <v>41946.39</v>
      </c>
      <c r="Z217" t="n">
        <v>0</v>
      </c>
      <c r="AA217" t="n">
        <v>133071.75</v>
      </c>
      <c r="AB217" t="n">
        <v>105710</v>
      </c>
      <c r="AC217" t="n">
        <v>46795</v>
      </c>
      <c r="AF217" t="n">
        <v>0</v>
      </c>
      <c r="AG217" t="n">
        <v>285576.75</v>
      </c>
      <c r="AH217" t="n">
        <v>6.808136528554662</v>
      </c>
      <c r="AI217" t="n">
        <v>285576.75</v>
      </c>
      <c r="AJ217" t="n">
        <v>6.808136528554662</v>
      </c>
      <c r="AK217" t="n">
        <v>5.692545890123084</v>
      </c>
      <c r="AQ217" t="n">
        <v>285576.75</v>
      </c>
      <c r="AR217" t="n">
        <v>6.808136528554662</v>
      </c>
      <c r="AS217" t="n">
        <v>1.273219420852003</v>
      </c>
      <c r="BL217" t="n">
        <v>1</v>
      </c>
      <c r="BM217" t="n">
        <v>38425</v>
      </c>
      <c r="BN217" t="n">
        <v>0</v>
      </c>
      <c r="BO217" t="n">
        <v>39760</v>
      </c>
      <c r="BP217" t="inlineStr">
        <is>
          <t>O,G</t>
        </is>
      </c>
      <c r="BQ217" t="inlineStr">
        <is>
          <t>T1</t>
        </is>
      </c>
      <c r="BR217" t="n">
        <v>175730</v>
      </c>
      <c r="BS217" t="n">
        <v>4.573324658425504</v>
      </c>
      <c r="BT217" t="n">
        <v>48565</v>
      </c>
      <c r="BU217" t="n">
        <v>224295</v>
      </c>
      <c r="BV217" t="n">
        <v>5.837215354586857</v>
      </c>
      <c r="BY217" t="n">
        <v>224295</v>
      </c>
      <c r="BZ217" t="n">
        <v>5.837215354586857</v>
      </c>
      <c r="CP217" t="inlineStr">
        <is>
          <t>风险管理和内部控制</t>
        </is>
      </c>
      <c r="CQ217" t="inlineStr">
        <is>
          <t>5,3</t>
        </is>
      </c>
      <c r="CR217" t="n">
        <v>10</v>
      </c>
      <c r="CS217" t="inlineStr">
        <is>
          <t>T1</t>
        </is>
      </c>
      <c r="CT217" t="inlineStr">
        <is>
          <t>N</t>
        </is>
      </c>
    </row>
    <row r="218">
      <c r="A218" t="inlineStr">
        <is>
          <t>hannahSong(宋茜梅)</t>
        </is>
      </c>
      <c r="C218" t="n">
        <v>16904404</v>
      </c>
      <c r="D218" t="inlineStr">
        <is>
          <t>海外财经中心</t>
        </is>
      </c>
      <c r="E218" t="inlineStr">
        <is>
          <t>海外本地财务</t>
        </is>
      </c>
      <c r="G218" t="inlineStr">
        <is>
          <t>S2职能系统－财经线/海外财经中心/海外本地财务</t>
        </is>
      </c>
      <c r="H218" s="188" t="n">
        <v>45041</v>
      </c>
      <c r="I218" t="inlineStr">
        <is>
          <t>社会招聘</t>
        </is>
      </c>
      <c r="J218" t="inlineStr">
        <is>
          <t>财经类－FN</t>
        </is>
      </c>
      <c r="K218" t="inlineStr">
        <is>
          <t>财务管理</t>
        </is>
      </c>
      <c r="L218" t="inlineStr">
        <is>
          <t>S9</t>
        </is>
      </c>
      <c r="N218" t="inlineStr">
        <is>
          <t>Others</t>
        </is>
      </c>
      <c r="Q218" t="inlineStr">
        <is>
          <t>G,G</t>
        </is>
      </c>
      <c r="U218" t="n">
        <v>40428.7</v>
      </c>
      <c r="V218" t="n">
        <v>0.083333</v>
      </c>
      <c r="W218" t="inlineStr">
        <is>
          <t>CNY</t>
        </is>
      </c>
      <c r="X218" t="n">
        <v>1</v>
      </c>
      <c r="Y218" t="n">
        <v>39174.26</v>
      </c>
      <c r="Z218" t="n">
        <v>0</v>
      </c>
      <c r="AA218" t="n">
        <v>80857.39999999999</v>
      </c>
      <c r="AB218" t="n">
        <v>30195</v>
      </c>
      <c r="AC218" t="n">
        <v>0</v>
      </c>
      <c r="AF218" t="n">
        <v>0</v>
      </c>
      <c r="AG218" t="n">
        <v>111052.4</v>
      </c>
      <c r="AH218" t="n">
        <v>2.834830830244145</v>
      </c>
      <c r="AI218" t="n">
        <v>111052.4</v>
      </c>
      <c r="AJ218" t="n">
        <v>2.834830830244145</v>
      </c>
      <c r="AK218" t="n">
        <v>2.834830830244145</v>
      </c>
      <c r="AQ218" t="n">
        <v>111052.4</v>
      </c>
      <c r="AR218" t="n">
        <v>2.834830830244145</v>
      </c>
      <c r="AS218" t="n">
        <v>4.24106931449303</v>
      </c>
      <c r="BL218" t="n">
        <v>0.684931506849315</v>
      </c>
      <c r="BM218" t="n">
        <v>35035</v>
      </c>
      <c r="BN218" t="n">
        <v>0</v>
      </c>
      <c r="BO218" t="n">
        <v>38235</v>
      </c>
      <c r="BP218" t="inlineStr">
        <is>
          <t>N,G</t>
        </is>
      </c>
      <c r="BQ218" t="inlineStr">
        <is>
          <t>Others</t>
        </is>
      </c>
      <c r="BR218" t="n">
        <v>26185</v>
      </c>
      <c r="BS218" t="n">
        <v>0.747395461681176</v>
      </c>
      <c r="BT218" t="n">
        <v>0</v>
      </c>
      <c r="BU218" t="n">
        <v>26185</v>
      </c>
      <c r="BV218" t="n">
        <v>0.747395461681176</v>
      </c>
      <c r="BY218" t="n">
        <v>26185</v>
      </c>
      <c r="BZ218" t="n">
        <v>0.747395461681176</v>
      </c>
      <c r="CP218" t="inlineStr">
        <is>
          <t>海外财经中心</t>
        </is>
      </c>
      <c r="CQ218" t="inlineStr">
        <is>
          <t>3,3</t>
        </is>
      </c>
      <c r="CR218" t="n">
        <v>9</v>
      </c>
      <c r="CS218" t="inlineStr">
        <is>
          <t>Others</t>
        </is>
      </c>
      <c r="CT218" t="inlineStr">
        <is>
          <t>N</t>
        </is>
      </c>
    </row>
    <row r="219">
      <c r="A219" t="inlineStr">
        <is>
          <t>bettyLiu(刘丽菲)</t>
        </is>
      </c>
      <c r="C219" t="n">
        <v>70240620</v>
      </c>
      <c r="D219" t="inlineStr">
        <is>
          <t>财经IT管理部</t>
        </is>
      </c>
      <c r="E219" t="inlineStr">
        <is>
          <t>国际业务支持中心</t>
        </is>
      </c>
      <c r="G219" t="inlineStr">
        <is>
          <t>S2职能系统－财经线/财经IT管理部/国际业务支持中心</t>
        </is>
      </c>
      <c r="H219" s="188" t="n">
        <v>43031</v>
      </c>
      <c r="I219" t="inlineStr">
        <is>
          <t>社会招聘</t>
        </is>
      </c>
      <c r="J219" t="inlineStr">
        <is>
          <t>技术研发类－TRD</t>
        </is>
      </c>
      <c r="K219" t="inlineStr">
        <is>
          <t>应用开发</t>
        </is>
      </c>
      <c r="L219" t="inlineStr">
        <is>
          <t>T6</t>
        </is>
      </c>
      <c r="N219" t="inlineStr">
        <is>
          <t>T1</t>
        </is>
      </c>
      <c r="Q219" t="inlineStr">
        <is>
          <t>G,G</t>
        </is>
      </c>
      <c r="U219" t="n">
        <v>38098.2</v>
      </c>
      <c r="V219" t="n">
        <v>0.083333</v>
      </c>
      <c r="W219" t="inlineStr">
        <is>
          <t>CNY</t>
        </is>
      </c>
      <c r="X219" t="n">
        <v>1</v>
      </c>
      <c r="Y219" t="n">
        <v>37171.43</v>
      </c>
      <c r="Z219" t="n">
        <v>0</v>
      </c>
      <c r="AA219" t="n">
        <v>76196.39999999999</v>
      </c>
      <c r="AB219" t="n">
        <v>91655</v>
      </c>
      <c r="AC219" t="n">
        <v>58930</v>
      </c>
      <c r="AF219" t="n">
        <v>0</v>
      </c>
      <c r="AG219" t="n">
        <v>226781.4</v>
      </c>
      <c r="AH219" t="n">
        <v>6.100959796273643</v>
      </c>
      <c r="AI219" t="n">
        <v>226781.4</v>
      </c>
      <c r="AJ219" t="n">
        <v>6.100959796273643</v>
      </c>
      <c r="AK219" t="n">
        <v>4.515602439830805</v>
      </c>
      <c r="AQ219" t="n">
        <v>226781.4</v>
      </c>
      <c r="AR219" t="n">
        <v>6.100959796273643</v>
      </c>
      <c r="AS219" t="n">
        <v>1.171331026289964</v>
      </c>
      <c r="BL219" t="n">
        <v>1</v>
      </c>
      <c r="BM219" t="n">
        <v>30640</v>
      </c>
      <c r="BN219" t="n">
        <v>0</v>
      </c>
      <c r="BO219" t="n">
        <v>32545</v>
      </c>
      <c r="BP219" t="inlineStr">
        <is>
          <t>O,G</t>
        </is>
      </c>
      <c r="BQ219" t="inlineStr">
        <is>
          <t>T1</t>
        </is>
      </c>
      <c r="BR219" t="n">
        <v>141865</v>
      </c>
      <c r="BS219" t="n">
        <v>4.630058746736292</v>
      </c>
      <c r="BT219" t="n">
        <v>51745</v>
      </c>
      <c r="BU219" t="n">
        <v>193610</v>
      </c>
      <c r="BV219" t="n">
        <v>6.318864229765013</v>
      </c>
      <c r="BY219" t="n">
        <v>193610</v>
      </c>
      <c r="BZ219" t="n">
        <v>6.318864229765013</v>
      </c>
      <c r="CP219" t="inlineStr">
        <is>
          <t>财经IT管理部</t>
        </is>
      </c>
      <c r="CQ219" t="inlineStr">
        <is>
          <t>3,3</t>
        </is>
      </c>
      <c r="CR219" t="n">
        <v>6</v>
      </c>
      <c r="CS219" t="inlineStr">
        <is>
          <t>T1</t>
        </is>
      </c>
      <c r="CT219" t="inlineStr">
        <is>
          <t>N</t>
        </is>
      </c>
    </row>
    <row r="220">
      <c r="A220" t="inlineStr">
        <is>
          <t>rubyHao(郝玲君)</t>
        </is>
      </c>
      <c r="C220" t="n">
        <v>53349519</v>
      </c>
      <c r="D220" t="inlineStr">
        <is>
          <t>财经IT管理部</t>
        </is>
      </c>
      <c r="E220" t="inlineStr">
        <is>
          <t>业务开发中心</t>
        </is>
      </c>
      <c r="G220" t="inlineStr">
        <is>
          <t>S2职能系统－财经线/财经IT管理部/业务开发中心</t>
        </is>
      </c>
      <c r="H220" s="188" t="n">
        <v>36545</v>
      </c>
      <c r="I220" t="inlineStr">
        <is>
          <t>社会招聘</t>
        </is>
      </c>
      <c r="J220" t="inlineStr">
        <is>
          <t>技术研发类－TRD</t>
        </is>
      </c>
      <c r="K220" t="inlineStr">
        <is>
          <t>应用开发</t>
        </is>
      </c>
      <c r="L220" t="inlineStr">
        <is>
          <t>T7</t>
        </is>
      </c>
      <c r="N220" t="inlineStr">
        <is>
          <t>T2</t>
        </is>
      </c>
      <c r="Q220" t="inlineStr">
        <is>
          <t>G,U</t>
        </is>
      </c>
      <c r="U220" t="n">
        <v>33773.2</v>
      </c>
      <c r="V220" t="n">
        <v>0.083333</v>
      </c>
      <c r="W220" t="inlineStr">
        <is>
          <t>CNY</t>
        </is>
      </c>
      <c r="X220" t="n">
        <v>1</v>
      </c>
      <c r="Y220" t="n">
        <v>32730.09</v>
      </c>
      <c r="Z220" t="n">
        <v>0</v>
      </c>
      <c r="AA220" t="n">
        <v>33773.2</v>
      </c>
      <c r="AB220" t="n">
        <v>41965</v>
      </c>
      <c r="AC220" t="n">
        <v>0</v>
      </c>
      <c r="AF220" t="n">
        <v>0</v>
      </c>
      <c r="AG220" t="n">
        <v>75738.2</v>
      </c>
      <c r="AH220" t="n">
        <v>2.314023578914693</v>
      </c>
      <c r="AI220" t="n">
        <v>75738.2</v>
      </c>
      <c r="AJ220" t="n">
        <v>2.314023578914693</v>
      </c>
      <c r="AK220" t="n">
        <v>2.314023578914693</v>
      </c>
      <c r="AQ220" t="n">
        <v>75738.2</v>
      </c>
      <c r="AR220" t="n">
        <v>2.314023578914693</v>
      </c>
      <c r="AS220" t="n">
        <v>0.5636960404882405</v>
      </c>
      <c r="BL220" t="n">
        <v>1</v>
      </c>
      <c r="BM220" t="n">
        <v>29035</v>
      </c>
      <c r="BN220" t="n">
        <v>0</v>
      </c>
      <c r="BO220" t="n">
        <v>29945</v>
      </c>
      <c r="BP220" t="inlineStr">
        <is>
          <t>O,G</t>
        </is>
      </c>
      <c r="BQ220" t="inlineStr">
        <is>
          <t>T2</t>
        </is>
      </c>
      <c r="BR220" t="n">
        <v>134360</v>
      </c>
      <c r="BS220" t="n">
        <v>4.62751851214052</v>
      </c>
      <c r="BT220" t="n">
        <v>0</v>
      </c>
      <c r="BU220" t="n">
        <v>134360</v>
      </c>
      <c r="BV220" t="n">
        <v>4.62751851214052</v>
      </c>
      <c r="BY220" t="n">
        <v>134360</v>
      </c>
      <c r="BZ220" t="n">
        <v>4.62751851214052</v>
      </c>
      <c r="CP220" t="inlineStr">
        <is>
          <t>财经IT管理部</t>
        </is>
      </c>
      <c r="CQ220" t="inlineStr">
        <is>
          <t>3,1</t>
        </is>
      </c>
      <c r="CR220" t="n">
        <v>7</v>
      </c>
      <c r="CS220" t="inlineStr">
        <is>
          <t>T2</t>
        </is>
      </c>
      <c r="CT220" t="inlineStr">
        <is>
          <t>N</t>
        </is>
      </c>
    </row>
    <row r="221">
      <c r="A221" t="inlineStr">
        <is>
          <t>laylaZhu(朱嫣菲)</t>
        </is>
      </c>
      <c r="C221" t="n">
        <v>64007164</v>
      </c>
      <c r="D221" t="inlineStr">
        <is>
          <t>行政支持中心</t>
        </is>
      </c>
      <c r="E221" t="inlineStr">
        <is>
          <t>秘书组</t>
        </is>
      </c>
      <c r="G221" t="inlineStr">
        <is>
          <t>S2职能系统－财经线/行政支持中心/秘书组</t>
        </is>
      </c>
      <c r="H221" s="188" t="n">
        <v>36589</v>
      </c>
      <c r="I221" t="inlineStr">
        <is>
          <t>高校招聘</t>
        </is>
      </c>
      <c r="J221" t="inlineStr">
        <is>
          <t>财经类－FN</t>
        </is>
      </c>
      <c r="K221" t="inlineStr">
        <is>
          <t>公司秘书</t>
        </is>
      </c>
      <c r="L221" t="inlineStr">
        <is>
          <t>S7</t>
        </is>
      </c>
      <c r="N221" t="inlineStr">
        <is>
          <t>T1</t>
        </is>
      </c>
      <c r="Q221" t="inlineStr">
        <is>
          <t>O,O</t>
        </is>
      </c>
      <c r="U221" t="n">
        <v>27315.65</v>
      </c>
      <c r="V221" t="n">
        <v>0.083333</v>
      </c>
      <c r="W221" t="inlineStr">
        <is>
          <t>CNY</t>
        </is>
      </c>
      <c r="X221" t="n">
        <v>1</v>
      </c>
      <c r="Y221" t="n">
        <v>25328.24</v>
      </c>
      <c r="Z221" t="n">
        <v>0</v>
      </c>
      <c r="AA221" t="n">
        <v>109262.6</v>
      </c>
      <c r="AB221" t="n">
        <v>58845</v>
      </c>
      <c r="AC221" t="n">
        <v>27995</v>
      </c>
      <c r="AF221" t="n">
        <v>0</v>
      </c>
      <c r="AG221" t="n">
        <v>196102.6</v>
      </c>
      <c r="AH221" t="n">
        <v>7.742448744958197</v>
      </c>
      <c r="AI221" t="n">
        <v>196102.6</v>
      </c>
      <c r="AJ221" t="n">
        <v>7.742448744958197</v>
      </c>
      <c r="AK221" t="n">
        <v>6.637160734421341</v>
      </c>
      <c r="AQ221" t="n">
        <v>196102.6</v>
      </c>
      <c r="AR221" t="n">
        <v>7.742448744958197</v>
      </c>
      <c r="AS221" t="n">
        <v>1.810400664697194</v>
      </c>
      <c r="BL221" t="n">
        <v>1</v>
      </c>
      <c r="BM221" t="n">
        <v>23405</v>
      </c>
      <c r="BN221" t="n">
        <v>0</v>
      </c>
      <c r="BO221" t="n">
        <v>25155</v>
      </c>
      <c r="BP221" t="inlineStr">
        <is>
          <t>G,G</t>
        </is>
      </c>
      <c r="BQ221" t="inlineStr">
        <is>
          <t>T1</t>
        </is>
      </c>
      <c r="BR221" t="n">
        <v>76905</v>
      </c>
      <c r="BS221" t="n">
        <v>3.28583635975219</v>
      </c>
      <c r="BT221" t="n">
        <v>31415</v>
      </c>
      <c r="BU221" t="n">
        <v>108320</v>
      </c>
      <c r="BV221" t="n">
        <v>4.628070925016022</v>
      </c>
      <c r="BY221" t="n">
        <v>108320</v>
      </c>
      <c r="BZ221" t="n">
        <v>4.628070925016022</v>
      </c>
      <c r="CP221" t="inlineStr">
        <is>
          <t>行政支持中心</t>
        </is>
      </c>
      <c r="CQ221" t="inlineStr">
        <is>
          <t>5,5</t>
        </is>
      </c>
      <c r="CR221" t="n">
        <v>7</v>
      </c>
      <c r="CS221" t="inlineStr">
        <is>
          <t>T1</t>
        </is>
      </c>
      <c r="CT221" t="inlineStr">
        <is>
          <t>N</t>
        </is>
      </c>
    </row>
    <row r="222">
      <c r="A222" t="inlineStr">
        <is>
          <t>scottWang(王彤昊)</t>
        </is>
      </c>
      <c r="C222" t="n">
        <v>17010611</v>
      </c>
      <c r="D222" t="inlineStr">
        <is>
          <t>税务部</t>
        </is>
      </c>
      <c r="E222" t="inlineStr">
        <is>
          <t>印章及文档管理组</t>
        </is>
      </c>
      <c r="G222" t="inlineStr">
        <is>
          <t>S2职能系统－财经线/税务部/印章及文档管理组</t>
        </is>
      </c>
      <c r="H222" s="188" t="n">
        <v>43761</v>
      </c>
      <c r="I222" t="inlineStr">
        <is>
          <t>高校招聘</t>
        </is>
      </c>
      <c r="J222" t="inlineStr">
        <is>
          <t>财经类－FN</t>
        </is>
      </c>
      <c r="K222" t="inlineStr">
        <is>
          <t>税务</t>
        </is>
      </c>
      <c r="L222" t="inlineStr">
        <is>
          <t>S9</t>
        </is>
      </c>
      <c r="N222" t="inlineStr">
        <is>
          <t>T1</t>
        </is>
      </c>
      <c r="Q222" t="inlineStr">
        <is>
          <t>G,U</t>
        </is>
      </c>
      <c r="U222" t="n">
        <v>42618.45</v>
      </c>
      <c r="V222" t="n">
        <v>0.083333</v>
      </c>
      <c r="W222" t="inlineStr">
        <is>
          <t>CNY</t>
        </is>
      </c>
      <c r="X222" t="n">
        <v>1</v>
      </c>
      <c r="Y222" t="n">
        <v>40989.5</v>
      </c>
      <c r="Z222" t="n">
        <v>0</v>
      </c>
      <c r="AA222" t="n">
        <v>42618.45</v>
      </c>
      <c r="AB222" t="n">
        <v>90925</v>
      </c>
      <c r="AC222" t="n">
        <v>0</v>
      </c>
      <c r="AF222" t="n">
        <v>0</v>
      </c>
      <c r="AG222" t="n">
        <v>133543.45</v>
      </c>
      <c r="AH222" t="n">
        <v>3.257991680796302</v>
      </c>
      <c r="AI222" t="n">
        <v>133543.45</v>
      </c>
      <c r="AJ222" t="n">
        <v>3.257991680796302</v>
      </c>
      <c r="AK222" t="n">
        <v>3.257991680796302</v>
      </c>
      <c r="AQ222" t="n">
        <v>133543.45</v>
      </c>
      <c r="AR222" t="n">
        <v>3.257991680796302</v>
      </c>
      <c r="AS222" t="n">
        <v>2.947003199823458</v>
      </c>
      <c r="BL222" t="n">
        <v>1</v>
      </c>
      <c r="BM222" t="n">
        <v>34575</v>
      </c>
      <c r="BN222" t="n">
        <v>0</v>
      </c>
      <c r="BO222" t="n">
        <v>37720</v>
      </c>
      <c r="BP222" t="inlineStr">
        <is>
          <t>U,U</t>
        </is>
      </c>
      <c r="BQ222" t="inlineStr">
        <is>
          <t>Others</t>
        </is>
      </c>
      <c r="BR222" t="n">
        <v>45315</v>
      </c>
      <c r="BS222" t="n">
        <v>1.310629067245119</v>
      </c>
      <c r="BT222" t="n">
        <v>0</v>
      </c>
      <c r="BU222" t="n">
        <v>45315</v>
      </c>
      <c r="BV222" t="n">
        <v>1.310629067245119</v>
      </c>
      <c r="BY222" t="n">
        <v>45315</v>
      </c>
      <c r="BZ222" t="n">
        <v>1.310629067245119</v>
      </c>
      <c r="CP222" t="inlineStr">
        <is>
          <t>税务部</t>
        </is>
      </c>
      <c r="CQ222" t="inlineStr">
        <is>
          <t>3,1</t>
        </is>
      </c>
      <c r="CR222" t="n">
        <v>9</v>
      </c>
      <c r="CS222" t="inlineStr">
        <is>
          <t>T1</t>
        </is>
      </c>
      <c r="CT222" t="inlineStr">
        <is>
          <t>N</t>
        </is>
      </c>
    </row>
    <row r="223">
      <c r="A223" t="inlineStr">
        <is>
          <t>isabellaWei(韦洁敏)</t>
        </is>
      </c>
      <c r="C223" t="n">
        <v>35546533</v>
      </c>
      <c r="D223" t="inlineStr">
        <is>
          <t>财会及报告管理部</t>
        </is>
      </c>
      <c r="E223" t="inlineStr">
        <is>
          <t>员工报销服务中心</t>
        </is>
      </c>
      <c r="G223" t="inlineStr">
        <is>
          <t>S2职能系统－财经线/财会及报告管理部/员工报销服务中心</t>
        </is>
      </c>
      <c r="H223" s="188" t="n">
        <v>42323</v>
      </c>
      <c r="I223" t="inlineStr">
        <is>
          <t>社会招聘</t>
        </is>
      </c>
      <c r="J223" t="inlineStr">
        <is>
          <t>财经类－FN</t>
        </is>
      </c>
      <c r="K223" t="inlineStr">
        <is>
          <t>会计</t>
        </is>
      </c>
      <c r="L223" t="inlineStr">
        <is>
          <t>S5</t>
        </is>
      </c>
      <c r="N223" t="inlineStr">
        <is>
          <t>T2</t>
        </is>
      </c>
      <c r="Q223" t="inlineStr">
        <is>
          <t>U,G</t>
        </is>
      </c>
      <c r="U223" t="n">
        <v>22029.75</v>
      </c>
      <c r="V223" t="n">
        <v>0.083333</v>
      </c>
      <c r="W223" t="inlineStr">
        <is>
          <t>CNY</t>
        </is>
      </c>
      <c r="X223" t="n">
        <v>1</v>
      </c>
      <c r="Y223" t="n">
        <v>21105.56</v>
      </c>
      <c r="Z223" t="n">
        <v>0</v>
      </c>
      <c r="AA223" t="n">
        <v>22029.75</v>
      </c>
      <c r="AB223" t="n">
        <v>30265</v>
      </c>
      <c r="AC223" t="n">
        <v>0</v>
      </c>
      <c r="AF223" t="n">
        <v>0</v>
      </c>
      <c r="AG223" t="n">
        <v>52294.75</v>
      </c>
      <c r="AH223" t="n">
        <v>2.477771260274543</v>
      </c>
      <c r="AI223" t="n">
        <v>52294.75</v>
      </c>
      <c r="AJ223" t="n">
        <v>2.477771260274543</v>
      </c>
      <c r="AK223" t="n">
        <v>2.477771260274543</v>
      </c>
      <c r="AQ223" t="n">
        <v>52294.75</v>
      </c>
      <c r="AR223" t="n">
        <v>2.477771260274543</v>
      </c>
      <c r="AS223" t="n">
        <v>0.8375870905741971</v>
      </c>
      <c r="BL223" t="n">
        <v>1</v>
      </c>
      <c r="BM223" t="n">
        <v>19070</v>
      </c>
      <c r="BN223" t="n">
        <v>0</v>
      </c>
      <c r="BO223" t="n">
        <v>20225</v>
      </c>
      <c r="BP223" t="inlineStr">
        <is>
          <t>G,G</t>
        </is>
      </c>
      <c r="BQ223" t="inlineStr">
        <is>
          <t>T2</t>
        </is>
      </c>
      <c r="BR223" t="n">
        <v>62435</v>
      </c>
      <c r="BS223" t="n">
        <v>3.273990561090718</v>
      </c>
      <c r="BT223" t="n">
        <v>0</v>
      </c>
      <c r="BU223" t="n">
        <v>62435</v>
      </c>
      <c r="BV223" t="n">
        <v>3.273990561090718</v>
      </c>
      <c r="BY223" t="n">
        <v>62435</v>
      </c>
      <c r="BZ223" t="n">
        <v>3.273990561090718</v>
      </c>
      <c r="CP223" t="inlineStr">
        <is>
          <t>财会及报告管理部</t>
        </is>
      </c>
      <c r="CQ223" t="inlineStr">
        <is>
          <t>3,1</t>
        </is>
      </c>
      <c r="CR223" t="n">
        <v>5</v>
      </c>
      <c r="CS223" t="inlineStr">
        <is>
          <t>T2</t>
        </is>
      </c>
      <c r="CT223" t="inlineStr">
        <is>
          <t>N</t>
        </is>
      </c>
    </row>
    <row r="224">
      <c r="A224" t="inlineStr">
        <is>
          <t>danielPan(潘力)</t>
        </is>
      </c>
      <c r="C224" t="n">
        <v>42434651</v>
      </c>
      <c r="D224" t="inlineStr">
        <is>
          <t>CDG财务管理</t>
        </is>
      </c>
      <c r="E224" t="inlineStr">
        <is>
          <t>AMS收入支持中心</t>
        </is>
      </c>
      <c r="G224" t="inlineStr">
        <is>
          <t>S2职能系统－财经线/CDG财务管理/AMS收入支持中心</t>
        </is>
      </c>
      <c r="H224" s="188" t="n">
        <v>40542</v>
      </c>
      <c r="I224" t="inlineStr">
        <is>
          <t>社会招聘</t>
        </is>
      </c>
      <c r="J224" t="inlineStr">
        <is>
          <t>财经类－FN</t>
        </is>
      </c>
      <c r="K224" t="inlineStr">
        <is>
          <t>财务管理</t>
        </is>
      </c>
      <c r="L224" t="inlineStr">
        <is>
          <t>S6</t>
        </is>
      </c>
      <c r="N224" t="inlineStr">
        <is>
          <t>T1</t>
        </is>
      </c>
      <c r="Q224" t="inlineStr">
        <is>
          <t>G,G</t>
        </is>
      </c>
      <c r="U224" t="n">
        <v>24218.65</v>
      </c>
      <c r="V224" t="n">
        <v>0.083333</v>
      </c>
      <c r="W224" t="inlineStr">
        <is>
          <t>CNY</t>
        </is>
      </c>
      <c r="X224" t="n">
        <v>1</v>
      </c>
      <c r="Y224" t="n">
        <v>23638.34</v>
      </c>
      <c r="Z224" t="n">
        <v>0</v>
      </c>
      <c r="AA224" t="n">
        <v>48437.3</v>
      </c>
      <c r="AB224" t="n">
        <v>58710</v>
      </c>
      <c r="AC224" t="n">
        <v>31160</v>
      </c>
      <c r="AF224" t="n">
        <v>0</v>
      </c>
      <c r="AG224" t="n">
        <v>138307.3</v>
      </c>
      <c r="AH224" t="n">
        <v>5.850973460911383</v>
      </c>
      <c r="AI224" t="n">
        <v>138307.3</v>
      </c>
      <c r="AJ224" t="n">
        <v>5.850973460911383</v>
      </c>
      <c r="AK224" t="n">
        <v>4.532775990192205</v>
      </c>
      <c r="AQ224" t="n">
        <v>138307.3</v>
      </c>
      <c r="AR224" t="n">
        <v>5.850973460911383</v>
      </c>
      <c r="AS224" t="n">
        <v>1.358017575727822</v>
      </c>
      <c r="BL224" t="n">
        <v>1</v>
      </c>
      <c r="BM224" t="n">
        <v>20535</v>
      </c>
      <c r="BN224" t="n">
        <v>0</v>
      </c>
      <c r="BO224" t="n">
        <v>21515</v>
      </c>
      <c r="BP224" t="inlineStr">
        <is>
          <t>G,G</t>
        </is>
      </c>
      <c r="BQ224" t="inlineStr">
        <is>
          <t>T1</t>
        </is>
      </c>
      <c r="BR224" t="n">
        <v>66480</v>
      </c>
      <c r="BS224" t="n">
        <v>3.237399561723886</v>
      </c>
      <c r="BT224" t="n">
        <v>35365</v>
      </c>
      <c r="BU224" t="n">
        <v>101845</v>
      </c>
      <c r="BV224" t="n">
        <v>4.959581202824446</v>
      </c>
      <c r="BY224" t="n">
        <v>101845</v>
      </c>
      <c r="BZ224" t="n">
        <v>4.959581202824446</v>
      </c>
      <c r="CP224" t="inlineStr">
        <is>
          <t>CDG财务管理</t>
        </is>
      </c>
      <c r="CQ224" t="inlineStr">
        <is>
          <t>3,3</t>
        </is>
      </c>
      <c r="CR224" t="n">
        <v>6</v>
      </c>
      <c r="CS224" t="inlineStr">
        <is>
          <t>T1</t>
        </is>
      </c>
      <c r="CT224" t="inlineStr">
        <is>
          <t>N</t>
        </is>
      </c>
    </row>
    <row r="225">
      <c r="A225" t="inlineStr">
        <is>
          <t>lucyCui(崔娇柔)</t>
        </is>
      </c>
      <c r="C225" t="n">
        <v>1657381</v>
      </c>
      <c r="D225" t="inlineStr">
        <is>
          <t>财经投资并购及管理部</t>
        </is>
      </c>
      <c r="E225" t="inlineStr">
        <is>
          <t>行业及项目管理中心</t>
        </is>
      </c>
      <c r="G225" t="inlineStr">
        <is>
          <t>S2职能系统－财经线/财经投资并购及管理部/行业及项目管理中心</t>
        </is>
      </c>
      <c r="H225" s="188" t="n">
        <v>38089</v>
      </c>
      <c r="I225" t="inlineStr">
        <is>
          <t>社会招聘</t>
        </is>
      </c>
      <c r="J225" t="inlineStr">
        <is>
          <t>财经类－FN</t>
        </is>
      </c>
      <c r="K225" t="inlineStr">
        <is>
          <t>投资并购</t>
        </is>
      </c>
      <c r="M225" t="inlineStr">
        <is>
          <t>L2-1</t>
        </is>
      </c>
      <c r="N225" t="inlineStr">
        <is>
          <t>T1#</t>
        </is>
      </c>
      <c r="Q225" t="inlineStr">
        <is>
          <t>O,G</t>
        </is>
      </c>
      <c r="U225" t="n">
        <v>48015.7</v>
      </c>
      <c r="V225" t="n">
        <v>0.083333</v>
      </c>
      <c r="W225" t="inlineStr">
        <is>
          <t>CNY</t>
        </is>
      </c>
      <c r="X225" t="n">
        <v>1</v>
      </c>
      <c r="Y225" t="n">
        <v>47438.86</v>
      </c>
      <c r="Z225" t="n">
        <v>0</v>
      </c>
      <c r="AA225" t="n">
        <v>144047.1</v>
      </c>
      <c r="AB225" t="n">
        <v>161015</v>
      </c>
      <c r="AC225" t="n">
        <v>72020</v>
      </c>
      <c r="AF225" t="n">
        <v>14440</v>
      </c>
      <c r="AG225" t="n">
        <v>377082.1</v>
      </c>
      <c r="AH225" t="n">
        <v>7.948801889421457</v>
      </c>
      <c r="AI225" t="n">
        <v>391522.1</v>
      </c>
      <c r="AJ225" t="n">
        <v>8.253193689730317</v>
      </c>
      <c r="AK225" t="n">
        <v>6.735029045807592</v>
      </c>
      <c r="AQ225" t="n">
        <v>391522.1</v>
      </c>
      <c r="AR225" t="n">
        <v>8.253193689730317</v>
      </c>
      <c r="AS225" t="n">
        <v>1.384693545534925</v>
      </c>
      <c r="BL225" t="n">
        <v>1</v>
      </c>
      <c r="BM225" t="n">
        <v>41470</v>
      </c>
      <c r="BN225" t="n">
        <v>0</v>
      </c>
      <c r="BO225" t="n">
        <v>43125</v>
      </c>
      <c r="BP225" t="inlineStr">
        <is>
          <t>G,G</t>
        </is>
      </c>
      <c r="BQ225" t="inlineStr">
        <is>
          <t>T1#</t>
        </is>
      </c>
      <c r="BR225" t="n">
        <v>218240</v>
      </c>
      <c r="BS225" t="n">
        <v>5.262599469496021</v>
      </c>
      <c r="BT225" t="n">
        <v>64510</v>
      </c>
      <c r="BU225" t="n">
        <v>282750</v>
      </c>
      <c r="BV225" t="n">
        <v>6.818181818181818</v>
      </c>
      <c r="BY225" t="n">
        <v>282750</v>
      </c>
      <c r="BZ225" t="n">
        <v>6.818181818181818</v>
      </c>
      <c r="CP225" t="inlineStr">
        <is>
          <t>财经投资并购及管理部</t>
        </is>
      </c>
      <c r="CQ225" t="inlineStr">
        <is>
          <t>5,3</t>
        </is>
      </c>
      <c r="CR225" t="inlineStr">
        <is>
          <t>L2-1</t>
        </is>
      </c>
      <c r="CS225" t="inlineStr">
        <is>
          <t>T1#</t>
        </is>
      </c>
      <c r="CT225" t="inlineStr">
        <is>
          <t>N</t>
        </is>
      </c>
    </row>
    <row r="226">
      <c r="A226" t="inlineStr">
        <is>
          <t>philipWan(万宏)</t>
        </is>
      </c>
      <c r="C226" t="n">
        <v>47835962</v>
      </c>
      <c r="D226" t="inlineStr">
        <is>
          <t>CDG财务管理</t>
        </is>
      </c>
      <c r="E226" t="inlineStr">
        <is>
          <t>综合财务管理中心</t>
        </is>
      </c>
      <c r="G226" t="inlineStr">
        <is>
          <t>S2职能系统－财经线/CDG财务管理/综合财务管理中心</t>
        </is>
      </c>
      <c r="H226" s="188" t="n">
        <v>39319</v>
      </c>
      <c r="I226" t="inlineStr">
        <is>
          <t>社会招聘</t>
        </is>
      </c>
      <c r="J226" t="inlineStr">
        <is>
          <t>财经类－FN</t>
        </is>
      </c>
      <c r="K226" t="inlineStr">
        <is>
          <t>财务管理</t>
        </is>
      </c>
      <c r="L226" t="inlineStr">
        <is>
          <t>S10</t>
        </is>
      </c>
      <c r="N226" t="inlineStr">
        <is>
          <t>T1#</t>
        </is>
      </c>
      <c r="Q226" t="inlineStr">
        <is>
          <t>G,U</t>
        </is>
      </c>
      <c r="U226" t="n">
        <v>54930.7</v>
      </c>
      <c r="V226" t="n">
        <v>0.083333</v>
      </c>
      <c r="W226" t="inlineStr">
        <is>
          <t>CNY</t>
        </is>
      </c>
      <c r="X226" t="n">
        <v>1</v>
      </c>
      <c r="Y226" t="n">
        <v>53738.23</v>
      </c>
      <c r="Z226" t="n">
        <v>0</v>
      </c>
      <c r="AA226" t="n">
        <v>54930.7</v>
      </c>
      <c r="AB226" t="n">
        <v>181760</v>
      </c>
      <c r="AC226" t="n">
        <v>0</v>
      </c>
      <c r="AF226" t="n">
        <v>0</v>
      </c>
      <c r="AG226" t="n">
        <v>236690.7</v>
      </c>
      <c r="AH226" t="n">
        <v>4.404512392760238</v>
      </c>
      <c r="AI226" t="n">
        <v>236690.7</v>
      </c>
      <c r="AJ226" t="n">
        <v>4.404512392760238</v>
      </c>
      <c r="AK226" t="n">
        <v>4.404512392760238</v>
      </c>
      <c r="AQ226" t="n">
        <v>236690.7</v>
      </c>
      <c r="AR226" t="n">
        <v>4.404512392760238</v>
      </c>
      <c r="AS226" t="n">
        <v>0.7123980797303195</v>
      </c>
      <c r="BL226" t="n">
        <v>1</v>
      </c>
      <c r="BM226" t="n">
        <v>48010</v>
      </c>
      <c r="BN226" t="n">
        <v>0</v>
      </c>
      <c r="BO226" t="n">
        <v>50535</v>
      </c>
      <c r="BP226" t="inlineStr">
        <is>
          <t>G,G</t>
        </is>
      </c>
      <c r="BQ226" t="inlineStr">
        <is>
          <t>T1#</t>
        </is>
      </c>
      <c r="BR226" t="n">
        <v>274530</v>
      </c>
      <c r="BS226" t="n">
        <v>5.718183711726724</v>
      </c>
      <c r="BT226" t="n">
        <v>57715</v>
      </c>
      <c r="BU226" t="n">
        <v>332245</v>
      </c>
      <c r="BV226" t="n">
        <v>6.920329098104562</v>
      </c>
      <c r="BY226" t="n">
        <v>332245</v>
      </c>
      <c r="BZ226" t="n">
        <v>6.920329098104562</v>
      </c>
      <c r="CP226" t="inlineStr">
        <is>
          <t>CDG财务管理</t>
        </is>
      </c>
      <c r="CQ226" t="inlineStr">
        <is>
          <t>3,1</t>
        </is>
      </c>
      <c r="CR226" t="n">
        <v>10</v>
      </c>
      <c r="CS226" t="inlineStr">
        <is>
          <t>T1#</t>
        </is>
      </c>
      <c r="CT226" t="inlineStr">
        <is>
          <t>N</t>
        </is>
      </c>
    </row>
    <row r="227">
      <c r="A227" t="inlineStr">
        <is>
          <t>jonathanGuo(郭勇)</t>
        </is>
      </c>
      <c r="C227" t="n">
        <v>6495275</v>
      </c>
      <c r="D227" t="inlineStr">
        <is>
          <t>WXG财务管理</t>
        </is>
      </c>
      <c r="E227" t="inlineStr">
        <is>
          <t>微信平台财务管理中心</t>
        </is>
      </c>
      <c r="G227" t="inlineStr">
        <is>
          <t>S2职能系统－财经线/WXG财务管理/微信平台财务管理中心</t>
        </is>
      </c>
      <c r="H227" s="188" t="n">
        <v>36176</v>
      </c>
      <c r="I227" t="inlineStr">
        <is>
          <t>社会招聘</t>
        </is>
      </c>
      <c r="J227" t="inlineStr">
        <is>
          <t>财经类－FN</t>
        </is>
      </c>
      <c r="K227" t="inlineStr">
        <is>
          <t>财务管理</t>
        </is>
      </c>
      <c r="L227" t="inlineStr">
        <is>
          <t>S10</t>
        </is>
      </c>
      <c r="N227" t="inlineStr">
        <is>
          <t>T1</t>
        </is>
      </c>
      <c r="Q227" t="inlineStr">
        <is>
          <t>U,G</t>
        </is>
      </c>
      <c r="U227" t="n">
        <v>54060.65</v>
      </c>
      <c r="V227" t="n">
        <v>0.083333</v>
      </c>
      <c r="W227" t="inlineStr">
        <is>
          <t>CNY</t>
        </is>
      </c>
      <c r="X227" t="n">
        <v>1</v>
      </c>
      <c r="Y227" t="n">
        <v>48813.31</v>
      </c>
      <c r="Z227" t="n">
        <v>0</v>
      </c>
      <c r="AA227" t="n">
        <v>54060.65</v>
      </c>
      <c r="AB227" t="n">
        <v>133265</v>
      </c>
      <c r="AC227" t="n">
        <v>0</v>
      </c>
      <c r="AF227" t="n">
        <v>0</v>
      </c>
      <c r="AG227" t="n">
        <v>187325.65</v>
      </c>
      <c r="AH227" t="n">
        <v>3.837593680903836</v>
      </c>
      <c r="AI227" t="n">
        <v>187325.65</v>
      </c>
      <c r="AJ227" t="n">
        <v>3.837593680903836</v>
      </c>
      <c r="AK227" t="n">
        <v>3.837593680903836</v>
      </c>
      <c r="AQ227" t="n">
        <v>187325.65</v>
      </c>
      <c r="AR227" t="n">
        <v>3.837593680903836</v>
      </c>
      <c r="AS227" t="n">
        <v>0.783592612733205</v>
      </c>
      <c r="BL227" t="n">
        <v>1</v>
      </c>
      <c r="BM227" t="n">
        <v>45395</v>
      </c>
      <c r="BN227" t="n">
        <v>0</v>
      </c>
      <c r="BO227" t="n">
        <v>48480</v>
      </c>
      <c r="BP227" t="inlineStr">
        <is>
          <t>G,G</t>
        </is>
      </c>
      <c r="BQ227" t="inlineStr">
        <is>
          <t>T1</t>
        </is>
      </c>
      <c r="BR227" t="n">
        <v>147030</v>
      </c>
      <c r="BS227" t="n">
        <v>3.238902962881375</v>
      </c>
      <c r="BT227" t="n">
        <v>92030</v>
      </c>
      <c r="BU227" t="n">
        <v>239060</v>
      </c>
      <c r="BV227" t="n">
        <v>5.266218746557991</v>
      </c>
      <c r="BY227" t="n">
        <v>239060</v>
      </c>
      <c r="BZ227" t="n">
        <v>5.266218746557991</v>
      </c>
      <c r="CP227" t="inlineStr">
        <is>
          <t>WXG财务管理</t>
        </is>
      </c>
      <c r="CQ227" t="inlineStr">
        <is>
          <t>3,1</t>
        </is>
      </c>
      <c r="CR227" t="n">
        <v>10</v>
      </c>
      <c r="CS227" t="inlineStr">
        <is>
          <t>T1</t>
        </is>
      </c>
      <c r="CT227" t="inlineStr">
        <is>
          <t>N</t>
        </is>
      </c>
    </row>
    <row r="228">
      <c r="A228" t="inlineStr">
        <is>
          <t>dorothyTan(谭雅嫣)</t>
        </is>
      </c>
      <c r="C228" t="n">
        <v>1350726</v>
      </c>
      <c r="D228" t="inlineStr">
        <is>
          <t>在线视频财务管理中心</t>
        </is>
      </c>
      <c r="E228" t="inlineStr">
        <is>
          <t>OVB长视频财务管理组</t>
        </is>
      </c>
      <c r="G228" t="inlineStr">
        <is>
          <t>S2职能系统－财经线/在线视频财务管理中心/OVB长视频财务管理组</t>
        </is>
      </c>
      <c r="H228" s="188" t="n">
        <v>39380</v>
      </c>
      <c r="I228" t="inlineStr">
        <is>
          <t>社会招聘</t>
        </is>
      </c>
      <c r="J228" t="inlineStr">
        <is>
          <t>财经类－FN</t>
        </is>
      </c>
      <c r="K228" t="inlineStr">
        <is>
          <t>财务管理</t>
        </is>
      </c>
      <c r="L228" t="inlineStr">
        <is>
          <t>S6</t>
        </is>
      </c>
      <c r="N228" t="inlineStr">
        <is>
          <t>T2</t>
        </is>
      </c>
      <c r="Q228" t="inlineStr">
        <is>
          <t>G,O</t>
        </is>
      </c>
      <c r="U228" t="n">
        <v>31127.1</v>
      </c>
      <c r="V228" t="n">
        <v>0.083333</v>
      </c>
      <c r="W228" t="inlineStr">
        <is>
          <t>CNY</t>
        </is>
      </c>
      <c r="X228" t="n">
        <v>1</v>
      </c>
      <c r="Y228" t="n">
        <v>29136.4</v>
      </c>
      <c r="Z228" t="n">
        <v>0</v>
      </c>
      <c r="AA228" t="n">
        <v>93381.3</v>
      </c>
      <c r="AB228" t="n">
        <v>41540</v>
      </c>
      <c r="AC228" t="n">
        <v>0</v>
      </c>
      <c r="AF228" t="n">
        <v>0</v>
      </c>
      <c r="AG228" t="n">
        <v>134921.3</v>
      </c>
      <c r="AH228" t="n">
        <v>4.630678464051838</v>
      </c>
      <c r="AI228" t="n">
        <v>134921.3</v>
      </c>
      <c r="AJ228" t="n">
        <v>4.630678464051838</v>
      </c>
      <c r="AK228" t="n">
        <v>4.630678464051838</v>
      </c>
      <c r="AQ228" t="n">
        <v>134921.3</v>
      </c>
      <c r="AR228" t="n">
        <v>4.630678464051838</v>
      </c>
      <c r="AS228" t="n">
        <v>2.27063783237967</v>
      </c>
      <c r="BL228" t="n">
        <v>1</v>
      </c>
      <c r="BM228" t="n">
        <v>25780</v>
      </c>
      <c r="BN228" t="n">
        <v>0</v>
      </c>
      <c r="BO228" t="n">
        <v>28335</v>
      </c>
      <c r="BP228" t="inlineStr">
        <is>
          <t>G,U</t>
        </is>
      </c>
      <c r="BQ228" t="inlineStr">
        <is>
          <t>T2</t>
        </is>
      </c>
      <c r="BR228" t="n">
        <v>59420</v>
      </c>
      <c r="BS228" t="n">
        <v>2.30488750969744</v>
      </c>
      <c r="BT228" t="n">
        <v>0</v>
      </c>
      <c r="BU228" t="n">
        <v>59420</v>
      </c>
      <c r="BV228" t="n">
        <v>2.30488750969744</v>
      </c>
      <c r="BY228" t="n">
        <v>59420</v>
      </c>
      <c r="BZ228" t="n">
        <v>2.30488750969744</v>
      </c>
      <c r="CP228" t="inlineStr">
        <is>
          <t>在线视频财务管理中心</t>
        </is>
      </c>
      <c r="CQ228" t="inlineStr">
        <is>
          <t>5,3</t>
        </is>
      </c>
      <c r="CR228" t="n">
        <v>6</v>
      </c>
      <c r="CS228" t="inlineStr">
        <is>
          <t>T2</t>
        </is>
      </c>
      <c r="CT228" t="inlineStr">
        <is>
          <t>N</t>
        </is>
      </c>
    </row>
    <row r="229">
      <c r="A229" t="inlineStr">
        <is>
          <t>samanthaZhou(周蝶)</t>
        </is>
      </c>
      <c r="C229" t="n">
        <v>24061177</v>
      </c>
      <c r="D229" t="inlineStr">
        <is>
          <t>IEG财务管理</t>
        </is>
      </c>
      <c r="E229" t="inlineStr">
        <is>
          <t>渠道财务管理组</t>
        </is>
      </c>
      <c r="G229" t="inlineStr">
        <is>
          <t>S2职能系统－财经线/IEG财务管理/渠道财务管理组</t>
        </is>
      </c>
      <c r="H229" s="188" t="n">
        <v>41544</v>
      </c>
      <c r="I229" t="inlineStr">
        <is>
          <t>社会招聘</t>
        </is>
      </c>
      <c r="J229" t="inlineStr">
        <is>
          <t>财经类－FN</t>
        </is>
      </c>
      <c r="K229" t="inlineStr">
        <is>
          <t>财务管理</t>
        </is>
      </c>
      <c r="L229" t="inlineStr">
        <is>
          <t>S8</t>
        </is>
      </c>
      <c r="N229" t="inlineStr">
        <is>
          <t>T1</t>
        </is>
      </c>
      <c r="Q229" t="inlineStr">
        <is>
          <t>G,O</t>
        </is>
      </c>
      <c r="U229" t="n">
        <v>28588.8</v>
      </c>
      <c r="V229" t="n">
        <v>0.083333</v>
      </c>
      <c r="W229" t="inlineStr">
        <is>
          <t>CNY</t>
        </is>
      </c>
      <c r="X229" t="n">
        <v>1</v>
      </c>
      <c r="Y229" t="n">
        <v>26404.67</v>
      </c>
      <c r="Z229" t="n">
        <v>0</v>
      </c>
      <c r="AA229" t="n">
        <v>85766.39999999999</v>
      </c>
      <c r="AB229" t="n">
        <v>64300</v>
      </c>
      <c r="AC229" t="n">
        <v>53030</v>
      </c>
      <c r="AF229" t="n">
        <v>0</v>
      </c>
      <c r="AG229" t="n">
        <v>203096.4</v>
      </c>
      <c r="AH229" t="n">
        <v>7.691684842113157</v>
      </c>
      <c r="AI229" t="n">
        <v>203096.4</v>
      </c>
      <c r="AJ229" t="n">
        <v>7.691684842113157</v>
      </c>
      <c r="AK229" t="n">
        <v>5.683327987056836</v>
      </c>
      <c r="AQ229" t="n">
        <v>203096.4</v>
      </c>
      <c r="AR229" t="n">
        <v>7.691684842113157</v>
      </c>
      <c r="AS229" t="n">
        <v>1.695790923892623</v>
      </c>
      <c r="BL229" t="n">
        <v>1</v>
      </c>
      <c r="BM229" t="n">
        <v>23105</v>
      </c>
      <c r="BN229" t="n">
        <v>0</v>
      </c>
      <c r="BO229" t="n">
        <v>24050</v>
      </c>
      <c r="BP229" t="inlineStr">
        <is>
          <t>G,G</t>
        </is>
      </c>
      <c r="BQ229" t="inlineStr">
        <is>
          <t>T1</t>
        </is>
      </c>
      <c r="BR229" t="n">
        <v>75775</v>
      </c>
      <c r="BS229" t="n">
        <v>3.279593161653322</v>
      </c>
      <c r="BT229" t="n">
        <v>43990</v>
      </c>
      <c r="BU229" t="n">
        <v>119765</v>
      </c>
      <c r="BV229" t="n">
        <v>5.183510062756979</v>
      </c>
      <c r="BY229" t="n">
        <v>119765</v>
      </c>
      <c r="BZ229" t="n">
        <v>5.183510062756979</v>
      </c>
      <c r="CP229" t="inlineStr">
        <is>
          <t>IEG财务管理</t>
        </is>
      </c>
      <c r="CQ229" t="inlineStr">
        <is>
          <t>5,3</t>
        </is>
      </c>
      <c r="CR229" t="n">
        <v>8</v>
      </c>
      <c r="CS229" t="inlineStr">
        <is>
          <t>T1</t>
        </is>
      </c>
      <c r="CT229" t="inlineStr">
        <is>
          <t>N</t>
        </is>
      </c>
    </row>
    <row r="230">
      <c r="A230" t="inlineStr">
        <is>
          <t>sarahCai(蔡霞柔)</t>
        </is>
      </c>
      <c r="C230" t="n">
        <v>32534787</v>
      </c>
      <c r="D230" t="inlineStr">
        <is>
          <t>风险管理和内部控制</t>
        </is>
      </c>
      <c r="E230" t="inlineStr">
        <is>
          <t>CSIG风控中心</t>
        </is>
      </c>
      <c r="G230" t="inlineStr">
        <is>
          <t>S2职能系统－财经线/风险管理和内部控制/CSIG风控中心</t>
        </is>
      </c>
      <c r="H230" s="188" t="n">
        <v>42825</v>
      </c>
      <c r="I230" t="inlineStr">
        <is>
          <t>社会招聘</t>
        </is>
      </c>
      <c r="J230" t="inlineStr">
        <is>
          <t>财经类－FN</t>
        </is>
      </c>
      <c r="K230" t="inlineStr">
        <is>
          <t>风险管理</t>
        </is>
      </c>
      <c r="L230" t="inlineStr">
        <is>
          <t>S8</t>
        </is>
      </c>
      <c r="N230" t="inlineStr">
        <is>
          <t>T2</t>
        </is>
      </c>
      <c r="Q230" t="inlineStr">
        <is>
          <t>O,G</t>
        </is>
      </c>
      <c r="U230" t="n">
        <v>50138.15</v>
      </c>
      <c r="V230" t="n">
        <v>0.083333</v>
      </c>
      <c r="W230" t="inlineStr">
        <is>
          <t>CNY</t>
        </is>
      </c>
      <c r="X230" t="n">
        <v>1</v>
      </c>
      <c r="Y230" t="n">
        <v>46086.49</v>
      </c>
      <c r="Z230" t="n">
        <v>0</v>
      </c>
      <c r="AA230" t="n">
        <v>150414.45</v>
      </c>
      <c r="AB230" t="n">
        <v>71350</v>
      </c>
      <c r="AC230" t="n">
        <v>0</v>
      </c>
      <c r="AF230" t="n">
        <v>0</v>
      </c>
      <c r="AG230" t="n">
        <v>221764.45</v>
      </c>
      <c r="AH230" t="n">
        <v>4.811918850838934</v>
      </c>
      <c r="AI230" t="n">
        <v>221764.45</v>
      </c>
      <c r="AJ230" t="n">
        <v>4.811918850838934</v>
      </c>
      <c r="AK230" t="n">
        <v>4.811918850838934</v>
      </c>
      <c r="AQ230" t="n">
        <v>221764.45</v>
      </c>
      <c r="AR230" t="n">
        <v>4.811918850838934</v>
      </c>
      <c r="AS230" t="n">
        <v>1.156529074315515</v>
      </c>
      <c r="BL230" t="n">
        <v>1</v>
      </c>
      <c r="BM230" t="n">
        <v>44375</v>
      </c>
      <c r="BN230" t="n">
        <v>0</v>
      </c>
      <c r="BO230" t="n">
        <v>47355</v>
      </c>
      <c r="BP230" t="inlineStr">
        <is>
          <t>G,O</t>
        </is>
      </c>
      <c r="BQ230" t="inlineStr">
        <is>
          <t>T2</t>
        </is>
      </c>
      <c r="BR230" t="n">
        <v>191750</v>
      </c>
      <c r="BS230" t="n">
        <v>4.32112676056338</v>
      </c>
      <c r="BT230" t="n">
        <v>0</v>
      </c>
      <c r="BU230" t="n">
        <v>191750</v>
      </c>
      <c r="BV230" t="n">
        <v>4.32112676056338</v>
      </c>
      <c r="BY230" t="n">
        <v>191750</v>
      </c>
      <c r="BZ230" t="n">
        <v>4.32112676056338</v>
      </c>
      <c r="CP230" t="inlineStr">
        <is>
          <t>风险管理和内部控制</t>
        </is>
      </c>
      <c r="CQ230" t="inlineStr">
        <is>
          <t>5,3</t>
        </is>
      </c>
      <c r="CR230" t="n">
        <v>8</v>
      </c>
      <c r="CS230" t="inlineStr">
        <is>
          <t>T2</t>
        </is>
      </c>
      <c r="CT230" t="inlineStr">
        <is>
          <t>N</t>
        </is>
      </c>
    </row>
    <row r="231">
      <c r="A231" t="inlineStr">
        <is>
          <t>markLong(龙天)</t>
        </is>
      </c>
      <c r="C231" t="n">
        <v>94536358</v>
      </c>
      <c r="D231" t="inlineStr">
        <is>
          <t>PCG财务管理</t>
        </is>
      </c>
      <c r="E231" t="inlineStr">
        <is>
          <t>财务规划及分析组</t>
        </is>
      </c>
      <c r="G231" t="inlineStr">
        <is>
          <t>S2职能系统－财经线/PCG财务管理/财务规划及分析组</t>
        </is>
      </c>
      <c r="H231" s="188" t="n">
        <v>44894</v>
      </c>
      <c r="I231" t="inlineStr">
        <is>
          <t>社会招聘</t>
        </is>
      </c>
      <c r="J231" t="inlineStr">
        <is>
          <t>财经类－FN</t>
        </is>
      </c>
      <c r="K231" t="inlineStr">
        <is>
          <t>财务管理</t>
        </is>
      </c>
      <c r="L231" t="inlineStr">
        <is>
          <t>S10</t>
        </is>
      </c>
      <c r="N231" t="inlineStr">
        <is>
          <t>T2</t>
        </is>
      </c>
      <c r="Q231" t="inlineStr">
        <is>
          <t>O,G</t>
        </is>
      </c>
      <c r="U231" t="n">
        <v>51768.95</v>
      </c>
      <c r="V231" t="n">
        <v>0.083333</v>
      </c>
      <c r="W231" t="inlineStr">
        <is>
          <t>CNY</t>
        </is>
      </c>
      <c r="X231" t="n">
        <v>1</v>
      </c>
      <c r="Y231" t="n">
        <v>51169.14</v>
      </c>
      <c r="Z231" t="n">
        <v>0</v>
      </c>
      <c r="AA231" t="n">
        <v>155306.85</v>
      </c>
      <c r="AB231" t="n">
        <v>71290</v>
      </c>
      <c r="AC231" t="n">
        <v>0</v>
      </c>
      <c r="AF231" t="n">
        <v>0</v>
      </c>
      <c r="AG231" t="n">
        <v>226596.85</v>
      </c>
      <c r="AH231" t="n">
        <v>4.428388868759569</v>
      </c>
      <c r="AI231" t="n">
        <v>226596.85</v>
      </c>
      <c r="AJ231" t="n">
        <v>4.428388868759569</v>
      </c>
      <c r="AK231" t="n">
        <v>4.428388868759569</v>
      </c>
      <c r="AQ231" t="n">
        <v>226596.85</v>
      </c>
      <c r="AR231" t="n">
        <v>4.428388868759569</v>
      </c>
      <c r="AS231" t="n">
        <v>1.554588707464325</v>
      </c>
      <c r="BL231" t="n">
        <v>1</v>
      </c>
      <c r="BM231" t="n">
        <v>43985</v>
      </c>
      <c r="BN231" t="n">
        <v>0</v>
      </c>
      <c r="BO231" t="n">
        <v>47025</v>
      </c>
      <c r="BP231" t="inlineStr">
        <is>
          <t>G,G</t>
        </is>
      </c>
      <c r="BQ231" t="inlineStr">
        <is>
          <t>T2</t>
        </is>
      </c>
      <c r="BR231" t="n">
        <v>145760</v>
      </c>
      <c r="BS231" t="n">
        <v>3.313856996703421</v>
      </c>
      <c r="BT231" t="n">
        <v>0</v>
      </c>
      <c r="BU231" t="n">
        <v>145760</v>
      </c>
      <c r="BV231" t="n">
        <v>3.313856996703421</v>
      </c>
      <c r="BY231" t="n">
        <v>145760</v>
      </c>
      <c r="BZ231" t="n">
        <v>3.313856996703421</v>
      </c>
      <c r="CP231" t="inlineStr">
        <is>
          <t>PCG财务管理</t>
        </is>
      </c>
      <c r="CQ231" t="inlineStr">
        <is>
          <t>5,3</t>
        </is>
      </c>
      <c r="CR231" t="n">
        <v>10</v>
      </c>
      <c r="CS231" t="inlineStr">
        <is>
          <t>T2</t>
        </is>
      </c>
      <c r="CT231" t="inlineStr">
        <is>
          <t>N</t>
        </is>
      </c>
    </row>
    <row r="232">
      <c r="A232" t="inlineStr">
        <is>
          <t>justinYan(严博安)</t>
        </is>
      </c>
      <c r="C232" t="n">
        <v>79587617</v>
      </c>
      <c r="D232" t="inlineStr">
        <is>
          <t>CSIG财务管理</t>
        </is>
      </c>
      <c r="E232" t="inlineStr">
        <is>
          <t>综合财务管理中心</t>
        </is>
      </c>
      <c r="G232" t="inlineStr">
        <is>
          <t>S2职能系统－财经线/CSIG财务管理/综合财务管理中心</t>
        </is>
      </c>
      <c r="H232" s="188" t="n">
        <v>45563</v>
      </c>
      <c r="I232" t="inlineStr">
        <is>
          <t>高校招聘</t>
        </is>
      </c>
      <c r="J232" t="inlineStr">
        <is>
          <t>财经类－FN</t>
        </is>
      </c>
      <c r="K232" t="inlineStr">
        <is>
          <t>财务管理</t>
        </is>
      </c>
      <c r="L232" t="inlineStr">
        <is>
          <t>S7</t>
        </is>
      </c>
      <c r="N232" t="inlineStr">
        <is>
          <t>T1</t>
        </is>
      </c>
      <c r="Q232" t="inlineStr">
        <is>
          <t>N,G</t>
        </is>
      </c>
      <c r="U232" t="n">
        <v>26884.65</v>
      </c>
      <c r="V232" t="n">
        <v>0.083333</v>
      </c>
      <c r="W232" t="inlineStr">
        <is>
          <t>CNY</t>
        </is>
      </c>
      <c r="X232" t="n">
        <v>0.257534</v>
      </c>
      <c r="Y232" t="n">
        <v>26884.65</v>
      </c>
      <c r="Z232" t="n">
        <v>0</v>
      </c>
      <c r="AA232" t="n">
        <v>6923.71</v>
      </c>
      <c r="AB232" t="n">
        <v>0</v>
      </c>
      <c r="AC232" t="n">
        <v>0</v>
      </c>
      <c r="AF232" t="n">
        <v>0</v>
      </c>
      <c r="AG232" t="n">
        <v>6923.71</v>
      </c>
      <c r="AH232" t="n">
        <v>0.2575339459505703</v>
      </c>
      <c r="AI232" t="n">
        <v>6923.71</v>
      </c>
      <c r="AJ232" t="n">
        <v>0.2575339459505703</v>
      </c>
      <c r="AK232" t="n">
        <v>0.2575339459505703</v>
      </c>
      <c r="AQ232" t="n">
        <v>6923.71</v>
      </c>
      <c r="AR232" t="n">
        <v>0.2575339459505703</v>
      </c>
      <c r="BM232" t="n">
        <v>0</v>
      </c>
      <c r="BN232" t="n">
        <v>0</v>
      </c>
      <c r="BO232" t="n">
        <v>0</v>
      </c>
      <c r="BR232" t="n">
        <v>0</v>
      </c>
      <c r="BT232" t="n">
        <v>0</v>
      </c>
      <c r="BU232" t="n">
        <v>0</v>
      </c>
      <c r="BY232" t="n">
        <v>0</v>
      </c>
      <c r="CP232" t="inlineStr">
        <is>
          <t>CSIG财务管理</t>
        </is>
      </c>
      <c r="CQ232" t="n">
        <v>3</v>
      </c>
      <c r="CR232" t="n">
        <v>7</v>
      </c>
      <c r="CS232" t="inlineStr">
        <is>
          <t>T1</t>
        </is>
      </c>
      <c r="CT232" t="inlineStr">
        <is>
          <t>N</t>
        </is>
      </c>
    </row>
    <row r="233">
      <c r="A233" t="inlineStr">
        <is>
          <t>sandraDuan(段玲)</t>
        </is>
      </c>
      <c r="C233" t="n">
        <v>29828308</v>
      </c>
      <c r="D233" t="inlineStr">
        <is>
          <t>财会及报告管理部</t>
        </is>
      </c>
      <c r="E233" t="inlineStr">
        <is>
          <t>专业支持中心</t>
        </is>
      </c>
      <c r="G233" t="inlineStr">
        <is>
          <t>S2职能系统－财经线/财会及报告管理部/专业支持中心</t>
        </is>
      </c>
      <c r="H233" s="188" t="n">
        <v>37421</v>
      </c>
      <c r="I233" t="inlineStr">
        <is>
          <t>高校招聘</t>
        </is>
      </c>
      <c r="J233" t="inlineStr">
        <is>
          <t>财经类－FN</t>
        </is>
      </c>
      <c r="K233" t="inlineStr">
        <is>
          <t>会计</t>
        </is>
      </c>
      <c r="L233" t="inlineStr">
        <is>
          <t>S6</t>
        </is>
      </c>
      <c r="N233" t="inlineStr">
        <is>
          <t>T2</t>
        </is>
      </c>
      <c r="Q233" t="inlineStr">
        <is>
          <t>G,G</t>
        </is>
      </c>
      <c r="U233" t="n">
        <v>35453.3</v>
      </c>
      <c r="V233" t="n">
        <v>0.083333</v>
      </c>
      <c r="W233" t="inlineStr">
        <is>
          <t>CNY</t>
        </is>
      </c>
      <c r="X233" t="n">
        <v>1</v>
      </c>
      <c r="Y233" t="n">
        <v>34908.4</v>
      </c>
      <c r="Z233" t="n">
        <v>0</v>
      </c>
      <c r="AA233" t="n">
        <v>70906.60000000001</v>
      </c>
      <c r="AB233" t="n">
        <v>43680</v>
      </c>
      <c r="AC233" t="n">
        <v>0</v>
      </c>
      <c r="AF233" t="n">
        <v>0</v>
      </c>
      <c r="AG233" t="n">
        <v>114586.6</v>
      </c>
      <c r="AH233" t="n">
        <v>3.282493611852735</v>
      </c>
      <c r="AI233" t="n">
        <v>114586.6</v>
      </c>
      <c r="AJ233" t="n">
        <v>3.282493611852735</v>
      </c>
      <c r="AK233" t="n">
        <v>3.282493611852735</v>
      </c>
      <c r="AQ233" t="n">
        <v>114586.6</v>
      </c>
      <c r="AR233" t="n">
        <v>3.282493611852735</v>
      </c>
      <c r="AS233" t="n">
        <v>1.148392463419523</v>
      </c>
      <c r="BL233" t="n">
        <v>1</v>
      </c>
      <c r="BM233" t="n">
        <v>29545</v>
      </c>
      <c r="BN233" t="n">
        <v>0</v>
      </c>
      <c r="BO233" t="n">
        <v>30010</v>
      </c>
      <c r="BP233" t="inlineStr">
        <is>
          <t>G,G</t>
        </is>
      </c>
      <c r="BQ233" t="inlineStr">
        <is>
          <t>T2</t>
        </is>
      </c>
      <c r="BR233" t="n">
        <v>99780</v>
      </c>
      <c r="BS233" t="n">
        <v>3.377221188018277</v>
      </c>
      <c r="BT233" t="n">
        <v>0</v>
      </c>
      <c r="BU233" t="n">
        <v>99780</v>
      </c>
      <c r="BV233" t="n">
        <v>3.377221188018277</v>
      </c>
      <c r="BY233" t="n">
        <v>99780</v>
      </c>
      <c r="BZ233" t="n">
        <v>3.377221188018277</v>
      </c>
      <c r="CP233" t="inlineStr">
        <is>
          <t>财会及报告管理部</t>
        </is>
      </c>
      <c r="CQ233" t="inlineStr">
        <is>
          <t>3,3</t>
        </is>
      </c>
      <c r="CR233" t="n">
        <v>6</v>
      </c>
      <c r="CS233" t="inlineStr">
        <is>
          <t>T2</t>
        </is>
      </c>
      <c r="CT233" t="inlineStr">
        <is>
          <t>N</t>
        </is>
      </c>
    </row>
    <row r="234">
      <c r="A234" t="inlineStr">
        <is>
          <t>willieGu(顾霖恒)</t>
        </is>
      </c>
      <c r="C234" t="n">
        <v>58302784</v>
      </c>
      <c r="D234" t="inlineStr">
        <is>
          <t>风险管理和内部控制</t>
        </is>
      </c>
      <c r="E234" t="inlineStr">
        <is>
          <t>CSIG风控中心</t>
        </is>
      </c>
      <c r="G234" t="inlineStr">
        <is>
          <t>S2职能系统－财经线/风险管理和内部控制/CSIG风控中心</t>
        </is>
      </c>
      <c r="H234" s="188" t="n">
        <v>39306</v>
      </c>
      <c r="I234" t="inlineStr">
        <is>
          <t>社会招聘</t>
        </is>
      </c>
      <c r="J234" t="inlineStr">
        <is>
          <t>财经类－FN</t>
        </is>
      </c>
      <c r="K234" t="inlineStr">
        <is>
          <t>风险管理</t>
        </is>
      </c>
      <c r="L234" t="inlineStr">
        <is>
          <t>S6</t>
        </is>
      </c>
      <c r="N234" t="inlineStr">
        <is>
          <t>T1#</t>
        </is>
      </c>
      <c r="Q234" t="inlineStr">
        <is>
          <t>G,G</t>
        </is>
      </c>
      <c r="U234" t="n">
        <v>32535.7</v>
      </c>
      <c r="V234" t="n">
        <v>0.083333</v>
      </c>
      <c r="W234" t="inlineStr">
        <is>
          <t>CNY</t>
        </is>
      </c>
      <c r="X234" t="n">
        <v>1</v>
      </c>
      <c r="Y234" t="n">
        <v>30820.16</v>
      </c>
      <c r="Z234" t="n">
        <v>0</v>
      </c>
      <c r="AA234" t="n">
        <v>65071.4</v>
      </c>
      <c r="AB234" t="n">
        <v>99325</v>
      </c>
      <c r="AC234" t="n">
        <v>58955</v>
      </c>
      <c r="AF234" t="n">
        <v>0</v>
      </c>
      <c r="AG234" t="n">
        <v>223351.4</v>
      </c>
      <c r="AH234" t="n">
        <v>7.246925389095968</v>
      </c>
      <c r="AI234" t="n">
        <v>223351.4</v>
      </c>
      <c r="AJ234" t="n">
        <v>7.246925389095968</v>
      </c>
      <c r="AK234" t="n">
        <v>5.334054073697216</v>
      </c>
      <c r="AQ234" t="n">
        <v>223351.4</v>
      </c>
      <c r="AR234" t="n">
        <v>7.246925389095968</v>
      </c>
      <c r="AS234" t="n">
        <v>1.838964225433288</v>
      </c>
      <c r="BL234" t="n">
        <v>1</v>
      </c>
      <c r="BM234" t="n">
        <v>27740</v>
      </c>
      <c r="BN234" t="n">
        <v>0</v>
      </c>
      <c r="BO234" t="n">
        <v>28045</v>
      </c>
      <c r="BP234" t="inlineStr">
        <is>
          <t>U,G</t>
        </is>
      </c>
      <c r="BQ234" t="inlineStr">
        <is>
          <t>T1#</t>
        </is>
      </c>
      <c r="BR234" t="n">
        <v>121455</v>
      </c>
      <c r="BS234" t="n">
        <v>4.378334534967556</v>
      </c>
      <c r="BT234" t="n">
        <v>0</v>
      </c>
      <c r="BU234" t="n">
        <v>121455</v>
      </c>
      <c r="BV234" t="n">
        <v>4.378334534967556</v>
      </c>
      <c r="BY234" t="n">
        <v>121455</v>
      </c>
      <c r="BZ234" t="n">
        <v>4.378334534967556</v>
      </c>
      <c r="CP234" t="inlineStr">
        <is>
          <t>风险管理和内部控制</t>
        </is>
      </c>
      <c r="CQ234" t="inlineStr">
        <is>
          <t>3,3</t>
        </is>
      </c>
      <c r="CR234" t="n">
        <v>6</v>
      </c>
      <c r="CS234" t="inlineStr">
        <is>
          <t>T1#</t>
        </is>
      </c>
      <c r="CT234" t="inlineStr">
        <is>
          <t>N</t>
        </is>
      </c>
    </row>
    <row r="235">
      <c r="A235" t="inlineStr">
        <is>
          <t>lukeQian(钱鹏德)</t>
        </is>
      </c>
      <c r="C235" t="n">
        <v>18128942</v>
      </c>
      <c r="D235" t="inlineStr">
        <is>
          <t>在线视频财务管理中心</t>
        </is>
      </c>
      <c r="E235" t="inlineStr">
        <is>
          <t>OVB长视频财务管理组</t>
        </is>
      </c>
      <c r="G235" t="inlineStr">
        <is>
          <t>S2职能系统－财经线/在线视频财务管理中心/OVB长视频财务管理组</t>
        </is>
      </c>
      <c r="H235" s="188" t="n">
        <v>38286</v>
      </c>
      <c r="I235" t="inlineStr">
        <is>
          <t>社会招聘</t>
        </is>
      </c>
      <c r="J235" t="inlineStr">
        <is>
          <t>财经类－FN</t>
        </is>
      </c>
      <c r="K235" t="inlineStr">
        <is>
          <t>财务管理</t>
        </is>
      </c>
      <c r="L235" t="inlineStr">
        <is>
          <t>S11</t>
        </is>
      </c>
      <c r="N235" t="inlineStr">
        <is>
          <t>T1</t>
        </is>
      </c>
      <c r="Q235" t="inlineStr">
        <is>
          <t>U,G</t>
        </is>
      </c>
      <c r="U235" t="n">
        <v>59717.25</v>
      </c>
      <c r="V235" t="n">
        <v>0.083333</v>
      </c>
      <c r="W235" t="inlineStr">
        <is>
          <t>CNY</t>
        </is>
      </c>
      <c r="X235" t="n">
        <v>1</v>
      </c>
      <c r="Y235" t="n">
        <v>58343.83</v>
      </c>
      <c r="Z235" t="n">
        <v>0</v>
      </c>
      <c r="AA235" t="n">
        <v>59717.25</v>
      </c>
      <c r="AB235" t="n">
        <v>141715</v>
      </c>
      <c r="AC235" t="n">
        <v>0</v>
      </c>
      <c r="AF235" t="n">
        <v>0</v>
      </c>
      <c r="AG235" t="n">
        <v>201432.25</v>
      </c>
      <c r="AH235" t="n">
        <v>3.452503032454331</v>
      </c>
      <c r="AI235" t="n">
        <v>201432.25</v>
      </c>
      <c r="AJ235" t="n">
        <v>3.452503032454331</v>
      </c>
      <c r="AK235" t="n">
        <v>3.452503032454331</v>
      </c>
      <c r="AQ235" t="n">
        <v>201432.25</v>
      </c>
      <c r="AR235" t="n">
        <v>3.452503032454331</v>
      </c>
      <c r="AS235" t="n">
        <v>0.6155207712639991</v>
      </c>
      <c r="BL235" t="n">
        <v>1</v>
      </c>
      <c r="BM235" t="n">
        <v>50600</v>
      </c>
      <c r="BN235" t="n">
        <v>0</v>
      </c>
      <c r="BO235" t="n">
        <v>54235</v>
      </c>
      <c r="BP235" t="inlineStr">
        <is>
          <t>O,G</t>
        </is>
      </c>
      <c r="BQ235" t="inlineStr">
        <is>
          <t>T1</t>
        </is>
      </c>
      <c r="BR235" t="n">
        <v>224965</v>
      </c>
      <c r="BS235" t="n">
        <v>4.44594861660079</v>
      </c>
      <c r="BT235" t="n">
        <v>102290</v>
      </c>
      <c r="BU235" t="n">
        <v>327255</v>
      </c>
      <c r="BV235" t="n">
        <v>6.467490118577075</v>
      </c>
      <c r="BY235" t="n">
        <v>327255</v>
      </c>
      <c r="BZ235" t="n">
        <v>6.467490118577075</v>
      </c>
      <c r="CP235" t="inlineStr">
        <is>
          <t>在线视频财务管理中心</t>
        </is>
      </c>
      <c r="CQ235" t="inlineStr">
        <is>
          <t>3,1</t>
        </is>
      </c>
      <c r="CR235" t="n">
        <v>11</v>
      </c>
      <c r="CS235" t="inlineStr">
        <is>
          <t>T1</t>
        </is>
      </c>
      <c r="CT235" t="inlineStr">
        <is>
          <t>N</t>
        </is>
      </c>
    </row>
    <row r="236">
      <c r="A236" t="inlineStr">
        <is>
          <t>elizabethXiong(熊思佳)</t>
        </is>
      </c>
      <c r="C236" t="n">
        <v>92067383</v>
      </c>
      <c r="D236" t="inlineStr">
        <is>
          <t>财会及报告管理部</t>
        </is>
      </c>
      <c r="E236" t="inlineStr">
        <is>
          <t>供应商支付管理中心</t>
        </is>
      </c>
      <c r="G236" t="inlineStr">
        <is>
          <t>S2职能系统－财经线/财会及报告管理部/供应商支付管理中心</t>
        </is>
      </c>
      <c r="H236" s="188" t="n">
        <v>38029</v>
      </c>
      <c r="I236" t="inlineStr">
        <is>
          <t>高校招聘</t>
        </is>
      </c>
      <c r="J236" t="inlineStr">
        <is>
          <t>财经类－FN</t>
        </is>
      </c>
      <c r="K236" t="inlineStr">
        <is>
          <t>会计</t>
        </is>
      </c>
      <c r="M236" t="inlineStr">
        <is>
          <t>L2-2</t>
        </is>
      </c>
      <c r="N236" t="inlineStr">
        <is>
          <t>T1#</t>
        </is>
      </c>
      <c r="Q236" t="inlineStr">
        <is>
          <t>U,G</t>
        </is>
      </c>
      <c r="U236" t="n">
        <v>66082.89999999999</v>
      </c>
      <c r="V236" t="n">
        <v>0.083333</v>
      </c>
      <c r="W236" t="inlineStr">
        <is>
          <t>CNY</t>
        </is>
      </c>
      <c r="X236" t="n">
        <v>1</v>
      </c>
      <c r="Y236" t="n">
        <v>62623.87</v>
      </c>
      <c r="Z236" t="n">
        <v>0</v>
      </c>
      <c r="AA236" t="n">
        <v>66082.89999999999</v>
      </c>
      <c r="AB236" t="n">
        <v>199815</v>
      </c>
      <c r="AC236" t="n">
        <v>0</v>
      </c>
      <c r="AF236" t="n">
        <v>11980</v>
      </c>
      <c r="AG236" t="n">
        <v>265897.9</v>
      </c>
      <c r="AH236" t="n">
        <v>4.245951264270317</v>
      </c>
      <c r="AI236" t="n">
        <v>277877.9</v>
      </c>
      <c r="AJ236" t="n">
        <v>4.437252121275801</v>
      </c>
      <c r="AK236" t="n">
        <v>4.437252121275801</v>
      </c>
      <c r="AQ236" t="n">
        <v>277877.9</v>
      </c>
      <c r="AR236" t="n">
        <v>4.437252121275801</v>
      </c>
      <c r="AS236" t="n">
        <v>0.6744036307595229</v>
      </c>
      <c r="BL236" t="n">
        <v>1</v>
      </c>
      <c r="BM236" t="n">
        <v>52920</v>
      </c>
      <c r="BN236" t="n">
        <v>0</v>
      </c>
      <c r="BO236" t="n">
        <v>54120</v>
      </c>
      <c r="BP236" t="inlineStr">
        <is>
          <t>O,G</t>
        </is>
      </c>
      <c r="BQ236" t="inlineStr">
        <is>
          <t>T1#</t>
        </is>
      </c>
      <c r="BR236" t="n">
        <v>338445</v>
      </c>
      <c r="BS236" t="n">
        <v>6.395408163265306</v>
      </c>
      <c r="BT236" t="n">
        <v>73590</v>
      </c>
      <c r="BU236" t="n">
        <v>412035</v>
      </c>
      <c r="BV236" t="n">
        <v>7.785997732426304</v>
      </c>
      <c r="BY236" t="n">
        <v>412035</v>
      </c>
      <c r="BZ236" t="n">
        <v>7.785997732426304</v>
      </c>
      <c r="CP236" t="inlineStr">
        <is>
          <t>财会及报告管理部</t>
        </is>
      </c>
      <c r="CQ236" t="inlineStr">
        <is>
          <t>3,1</t>
        </is>
      </c>
      <c r="CR236" t="inlineStr">
        <is>
          <t>L2-2</t>
        </is>
      </c>
      <c r="CS236" t="inlineStr">
        <is>
          <t>T1#</t>
        </is>
      </c>
      <c r="CT236" t="inlineStr">
        <is>
          <t>N</t>
        </is>
      </c>
    </row>
    <row r="237">
      <c r="A237" t="inlineStr">
        <is>
          <t>joeShi(施翔)</t>
        </is>
      </c>
      <c r="C237" t="n">
        <v>18946173</v>
      </c>
      <c r="D237" t="inlineStr">
        <is>
          <t>CDG财务管理</t>
        </is>
      </c>
      <c r="E237" t="inlineStr">
        <is>
          <t>综合财务管理中心</t>
        </is>
      </c>
      <c r="G237" t="inlineStr">
        <is>
          <t>S2职能系统－财经线/CDG财务管理/综合财务管理中心</t>
        </is>
      </c>
      <c r="H237" s="188" t="n">
        <v>45503</v>
      </c>
      <c r="I237" t="inlineStr">
        <is>
          <t>高校招聘</t>
        </is>
      </c>
      <c r="J237" t="inlineStr">
        <is>
          <t>财经类－FN</t>
        </is>
      </c>
      <c r="K237" t="inlineStr">
        <is>
          <t>财务管理</t>
        </is>
      </c>
      <c r="L237" t="inlineStr">
        <is>
          <t>S8</t>
        </is>
      </c>
      <c r="N237" t="inlineStr">
        <is>
          <t>T1#</t>
        </is>
      </c>
      <c r="Q237" t="inlineStr">
        <is>
          <t>N,G</t>
        </is>
      </c>
      <c r="U237" t="n">
        <v>47049.75</v>
      </c>
      <c r="V237" t="n">
        <v>0.083333</v>
      </c>
      <c r="W237" t="inlineStr">
        <is>
          <t>CNY</t>
        </is>
      </c>
      <c r="X237" t="n">
        <v>0.421918</v>
      </c>
      <c r="Y237" t="n">
        <v>47049.75</v>
      </c>
      <c r="Z237" t="n">
        <v>0</v>
      </c>
      <c r="AA237" t="n">
        <v>19851.14</v>
      </c>
      <c r="AB237" t="n">
        <v>0</v>
      </c>
      <c r="AC237" t="n">
        <v>0</v>
      </c>
      <c r="AF237" t="n">
        <v>0</v>
      </c>
      <c r="AG237" t="n">
        <v>19851.14</v>
      </c>
      <c r="AH237" t="n">
        <v>0.421918076079044</v>
      </c>
      <c r="AI237" t="n">
        <v>19851.14</v>
      </c>
      <c r="AJ237" t="n">
        <v>0.421918076079044</v>
      </c>
      <c r="AK237" t="n">
        <v>0.421918076079044</v>
      </c>
      <c r="AQ237" t="n">
        <v>19851.14</v>
      </c>
      <c r="AR237" t="n">
        <v>0.421918076079044</v>
      </c>
      <c r="BM237" t="n">
        <v>0</v>
      </c>
      <c r="BN237" t="n">
        <v>0</v>
      </c>
      <c r="BO237" t="n">
        <v>0</v>
      </c>
      <c r="BR237" t="n">
        <v>0</v>
      </c>
      <c r="BT237" t="n">
        <v>0</v>
      </c>
      <c r="BU237" t="n">
        <v>0</v>
      </c>
      <c r="BY237" t="n">
        <v>0</v>
      </c>
      <c r="CP237" t="inlineStr">
        <is>
          <t>CDG财务管理</t>
        </is>
      </c>
      <c r="CQ237" t="n">
        <v>3</v>
      </c>
      <c r="CR237" t="n">
        <v>8</v>
      </c>
      <c r="CS237" t="inlineStr">
        <is>
          <t>T1#</t>
        </is>
      </c>
      <c r="CT237" t="inlineStr">
        <is>
          <t>N</t>
        </is>
      </c>
    </row>
    <row r="238">
      <c r="A238" t="inlineStr">
        <is>
          <t>josephDu(杜坚雄)</t>
        </is>
      </c>
      <c r="C238" t="n">
        <v>43060574</v>
      </c>
      <c r="D238" t="inlineStr">
        <is>
          <t>风险管理和内部控制</t>
        </is>
      </c>
      <c r="E238" t="inlineStr">
        <is>
          <t>TEG风控组</t>
        </is>
      </c>
      <c r="G238" t="inlineStr">
        <is>
          <t>S2职能系统－财经线/风险管理和内部控制/TEG风控组</t>
        </is>
      </c>
      <c r="H238" s="188" t="n">
        <v>39719</v>
      </c>
      <c r="I238" t="inlineStr">
        <is>
          <t>社会招聘</t>
        </is>
      </c>
      <c r="J238" t="inlineStr">
        <is>
          <t>财经类－FN</t>
        </is>
      </c>
      <c r="K238" t="inlineStr">
        <is>
          <t>风险管理</t>
        </is>
      </c>
      <c r="L238" t="inlineStr">
        <is>
          <t>S7</t>
        </is>
      </c>
      <c r="N238" t="inlineStr">
        <is>
          <t>T1#</t>
        </is>
      </c>
      <c r="Q238" t="inlineStr">
        <is>
          <t>U,G</t>
        </is>
      </c>
      <c r="U238" t="n">
        <v>30343.85</v>
      </c>
      <c r="V238" t="n">
        <v>0.083333</v>
      </c>
      <c r="W238" t="inlineStr">
        <is>
          <t>CNY</t>
        </is>
      </c>
      <c r="X238" t="n">
        <v>1</v>
      </c>
      <c r="Y238" t="n">
        <v>27553.4</v>
      </c>
      <c r="Z238" t="n">
        <v>0</v>
      </c>
      <c r="AA238" t="n">
        <v>30343.85</v>
      </c>
      <c r="AB238" t="n">
        <v>94620</v>
      </c>
      <c r="AC238" t="n">
        <v>0</v>
      </c>
      <c r="AF238" t="n">
        <v>0</v>
      </c>
      <c r="AG238" t="n">
        <v>124963.85</v>
      </c>
      <c r="AH238" t="n">
        <v>4.53533320751704</v>
      </c>
      <c r="AI238" t="n">
        <v>124963.85</v>
      </c>
      <c r="AJ238" t="n">
        <v>4.53533320751704</v>
      </c>
      <c r="AK238" t="n">
        <v>4.53533320751704</v>
      </c>
      <c r="AQ238" t="n">
        <v>124963.85</v>
      </c>
      <c r="AR238" t="n">
        <v>4.53533320751704</v>
      </c>
      <c r="AS238" t="n">
        <v>1.101100096924839</v>
      </c>
      <c r="BL238" t="n">
        <v>1</v>
      </c>
      <c r="BM238" t="n">
        <v>25955</v>
      </c>
      <c r="BN238" t="n">
        <v>0</v>
      </c>
      <c r="BO238" t="n">
        <v>26675</v>
      </c>
      <c r="BP238" t="inlineStr">
        <is>
          <t>G,U</t>
        </is>
      </c>
      <c r="BQ238" t="inlineStr">
        <is>
          <t>T1#</t>
        </is>
      </c>
      <c r="BR238" t="n">
        <v>113490</v>
      </c>
      <c r="BS238" t="n">
        <v>4.372567905991138</v>
      </c>
      <c r="BT238" t="n">
        <v>0</v>
      </c>
      <c r="BU238" t="n">
        <v>113490</v>
      </c>
      <c r="BV238" t="n">
        <v>4.372567905991138</v>
      </c>
      <c r="BY238" t="n">
        <v>113490</v>
      </c>
      <c r="BZ238" t="n">
        <v>4.372567905991138</v>
      </c>
      <c r="CP238" t="inlineStr">
        <is>
          <t>风险管理和内部控制</t>
        </is>
      </c>
      <c r="CQ238" t="inlineStr">
        <is>
          <t>3,1</t>
        </is>
      </c>
      <c r="CR238" t="n">
        <v>7</v>
      </c>
      <c r="CS238" t="inlineStr">
        <is>
          <t>T1#</t>
        </is>
      </c>
      <c r="CT238" t="inlineStr">
        <is>
          <t>N</t>
        </is>
      </c>
    </row>
    <row r="239">
      <c r="A239" t="inlineStr">
        <is>
          <t>dennisXia(夏宇然)</t>
        </is>
      </c>
      <c r="C239" t="n">
        <v>518874</v>
      </c>
      <c r="D239" t="inlineStr">
        <is>
          <t>税务部</t>
        </is>
      </c>
      <c r="E239" t="inlineStr">
        <is>
          <t>国内主体税务中心</t>
        </is>
      </c>
      <c r="G239" t="inlineStr">
        <is>
          <t>S2职能系统－财经线/税务部/国内主体税务中心</t>
        </is>
      </c>
      <c r="H239" s="188" t="n">
        <v>37070</v>
      </c>
      <c r="I239" t="inlineStr">
        <is>
          <t>社会招聘</t>
        </is>
      </c>
      <c r="J239" t="inlineStr">
        <is>
          <t>财经类－FN</t>
        </is>
      </c>
      <c r="K239" t="inlineStr">
        <is>
          <t>税务</t>
        </is>
      </c>
      <c r="L239" t="inlineStr">
        <is>
          <t>S9</t>
        </is>
      </c>
      <c r="N239" t="inlineStr">
        <is>
          <t>T1</t>
        </is>
      </c>
      <c r="Q239" t="inlineStr">
        <is>
          <t>G,G</t>
        </is>
      </c>
      <c r="U239" t="n">
        <v>47484.85</v>
      </c>
      <c r="V239" t="n">
        <v>0.083333</v>
      </c>
      <c r="W239" t="inlineStr">
        <is>
          <t>CNY</t>
        </is>
      </c>
      <c r="X239" t="n">
        <v>1</v>
      </c>
      <c r="Y239" t="n">
        <v>44310.91</v>
      </c>
      <c r="Z239" t="n">
        <v>0</v>
      </c>
      <c r="AA239" t="n">
        <v>94969.7</v>
      </c>
      <c r="AB239" t="n">
        <v>111580</v>
      </c>
      <c r="AC239" t="n">
        <v>70640</v>
      </c>
      <c r="AF239" t="n">
        <v>0</v>
      </c>
      <c r="AG239" t="n">
        <v>277189.7</v>
      </c>
      <c r="AH239" t="n">
        <v>6.255563246162176</v>
      </c>
      <c r="AI239" t="n">
        <v>277189.7</v>
      </c>
      <c r="AJ239" t="n">
        <v>6.255563246162176</v>
      </c>
      <c r="AK239" t="n">
        <v>4.661373463104233</v>
      </c>
      <c r="AQ239" t="n">
        <v>277189.7</v>
      </c>
      <c r="AR239" t="n">
        <v>6.255563246162176</v>
      </c>
      <c r="AS239" t="n">
        <v>0.9443156693409644</v>
      </c>
      <c r="BL239" t="n">
        <v>1</v>
      </c>
      <c r="BM239" t="n">
        <v>39410</v>
      </c>
      <c r="BN239" t="n">
        <v>0</v>
      </c>
      <c r="BO239" t="n">
        <v>42730</v>
      </c>
      <c r="BP239" t="inlineStr">
        <is>
          <t>O,O</t>
        </is>
      </c>
      <c r="BQ239" t="inlineStr">
        <is>
          <t>T1</t>
        </is>
      </c>
      <c r="BR239" t="n">
        <v>227130</v>
      </c>
      <c r="BS239" t="n">
        <v>5.763258056330881</v>
      </c>
      <c r="BT239" t="n">
        <v>66405</v>
      </c>
      <c r="BU239" t="n">
        <v>293535</v>
      </c>
      <c r="BV239" t="n">
        <v>7.448236488200965</v>
      </c>
      <c r="BY239" t="n">
        <v>293535</v>
      </c>
      <c r="BZ239" t="n">
        <v>7.448236488200965</v>
      </c>
      <c r="CP239" t="inlineStr">
        <is>
          <t>税务部</t>
        </is>
      </c>
      <c r="CQ239" t="inlineStr">
        <is>
          <t>3,3</t>
        </is>
      </c>
      <c r="CR239" t="n">
        <v>9</v>
      </c>
      <c r="CS239" t="inlineStr">
        <is>
          <t>T1</t>
        </is>
      </c>
      <c r="CT239" t="inlineStr">
        <is>
          <t>N</t>
        </is>
      </c>
    </row>
    <row r="240">
      <c r="A240" t="inlineStr">
        <is>
          <t>gabrielLiu(刘波)</t>
        </is>
      </c>
      <c r="C240" t="n">
        <v>47943925</v>
      </c>
      <c r="D240" t="inlineStr">
        <is>
          <t>FiT财务管理</t>
        </is>
      </c>
      <c r="E240" t="inlineStr">
        <is>
          <t>业务支持与分析中心</t>
        </is>
      </c>
      <c r="G240" t="inlineStr">
        <is>
          <t>S2职能系统－财经线/FiT财务管理/业务支持与分析中心</t>
        </is>
      </c>
      <c r="H240" s="188" t="n">
        <v>39703</v>
      </c>
      <c r="I240" t="inlineStr">
        <is>
          <t>社会招聘</t>
        </is>
      </c>
      <c r="J240" t="inlineStr">
        <is>
          <t>财经类－FN</t>
        </is>
      </c>
      <c r="K240" t="inlineStr">
        <is>
          <t>财务管理</t>
        </is>
      </c>
      <c r="L240" t="inlineStr">
        <is>
          <t>S8</t>
        </is>
      </c>
      <c r="N240" t="inlineStr">
        <is>
          <t>T1</t>
        </is>
      </c>
      <c r="Q240" t="inlineStr">
        <is>
          <t>O,U</t>
        </is>
      </c>
      <c r="U240" t="n">
        <v>49015.3</v>
      </c>
      <c r="V240" t="n">
        <v>0.083333</v>
      </c>
      <c r="W240" t="inlineStr">
        <is>
          <t>CNY</t>
        </is>
      </c>
      <c r="X240" t="n">
        <v>1</v>
      </c>
      <c r="Y240" t="n">
        <v>47194.25</v>
      </c>
      <c r="Z240" t="n">
        <v>0</v>
      </c>
      <c r="AA240" t="n">
        <v>98030.60000000001</v>
      </c>
      <c r="AB240" t="n">
        <v>105930</v>
      </c>
      <c r="AC240" t="n">
        <v>0</v>
      </c>
      <c r="AF240" t="n">
        <v>0</v>
      </c>
      <c r="AG240" t="n">
        <v>203960.6</v>
      </c>
      <c r="AH240" t="n">
        <v>4.321725633949051</v>
      </c>
      <c r="AI240" t="n">
        <v>203960.6</v>
      </c>
      <c r="AJ240" t="n">
        <v>4.321725633949051</v>
      </c>
      <c r="AK240" t="n">
        <v>4.321725633949051</v>
      </c>
      <c r="AQ240" t="n">
        <v>203960.6</v>
      </c>
      <c r="AR240" t="n">
        <v>4.321725633949051</v>
      </c>
      <c r="AS240" t="n">
        <v>0.9277683770014556</v>
      </c>
      <c r="BL240" t="n">
        <v>1</v>
      </c>
      <c r="BM240" t="n">
        <v>43275</v>
      </c>
      <c r="BN240" t="n">
        <v>0</v>
      </c>
      <c r="BO240" t="n">
        <v>44110</v>
      </c>
      <c r="BP240" t="inlineStr">
        <is>
          <t>G,G</t>
        </is>
      </c>
      <c r="BQ240" t="inlineStr">
        <is>
          <t>T1</t>
        </is>
      </c>
      <c r="BR240" t="n">
        <v>148395</v>
      </c>
      <c r="BS240" t="n">
        <v>3.429116117850953</v>
      </c>
      <c r="BT240" t="n">
        <v>71445</v>
      </c>
      <c r="BU240" t="n">
        <v>219840</v>
      </c>
      <c r="BV240" t="n">
        <v>5.080069324090121</v>
      </c>
      <c r="BY240" t="n">
        <v>219840</v>
      </c>
      <c r="BZ240" t="n">
        <v>5.080069324090121</v>
      </c>
      <c r="CP240" t="inlineStr">
        <is>
          <t>FiT财务管理</t>
        </is>
      </c>
      <c r="CQ240" t="inlineStr">
        <is>
          <t>5,1</t>
        </is>
      </c>
      <c r="CR240" t="n">
        <v>8</v>
      </c>
      <c r="CS240" t="inlineStr">
        <is>
          <t>T1</t>
        </is>
      </c>
      <c r="CT240" t="inlineStr">
        <is>
          <t>N</t>
        </is>
      </c>
    </row>
    <row r="241">
      <c r="A241" t="inlineStr">
        <is>
          <t>ronaldDong(董建军)</t>
        </is>
      </c>
      <c r="C241" t="n">
        <v>60208504</v>
      </c>
      <c r="D241" t="inlineStr">
        <is>
          <t>在线视频财务管理中心</t>
        </is>
      </c>
      <c r="E241" t="inlineStr">
        <is>
          <t>OVB长视频财务管理组</t>
        </is>
      </c>
      <c r="G241" t="inlineStr">
        <is>
          <t>S2职能系统－财经线/在线视频财务管理中心/OVB长视频财务管理组</t>
        </is>
      </c>
      <c r="H241" s="188" t="n">
        <v>44793</v>
      </c>
      <c r="I241" t="inlineStr">
        <is>
          <t>高校招聘</t>
        </is>
      </c>
      <c r="J241" t="inlineStr">
        <is>
          <t>财经类－FN</t>
        </is>
      </c>
      <c r="K241" t="inlineStr">
        <is>
          <t>财务管理</t>
        </is>
      </c>
      <c r="L241" t="inlineStr">
        <is>
          <t>S11</t>
        </is>
      </c>
      <c r="N241" t="inlineStr">
        <is>
          <t>T1</t>
        </is>
      </c>
      <c r="Q241" t="inlineStr">
        <is>
          <t>G,G</t>
        </is>
      </c>
      <c r="U241" t="n">
        <v>39735.3</v>
      </c>
      <c r="V241" t="n">
        <v>0.083333</v>
      </c>
      <c r="W241" t="inlineStr">
        <is>
          <t>CNY</t>
        </is>
      </c>
      <c r="X241" t="n">
        <v>1</v>
      </c>
      <c r="Y241" t="n">
        <v>36339.49</v>
      </c>
      <c r="Z241" t="n">
        <v>0</v>
      </c>
      <c r="AA241" t="n">
        <v>79470.60000000001</v>
      </c>
      <c r="AB241" t="n">
        <v>93210</v>
      </c>
      <c r="AC241" t="n">
        <v>61255</v>
      </c>
      <c r="AF241" t="n">
        <v>0</v>
      </c>
      <c r="AG241" t="n">
        <v>233935.6</v>
      </c>
      <c r="AH241" t="n">
        <v>6.43750366337007</v>
      </c>
      <c r="AI241" t="n">
        <v>233935.6</v>
      </c>
      <c r="AJ241" t="n">
        <v>6.43750366337007</v>
      </c>
      <c r="AK241" t="n">
        <v>4.751871861712974</v>
      </c>
      <c r="AQ241" t="n">
        <v>233935.6</v>
      </c>
      <c r="AR241" t="n">
        <v>6.43750366337007</v>
      </c>
      <c r="AS241" t="n">
        <v>1.596666552912671</v>
      </c>
      <c r="BL241" t="n">
        <v>1</v>
      </c>
      <c r="BM241" t="n">
        <v>32150</v>
      </c>
      <c r="BN241" t="n">
        <v>0</v>
      </c>
      <c r="BO241" t="n">
        <v>32990</v>
      </c>
      <c r="BP241" t="inlineStr">
        <is>
          <t>G,O</t>
        </is>
      </c>
      <c r="BQ241" t="inlineStr">
        <is>
          <t>T2</t>
        </is>
      </c>
      <c r="BR241" t="n">
        <v>146515</v>
      </c>
      <c r="BS241" t="n">
        <v>4.557231726283049</v>
      </c>
      <c r="BT241" t="n">
        <v>0</v>
      </c>
      <c r="BU241" t="n">
        <v>146515</v>
      </c>
      <c r="BV241" t="n">
        <v>4.557231726283049</v>
      </c>
      <c r="BY241" t="n">
        <v>146515</v>
      </c>
      <c r="BZ241" t="n">
        <v>4.557231726283049</v>
      </c>
      <c r="CP241" t="inlineStr">
        <is>
          <t>在线视频财务管理中心</t>
        </is>
      </c>
      <c r="CQ241" t="inlineStr">
        <is>
          <t>3,3</t>
        </is>
      </c>
      <c r="CR241" t="n">
        <v>11</v>
      </c>
      <c r="CS241" t="inlineStr">
        <is>
          <t>T1</t>
        </is>
      </c>
      <c r="CT241" t="inlineStr">
        <is>
          <t>N</t>
        </is>
      </c>
    </row>
    <row r="242">
      <c r="A242" t="inlineStr">
        <is>
          <t>aaliyahZhang(张娟)</t>
        </is>
      </c>
      <c r="C242" t="n">
        <v>20376997</v>
      </c>
      <c r="D242" t="inlineStr">
        <is>
          <t>CSIG财务管理</t>
        </is>
      </c>
      <c r="E242" t="inlineStr">
        <is>
          <t>应收账款管理中心</t>
        </is>
      </c>
      <c r="G242" t="inlineStr">
        <is>
          <t>S2职能系统－财经线/CSIG财务管理/应收账款管理中心</t>
        </is>
      </c>
      <c r="H242" s="188" t="n">
        <v>38365</v>
      </c>
      <c r="I242" t="inlineStr">
        <is>
          <t>高校招聘</t>
        </is>
      </c>
      <c r="J242" t="inlineStr">
        <is>
          <t>财经类－FN</t>
        </is>
      </c>
      <c r="K242" t="inlineStr">
        <is>
          <t>财务管理</t>
        </is>
      </c>
      <c r="L242" t="inlineStr">
        <is>
          <t>S8</t>
        </is>
      </c>
      <c r="N242" t="inlineStr">
        <is>
          <t>T1#</t>
        </is>
      </c>
      <c r="Q242" t="inlineStr">
        <is>
          <t>G,G</t>
        </is>
      </c>
      <c r="U242" t="n">
        <v>36178.05</v>
      </c>
      <c r="V242" t="n">
        <v>0.083333</v>
      </c>
      <c r="W242" t="inlineStr">
        <is>
          <t>CNY</t>
        </is>
      </c>
      <c r="X242" t="n">
        <v>1</v>
      </c>
      <c r="Y242" t="n">
        <v>32999.88</v>
      </c>
      <c r="Z242" t="n">
        <v>0</v>
      </c>
      <c r="AA242" t="n">
        <v>72356.10000000001</v>
      </c>
      <c r="AB242" t="n">
        <v>123185</v>
      </c>
      <c r="AC242" t="n">
        <v>62395</v>
      </c>
      <c r="AF242" t="n">
        <v>0</v>
      </c>
      <c r="AG242" t="n">
        <v>257936.1</v>
      </c>
      <c r="AH242" t="n">
        <v>7.816273877359555</v>
      </c>
      <c r="AI242" t="n">
        <v>257936.1</v>
      </c>
      <c r="AJ242" t="n">
        <v>7.816273877359555</v>
      </c>
      <c r="AK242" t="n">
        <v>5.925509426094884</v>
      </c>
      <c r="AQ242" t="n">
        <v>257936.1</v>
      </c>
      <c r="AR242" t="n">
        <v>7.816273877359555</v>
      </c>
      <c r="AS242" t="n">
        <v>0.9626636560423976</v>
      </c>
      <c r="BL242" t="n">
        <v>1</v>
      </c>
      <c r="BM242" t="n">
        <v>31540</v>
      </c>
      <c r="BN242" t="n">
        <v>0</v>
      </c>
      <c r="BO242" t="n">
        <v>33645</v>
      </c>
      <c r="BP242" t="inlineStr">
        <is>
          <t>G,O</t>
        </is>
      </c>
      <c r="BQ242" t="inlineStr">
        <is>
          <t>T1#</t>
        </is>
      </c>
      <c r="BR242" t="n">
        <v>214220</v>
      </c>
      <c r="BS242" t="n">
        <v>6.792010145846544</v>
      </c>
      <c r="BT242" t="n">
        <v>53720</v>
      </c>
      <c r="BU242" t="n">
        <v>267940</v>
      </c>
      <c r="BV242" t="n">
        <v>8.495244134432467</v>
      </c>
      <c r="BY242" t="n">
        <v>267940</v>
      </c>
      <c r="BZ242" t="n">
        <v>8.495244134432467</v>
      </c>
      <c r="CP242" t="inlineStr">
        <is>
          <t>CSIG财务管理</t>
        </is>
      </c>
      <c r="CQ242" t="inlineStr">
        <is>
          <t>3,3</t>
        </is>
      </c>
      <c r="CR242" t="n">
        <v>8</v>
      </c>
      <c r="CS242" t="inlineStr">
        <is>
          <t>T1#</t>
        </is>
      </c>
      <c r="CT242" t="inlineStr">
        <is>
          <t>N</t>
        </is>
      </c>
    </row>
    <row r="243">
      <c r="A243" t="inlineStr">
        <is>
          <t>joyceCheng(程晴苑)</t>
        </is>
      </c>
      <c r="C243" t="n">
        <v>74215925</v>
      </c>
      <c r="D243" t="inlineStr">
        <is>
          <t>PCG财务管理</t>
        </is>
      </c>
      <c r="E243" t="inlineStr">
        <is>
          <t>内平财务管理组</t>
        </is>
      </c>
      <c r="G243" t="inlineStr">
        <is>
          <t>S2职能系统－财经线/PCG财务管理/内平财务管理组</t>
        </is>
      </c>
      <c r="H243" s="188" t="n">
        <v>36237</v>
      </c>
      <c r="I243" t="inlineStr">
        <is>
          <t>高校招聘</t>
        </is>
      </c>
      <c r="J243" t="inlineStr">
        <is>
          <t>财经类－FN</t>
        </is>
      </c>
      <c r="K243" t="inlineStr">
        <is>
          <t>财务管理</t>
        </is>
      </c>
      <c r="M243" t="inlineStr">
        <is>
          <t>L2-2</t>
        </is>
      </c>
      <c r="N243" t="inlineStr">
        <is>
          <t>T1</t>
        </is>
      </c>
      <c r="Q243" t="inlineStr">
        <is>
          <t>G,G</t>
        </is>
      </c>
      <c r="U243" t="n">
        <v>64253.85</v>
      </c>
      <c r="V243" t="n">
        <v>0.083333</v>
      </c>
      <c r="W243" t="inlineStr">
        <is>
          <t>CNY</t>
        </is>
      </c>
      <c r="X243" t="n">
        <v>1</v>
      </c>
      <c r="Y243" t="n">
        <v>63003.86</v>
      </c>
      <c r="Z243" t="n">
        <v>0</v>
      </c>
      <c r="AA243" t="n">
        <v>128507.7</v>
      </c>
      <c r="AB243" t="n">
        <v>130375</v>
      </c>
      <c r="AC243" t="n">
        <v>80660</v>
      </c>
      <c r="AF243" t="n">
        <v>25385</v>
      </c>
      <c r="AG243" t="n">
        <v>339542.7</v>
      </c>
      <c r="AH243" t="n">
        <v>5.389236469003645</v>
      </c>
      <c r="AI243" t="n">
        <v>364927.7</v>
      </c>
      <c r="AJ243" t="n">
        <v>5.792148290596798</v>
      </c>
      <c r="AK243" t="n">
        <v>4.511909270320898</v>
      </c>
      <c r="AQ243" t="n">
        <v>364927.7</v>
      </c>
      <c r="AR243" t="n">
        <v>5.792148290596798</v>
      </c>
      <c r="AS243" t="n">
        <v>1.647677894166516</v>
      </c>
      <c r="BL243" t="n">
        <v>1</v>
      </c>
      <c r="BM243" t="n">
        <v>54800</v>
      </c>
      <c r="BN243" t="n">
        <v>0</v>
      </c>
      <c r="BO243" t="n">
        <v>55010</v>
      </c>
      <c r="BP243" t="inlineStr">
        <is>
          <t>O,G</t>
        </is>
      </c>
      <c r="BQ243" t="inlineStr">
        <is>
          <t>T2</t>
        </is>
      </c>
      <c r="BR243" t="n">
        <v>221480</v>
      </c>
      <c r="BS243" t="n">
        <v>4.041605839416058</v>
      </c>
      <c r="BT243" t="n">
        <v>0</v>
      </c>
      <c r="BU243" t="n">
        <v>221480</v>
      </c>
      <c r="BV243" t="n">
        <v>4.041605839416058</v>
      </c>
      <c r="BY243" t="n">
        <v>221480</v>
      </c>
      <c r="BZ243" t="n">
        <v>4.041605839416058</v>
      </c>
      <c r="CP243" t="inlineStr">
        <is>
          <t>PCG财务管理</t>
        </is>
      </c>
      <c r="CQ243" t="inlineStr">
        <is>
          <t>3,3</t>
        </is>
      </c>
      <c r="CR243" t="inlineStr">
        <is>
          <t>L2-2</t>
        </is>
      </c>
      <c r="CS243" t="inlineStr">
        <is>
          <t>T1</t>
        </is>
      </c>
      <c r="CT243" t="inlineStr">
        <is>
          <t>N</t>
        </is>
      </c>
    </row>
    <row r="244">
      <c r="A244" t="inlineStr">
        <is>
          <t>geraldQian(钱立)</t>
        </is>
      </c>
      <c r="C244" t="n">
        <v>73779893</v>
      </c>
      <c r="D244" t="inlineStr">
        <is>
          <t>税务部</t>
        </is>
      </c>
      <c r="E244" t="inlineStr">
        <is>
          <t>国内主体税务中心</t>
        </is>
      </c>
      <c r="G244" t="inlineStr">
        <is>
          <t>S2职能系统－财经线/税务部/国内主体税务中心</t>
        </is>
      </c>
      <c r="H244" s="188" t="n">
        <v>37284</v>
      </c>
      <c r="I244" t="inlineStr">
        <is>
          <t>社会招聘</t>
        </is>
      </c>
      <c r="J244" t="inlineStr">
        <is>
          <t>财经类－FN</t>
        </is>
      </c>
      <c r="K244" t="inlineStr">
        <is>
          <t>税务</t>
        </is>
      </c>
      <c r="L244" t="inlineStr">
        <is>
          <t>S9</t>
        </is>
      </c>
      <c r="N244" t="inlineStr">
        <is>
          <t>T1</t>
        </is>
      </c>
      <c r="Q244" t="inlineStr">
        <is>
          <t>G,G</t>
        </is>
      </c>
      <c r="U244" t="n">
        <v>33114.15</v>
      </c>
      <c r="V244" t="n">
        <v>0.083333</v>
      </c>
      <c r="W244" t="inlineStr">
        <is>
          <t>CNY</t>
        </is>
      </c>
      <c r="X244" t="n">
        <v>1</v>
      </c>
      <c r="Y244" t="n">
        <v>31145.36</v>
      </c>
      <c r="Z244" t="n">
        <v>0</v>
      </c>
      <c r="AA244" t="n">
        <v>66228.3</v>
      </c>
      <c r="AB244" t="n">
        <v>69995</v>
      </c>
      <c r="AC244" t="n">
        <v>49890</v>
      </c>
      <c r="AF244" t="n">
        <v>0</v>
      </c>
      <c r="AG244" t="n">
        <v>186113.3</v>
      </c>
      <c r="AH244" t="n">
        <v>5.975634893929625</v>
      </c>
      <c r="AI244" t="n">
        <v>186113.3</v>
      </c>
      <c r="AJ244" t="n">
        <v>5.975634893929625</v>
      </c>
      <c r="AK244" t="n">
        <v>4.37379115219731</v>
      </c>
      <c r="AQ244" t="n">
        <v>186113.3</v>
      </c>
      <c r="AR244" t="n">
        <v>5.975634893929625</v>
      </c>
      <c r="AS244" t="n">
        <v>1.032471430156441</v>
      </c>
      <c r="BL244" t="n">
        <v>1</v>
      </c>
      <c r="BM244" t="n">
        <v>29145</v>
      </c>
      <c r="BN244" t="n">
        <v>0</v>
      </c>
      <c r="BO244" t="n">
        <v>31650</v>
      </c>
      <c r="BP244" t="inlineStr">
        <is>
          <t>O,G</t>
        </is>
      </c>
      <c r="BQ244" t="inlineStr">
        <is>
          <t>T1</t>
        </is>
      </c>
      <c r="BR244" t="n">
        <v>135775</v>
      </c>
      <c r="BS244" t="n">
        <v>4.658603534053869</v>
      </c>
      <c r="BT244" t="n">
        <v>44485</v>
      </c>
      <c r="BU244" t="n">
        <v>180260</v>
      </c>
      <c r="BV244" t="n">
        <v>6.184937382055241</v>
      </c>
      <c r="BY244" t="n">
        <v>180260</v>
      </c>
      <c r="BZ244" t="n">
        <v>6.184937382055241</v>
      </c>
      <c r="CP244" t="inlineStr">
        <is>
          <t>税务部</t>
        </is>
      </c>
      <c r="CQ244" t="inlineStr">
        <is>
          <t>3,3</t>
        </is>
      </c>
      <c r="CR244" t="n">
        <v>9</v>
      </c>
      <c r="CS244" t="inlineStr">
        <is>
          <t>T1</t>
        </is>
      </c>
      <c r="CT244" t="inlineStr">
        <is>
          <t>N</t>
        </is>
      </c>
    </row>
    <row r="245">
      <c r="A245" t="inlineStr">
        <is>
          <t>cynthiaWu(武晴馨)</t>
        </is>
      </c>
      <c r="C245" t="n">
        <v>65313882</v>
      </c>
      <c r="D245" t="inlineStr">
        <is>
          <t>FiT财务管理</t>
        </is>
      </c>
      <c r="E245" t="inlineStr">
        <is>
          <t>结算支持中心</t>
        </is>
      </c>
      <c r="G245" t="inlineStr">
        <is>
          <t>S2职能系统－财经线/FiT财务管理/结算支持中心</t>
        </is>
      </c>
      <c r="H245" s="188" t="n">
        <v>43884</v>
      </c>
      <c r="I245" t="inlineStr">
        <is>
          <t>高校招聘</t>
        </is>
      </c>
      <c r="J245" t="inlineStr">
        <is>
          <t>财经类－FN</t>
        </is>
      </c>
      <c r="K245" t="inlineStr">
        <is>
          <t>财务管理</t>
        </is>
      </c>
      <c r="L245" t="inlineStr">
        <is>
          <t>S7</t>
        </is>
      </c>
      <c r="N245" t="inlineStr">
        <is>
          <t>T1</t>
        </is>
      </c>
      <c r="Q245" t="inlineStr">
        <is>
          <t>O,G</t>
        </is>
      </c>
      <c r="U245" t="n">
        <v>32403.65</v>
      </c>
      <c r="V245" t="n">
        <v>0.083333</v>
      </c>
      <c r="W245" t="inlineStr">
        <is>
          <t>CNY</t>
        </is>
      </c>
      <c r="X245" t="n">
        <v>1</v>
      </c>
      <c r="Y245" t="n">
        <v>30517.83</v>
      </c>
      <c r="Z245" t="n">
        <v>0</v>
      </c>
      <c r="AA245" t="n">
        <v>97210.95</v>
      </c>
      <c r="AB245" t="n">
        <v>67225</v>
      </c>
      <c r="AC245" t="n">
        <v>56125</v>
      </c>
      <c r="AF245" t="n">
        <v>0</v>
      </c>
      <c r="AG245" t="n">
        <v>220560.95</v>
      </c>
      <c r="AH245" t="n">
        <v>7.227281559665284</v>
      </c>
      <c r="AI245" t="n">
        <v>220560.95</v>
      </c>
      <c r="AJ245" t="n">
        <v>7.227281559665284</v>
      </c>
      <c r="AK245" t="n">
        <v>5.388192738474524</v>
      </c>
      <c r="AQ245" t="n">
        <v>220560.95</v>
      </c>
      <c r="AR245" t="n">
        <v>7.227281559665284</v>
      </c>
      <c r="AS245" t="n">
        <v>1.529177730786564</v>
      </c>
      <c r="BL245" t="n">
        <v>1</v>
      </c>
      <c r="BM245" t="n">
        <v>26085</v>
      </c>
      <c r="BN245" t="n">
        <v>0</v>
      </c>
      <c r="BO245" t="n">
        <v>27015</v>
      </c>
      <c r="BP245" t="inlineStr">
        <is>
          <t>O,G</t>
        </is>
      </c>
      <c r="BQ245" t="inlineStr">
        <is>
          <t>T1</t>
        </is>
      </c>
      <c r="BR245" t="n">
        <v>113175</v>
      </c>
      <c r="BS245" t="n">
        <v>4.33870040253019</v>
      </c>
      <c r="BT245" t="n">
        <v>31060</v>
      </c>
      <c r="BU245" t="n">
        <v>144235</v>
      </c>
      <c r="BV245" t="n">
        <v>5.529423040061338</v>
      </c>
      <c r="BY245" t="n">
        <v>144235</v>
      </c>
      <c r="BZ245" t="n">
        <v>5.529423040061338</v>
      </c>
      <c r="CP245" t="inlineStr">
        <is>
          <t>FiT财务管理</t>
        </is>
      </c>
      <c r="CQ245" t="inlineStr">
        <is>
          <t>5,3</t>
        </is>
      </c>
      <c r="CR245" t="n">
        <v>7</v>
      </c>
      <c r="CS245" t="inlineStr">
        <is>
          <t>T1</t>
        </is>
      </c>
      <c r="CT245" t="inlineStr">
        <is>
          <t>N</t>
        </is>
      </c>
    </row>
    <row r="246">
      <c r="A246" t="inlineStr">
        <is>
          <t>jesseMeng(孟凯)</t>
        </is>
      </c>
      <c r="C246" t="n">
        <v>18458610</v>
      </c>
      <c r="D246" t="inlineStr">
        <is>
          <t>IEG财务管理</t>
        </is>
      </c>
      <c r="E246" t="inlineStr">
        <is>
          <t>自研财务管理组</t>
        </is>
      </c>
      <c r="G246" t="inlineStr">
        <is>
          <t>S2职能系统－财经线/IEG财务管理/自研财务管理组</t>
        </is>
      </c>
      <c r="H246" s="188" t="n">
        <v>41886</v>
      </c>
      <c r="I246" t="inlineStr">
        <is>
          <t>社会招聘</t>
        </is>
      </c>
      <c r="J246" t="inlineStr">
        <is>
          <t>财经类－FN</t>
        </is>
      </c>
      <c r="K246" t="inlineStr">
        <is>
          <t>财务管理</t>
        </is>
      </c>
      <c r="L246" t="inlineStr">
        <is>
          <t>S10</t>
        </is>
      </c>
      <c r="N246" t="inlineStr">
        <is>
          <t>T1</t>
        </is>
      </c>
      <c r="Q246" t="inlineStr">
        <is>
          <t>G,G</t>
        </is>
      </c>
      <c r="U246" t="n">
        <v>52956.5</v>
      </c>
      <c r="V246" t="n">
        <v>0.083333</v>
      </c>
      <c r="W246" t="inlineStr">
        <is>
          <t>CNY</t>
        </is>
      </c>
      <c r="X246" t="n">
        <v>1</v>
      </c>
      <c r="Y246" t="n">
        <v>50037.72</v>
      </c>
      <c r="Z246" t="n">
        <v>0</v>
      </c>
      <c r="AA246" t="n">
        <v>105913</v>
      </c>
      <c r="AB246" t="n">
        <v>116630</v>
      </c>
      <c r="AC246" t="n">
        <v>83695</v>
      </c>
      <c r="AF246" t="n">
        <v>0</v>
      </c>
      <c r="AG246" t="n">
        <v>306238</v>
      </c>
      <c r="AH246" t="n">
        <v>6.120142964147846</v>
      </c>
      <c r="AI246" t="n">
        <v>306238</v>
      </c>
      <c r="AJ246" t="n">
        <v>6.120142964147846</v>
      </c>
      <c r="AK246" t="n">
        <v>4.447504802377087</v>
      </c>
      <c r="AQ246" t="n">
        <v>306238</v>
      </c>
      <c r="AR246" t="n">
        <v>6.120142964147846</v>
      </c>
      <c r="AS246" t="n">
        <v>2.867934070050571</v>
      </c>
      <c r="BL246" t="n">
        <v>1</v>
      </c>
      <c r="BM246" t="n">
        <v>45095</v>
      </c>
      <c r="BN246" t="n">
        <v>0</v>
      </c>
      <c r="BO246" t="n">
        <v>45615</v>
      </c>
      <c r="BP246" t="inlineStr">
        <is>
          <t>G,U</t>
        </is>
      </c>
      <c r="BQ246" t="inlineStr">
        <is>
          <t>T1</t>
        </is>
      </c>
      <c r="BR246" t="n">
        <v>106780</v>
      </c>
      <c r="BS246" t="n">
        <v>2.367890009978933</v>
      </c>
      <c r="BT246" t="n">
        <v>0</v>
      </c>
      <c r="BU246" t="n">
        <v>106780</v>
      </c>
      <c r="BV246" t="n">
        <v>2.367890009978933</v>
      </c>
      <c r="BY246" t="n">
        <v>106780</v>
      </c>
      <c r="BZ246" t="n">
        <v>2.367890009978933</v>
      </c>
      <c r="CP246" t="inlineStr">
        <is>
          <t>IEG财务管理</t>
        </is>
      </c>
      <c r="CQ246" t="inlineStr">
        <is>
          <t>3,3</t>
        </is>
      </c>
      <c r="CR246" t="n">
        <v>10</v>
      </c>
      <c r="CS246" t="inlineStr">
        <is>
          <t>T1</t>
        </is>
      </c>
      <c r="CT246" t="inlineStr">
        <is>
          <t>N</t>
        </is>
      </c>
    </row>
    <row r="247">
      <c r="A247" t="inlineStr">
        <is>
          <t>matthewJin(金成)</t>
        </is>
      </c>
      <c r="C247" t="n">
        <v>1117234</v>
      </c>
      <c r="D247" t="inlineStr">
        <is>
          <t>财会及报告管理部</t>
        </is>
      </c>
      <c r="E247" t="inlineStr">
        <is>
          <t>员工报销服务中心</t>
        </is>
      </c>
      <c r="G247" t="inlineStr">
        <is>
          <t>S2职能系统－财经线/财会及报告管理部/员工报销服务中心</t>
        </is>
      </c>
      <c r="H247" s="188" t="n">
        <v>42005</v>
      </c>
      <c r="I247" t="inlineStr">
        <is>
          <t>高校招聘</t>
        </is>
      </c>
      <c r="J247" t="inlineStr">
        <is>
          <t>财经类－FN</t>
        </is>
      </c>
      <c r="K247" t="inlineStr">
        <is>
          <t>会计</t>
        </is>
      </c>
      <c r="L247" t="inlineStr">
        <is>
          <t>S6</t>
        </is>
      </c>
      <c r="N247" t="inlineStr">
        <is>
          <t>T1</t>
        </is>
      </c>
      <c r="Q247" t="inlineStr">
        <is>
          <t>U,G</t>
        </is>
      </c>
      <c r="U247" t="n">
        <v>38250</v>
      </c>
      <c r="V247" t="n">
        <v>0.083333</v>
      </c>
      <c r="W247" t="inlineStr">
        <is>
          <t>CNY</t>
        </is>
      </c>
      <c r="X247" t="n">
        <v>1</v>
      </c>
      <c r="Y247" t="n">
        <v>35002.03</v>
      </c>
      <c r="Z247" t="n">
        <v>0</v>
      </c>
      <c r="AA247" t="n">
        <v>38250</v>
      </c>
      <c r="AB247" t="n">
        <v>81405</v>
      </c>
      <c r="AC247" t="n">
        <v>0</v>
      </c>
      <c r="AF247" t="n">
        <v>0</v>
      </c>
      <c r="AG247" t="n">
        <v>119655</v>
      </c>
      <c r="AH247" t="n">
        <v>3.418516011785602</v>
      </c>
      <c r="AI247" t="n">
        <v>119655</v>
      </c>
      <c r="AJ247" t="n">
        <v>3.418516011785602</v>
      </c>
      <c r="AK247" t="n">
        <v>3.418516011785602</v>
      </c>
      <c r="AQ247" t="n">
        <v>119655</v>
      </c>
      <c r="AR247" t="n">
        <v>3.418516011785602</v>
      </c>
      <c r="AS247" t="n">
        <v>0.7719179407780143</v>
      </c>
      <c r="BL247" t="n">
        <v>1</v>
      </c>
      <c r="BM247" t="n">
        <v>33570</v>
      </c>
      <c r="BN247" t="n">
        <v>0</v>
      </c>
      <c r="BO247" t="n">
        <v>35930</v>
      </c>
      <c r="BP247" t="inlineStr">
        <is>
          <t>G,G</t>
        </is>
      </c>
      <c r="BQ247" t="inlineStr">
        <is>
          <t>T1</t>
        </is>
      </c>
      <c r="BR247" t="n">
        <v>110260</v>
      </c>
      <c r="BS247" t="n">
        <v>3.284480190646411</v>
      </c>
      <c r="BT247" t="n">
        <v>44750</v>
      </c>
      <c r="BU247" t="n">
        <v>155010</v>
      </c>
      <c r="BV247" t="n">
        <v>4.61751563896336</v>
      </c>
      <c r="BY247" t="n">
        <v>155010</v>
      </c>
      <c r="BZ247" t="n">
        <v>4.61751563896336</v>
      </c>
      <c r="CP247" t="inlineStr">
        <is>
          <t>财会及报告管理部</t>
        </is>
      </c>
      <c r="CQ247" t="inlineStr">
        <is>
          <t>3,1</t>
        </is>
      </c>
      <c r="CR247" t="n">
        <v>6</v>
      </c>
      <c r="CS247" t="inlineStr">
        <is>
          <t>T1</t>
        </is>
      </c>
      <c r="CT247" t="inlineStr">
        <is>
          <t>N</t>
        </is>
      </c>
    </row>
    <row r="248">
      <c r="A248" t="inlineStr">
        <is>
          <t>graceZhu(朱菲)</t>
        </is>
      </c>
      <c r="C248" t="n">
        <v>67417257</v>
      </c>
      <c r="D248" t="inlineStr">
        <is>
          <t>财经IT管理部</t>
        </is>
      </c>
      <c r="E248" t="inlineStr">
        <is>
          <t>公共支持中心</t>
        </is>
      </c>
      <c r="G248" t="inlineStr">
        <is>
          <t>S2职能系统－财经线/财经IT管理部/公共支持中心</t>
        </is>
      </c>
      <c r="H248" s="188" t="n">
        <v>39555</v>
      </c>
      <c r="I248" t="inlineStr">
        <is>
          <t>社会招聘</t>
        </is>
      </c>
      <c r="J248" t="inlineStr">
        <is>
          <t>技术研发类－TRD</t>
        </is>
      </c>
      <c r="K248" t="inlineStr">
        <is>
          <t>应用开发</t>
        </is>
      </c>
      <c r="L248" t="inlineStr">
        <is>
          <t>T8</t>
        </is>
      </c>
      <c r="N248" t="inlineStr">
        <is>
          <t>T1</t>
        </is>
      </c>
      <c r="Q248" t="inlineStr">
        <is>
          <t>U,G</t>
        </is>
      </c>
      <c r="U248" t="n">
        <v>45989.05</v>
      </c>
      <c r="V248" t="n">
        <v>0.083333</v>
      </c>
      <c r="W248" t="inlineStr">
        <is>
          <t>CNY</t>
        </is>
      </c>
      <c r="X248" t="n">
        <v>1</v>
      </c>
      <c r="Y248" t="n">
        <v>43920.34</v>
      </c>
      <c r="Z248" t="n">
        <v>0</v>
      </c>
      <c r="AA248" t="n">
        <v>45989.05</v>
      </c>
      <c r="AB248" t="n">
        <v>104420</v>
      </c>
      <c r="AC248" t="n">
        <v>0</v>
      </c>
      <c r="AF248" t="n">
        <v>0</v>
      </c>
      <c r="AG248" t="n">
        <v>150409.05</v>
      </c>
      <c r="AH248" t="n">
        <v>3.424587560114516</v>
      </c>
      <c r="AI248" t="n">
        <v>150409.05</v>
      </c>
      <c r="AJ248" t="n">
        <v>3.424587560114516</v>
      </c>
      <c r="AK248" t="n">
        <v>3.424587560114516</v>
      </c>
      <c r="AQ248" t="n">
        <v>150409.05</v>
      </c>
      <c r="AR248" t="n">
        <v>3.424587560114516</v>
      </c>
      <c r="AS248" t="n">
        <v>0.8170186588446182</v>
      </c>
      <c r="BL248" t="n">
        <v>1</v>
      </c>
      <c r="BM248" t="n">
        <v>39300</v>
      </c>
      <c r="BN248" t="n">
        <v>0</v>
      </c>
      <c r="BO248" t="n">
        <v>41810</v>
      </c>
      <c r="BP248" t="inlineStr">
        <is>
          <t>G,G</t>
        </is>
      </c>
      <c r="BQ248" t="inlineStr">
        <is>
          <t>T1</t>
        </is>
      </c>
      <c r="BR248" t="n">
        <v>137715</v>
      </c>
      <c r="BS248" t="n">
        <v>3.504198473282443</v>
      </c>
      <c r="BT248" t="n">
        <v>46380</v>
      </c>
      <c r="BU248" t="n">
        <v>184095</v>
      </c>
      <c r="BV248" t="n">
        <v>4.684351145038168</v>
      </c>
      <c r="BY248" t="n">
        <v>184095</v>
      </c>
      <c r="BZ248" t="n">
        <v>4.684351145038168</v>
      </c>
      <c r="CP248" t="inlineStr">
        <is>
          <t>财经IT管理部</t>
        </is>
      </c>
      <c r="CQ248" t="inlineStr">
        <is>
          <t>3,1</t>
        </is>
      </c>
      <c r="CR248" t="n">
        <v>8</v>
      </c>
      <c r="CS248" t="inlineStr">
        <is>
          <t>T1</t>
        </is>
      </c>
      <c r="CT248" t="inlineStr">
        <is>
          <t>N</t>
        </is>
      </c>
    </row>
    <row r="249">
      <c r="A249" t="inlineStr">
        <is>
          <t>michelleSu(苏思嫣)</t>
        </is>
      </c>
      <c r="C249" t="n">
        <v>76221159</v>
      </c>
      <c r="D249" t="inlineStr">
        <is>
          <t>资金管理</t>
        </is>
      </c>
      <c r="E249" t="inlineStr">
        <is>
          <t>资金结算及风险控制中心</t>
        </is>
      </c>
      <c r="G249" t="inlineStr">
        <is>
          <t>S2职能系统－财经线/资金管理/资金结算及风险控制中心</t>
        </is>
      </c>
      <c r="H249" s="188" t="n">
        <v>43729</v>
      </c>
      <c r="I249" t="inlineStr">
        <is>
          <t>社会招聘</t>
        </is>
      </c>
      <c r="J249" t="inlineStr">
        <is>
          <t>财经类－FN</t>
        </is>
      </c>
      <c r="K249" t="inlineStr">
        <is>
          <t>资金管理</t>
        </is>
      </c>
      <c r="L249" t="inlineStr">
        <is>
          <t>S5</t>
        </is>
      </c>
      <c r="N249" t="inlineStr">
        <is>
          <t>T1</t>
        </is>
      </c>
      <c r="Q249" t="inlineStr">
        <is>
          <t>G,G</t>
        </is>
      </c>
      <c r="U249" t="n">
        <v>23010.95</v>
      </c>
      <c r="V249" t="n">
        <v>0.083333</v>
      </c>
      <c r="W249" t="inlineStr">
        <is>
          <t>CNY</t>
        </is>
      </c>
      <c r="X249" t="n">
        <v>1</v>
      </c>
      <c r="Y249" t="n">
        <v>21917.38</v>
      </c>
      <c r="Z249" t="n">
        <v>0</v>
      </c>
      <c r="AA249" t="n">
        <v>46021.9</v>
      </c>
      <c r="AB249" t="n">
        <v>57335</v>
      </c>
      <c r="AC249" t="n">
        <v>38755</v>
      </c>
      <c r="AF249" t="n">
        <v>0</v>
      </c>
      <c r="AG249" t="n">
        <v>142111.9</v>
      </c>
      <c r="AH249" t="n">
        <v>6.483982118300636</v>
      </c>
      <c r="AI249" t="n">
        <v>142111.9</v>
      </c>
      <c r="AJ249" t="n">
        <v>6.483982118300636</v>
      </c>
      <c r="AK249" t="n">
        <v>4.715750696479232</v>
      </c>
      <c r="AQ249" t="n">
        <v>142111.9</v>
      </c>
      <c r="AR249" t="n">
        <v>6.483982118300636</v>
      </c>
      <c r="AS249" t="n">
        <v>1.158867324471989</v>
      </c>
      <c r="BL249" t="n">
        <v>1</v>
      </c>
      <c r="BM249" t="n">
        <v>19925</v>
      </c>
      <c r="BN249" t="n">
        <v>0</v>
      </c>
      <c r="BO249" t="n">
        <v>21065</v>
      </c>
      <c r="BP249" t="inlineStr">
        <is>
          <t>O,G</t>
        </is>
      </c>
      <c r="BQ249" t="inlineStr">
        <is>
          <t>T1</t>
        </is>
      </c>
      <c r="BR249" t="n">
        <v>86060</v>
      </c>
      <c r="BS249" t="n">
        <v>4.319196988707653</v>
      </c>
      <c r="BT249" t="n">
        <v>36570</v>
      </c>
      <c r="BU249" t="n">
        <v>122630</v>
      </c>
      <c r="BV249" t="n">
        <v>6.154579673776662</v>
      </c>
      <c r="BY249" t="n">
        <v>122630</v>
      </c>
      <c r="BZ249" t="n">
        <v>6.154579673776662</v>
      </c>
      <c r="CP249" t="inlineStr">
        <is>
          <t>资金管理</t>
        </is>
      </c>
      <c r="CQ249" t="inlineStr">
        <is>
          <t>3,3</t>
        </is>
      </c>
      <c r="CR249" t="n">
        <v>5</v>
      </c>
      <c r="CS249" t="inlineStr">
        <is>
          <t>T1</t>
        </is>
      </c>
      <c r="CT249" t="inlineStr">
        <is>
          <t>N</t>
        </is>
      </c>
    </row>
    <row r="250">
      <c r="A250" t="inlineStr">
        <is>
          <t>arthurHou(侯彤斌)</t>
        </is>
      </c>
      <c r="C250" t="n">
        <v>99489020</v>
      </c>
      <c r="D250" t="inlineStr">
        <is>
          <t>税务部</t>
        </is>
      </c>
      <c r="E250" t="inlineStr">
        <is>
          <t>集团税务统筹组</t>
        </is>
      </c>
      <c r="G250" t="inlineStr">
        <is>
          <t>S2职能系统－财经线/税务部/集团税务统筹组</t>
        </is>
      </c>
      <c r="H250" s="188" t="n">
        <v>45572</v>
      </c>
      <c r="I250" t="inlineStr">
        <is>
          <t>社会招聘</t>
        </is>
      </c>
      <c r="J250" t="inlineStr">
        <is>
          <t>财经类－FN</t>
        </is>
      </c>
      <c r="K250" t="inlineStr">
        <is>
          <t>税务</t>
        </is>
      </c>
      <c r="L250" t="inlineStr">
        <is>
          <t>S10</t>
        </is>
      </c>
      <c r="N250" t="inlineStr">
        <is>
          <t>T1#</t>
        </is>
      </c>
      <c r="Q250" t="inlineStr">
        <is>
          <t>N,O</t>
        </is>
      </c>
      <c r="U250" t="n">
        <v>48463.95</v>
      </c>
      <c r="V250" t="n">
        <v>0.083333</v>
      </c>
      <c r="W250" t="inlineStr">
        <is>
          <t>CNY</t>
        </is>
      </c>
      <c r="X250" t="n">
        <v>0.232877</v>
      </c>
      <c r="Y250" t="n">
        <v>48463.95</v>
      </c>
      <c r="Z250" t="n">
        <v>0</v>
      </c>
      <c r="AA250" t="n">
        <v>11286.14</v>
      </c>
      <c r="AB250" t="n">
        <v>0</v>
      </c>
      <c r="AC250" t="n">
        <v>0</v>
      </c>
      <c r="AF250" t="n">
        <v>0</v>
      </c>
      <c r="AG250" t="n">
        <v>11286.14</v>
      </c>
      <c r="AH250" t="n">
        <v>0.2328770147707729</v>
      </c>
      <c r="AI250" t="n">
        <v>11286.14</v>
      </c>
      <c r="AJ250" t="n">
        <v>0.2328770147707729</v>
      </c>
      <c r="AK250" t="n">
        <v>0.2328770147707729</v>
      </c>
      <c r="AQ250" t="n">
        <v>11286.14</v>
      </c>
      <c r="AR250" t="n">
        <v>0.2328770147707729</v>
      </c>
      <c r="BM250" t="n">
        <v>0</v>
      </c>
      <c r="BN250" t="n">
        <v>0</v>
      </c>
      <c r="BO250" t="n">
        <v>0</v>
      </c>
      <c r="BR250" t="n">
        <v>0</v>
      </c>
      <c r="BT250" t="n">
        <v>0</v>
      </c>
      <c r="BU250" t="n">
        <v>0</v>
      </c>
      <c r="BY250" t="n">
        <v>0</v>
      </c>
      <c r="CP250" t="inlineStr">
        <is>
          <t>税务部</t>
        </is>
      </c>
      <c r="CQ250" t="n">
        <v>5</v>
      </c>
      <c r="CR250" t="n">
        <v>10</v>
      </c>
      <c r="CS250" t="inlineStr">
        <is>
          <t>T1#</t>
        </is>
      </c>
      <c r="CT250" t="inlineStr">
        <is>
          <t>N</t>
        </is>
      </c>
    </row>
    <row r="251">
      <c r="A251" t="inlineStr">
        <is>
          <t>blakeGao(高阳)</t>
        </is>
      </c>
      <c r="C251" t="n">
        <v>22430680</v>
      </c>
      <c r="D251" t="inlineStr">
        <is>
          <t>PCG财务管理</t>
        </is>
      </c>
      <c r="E251" t="inlineStr">
        <is>
          <t>PCG财务管理</t>
        </is>
      </c>
      <c r="G251" t="inlineStr">
        <is>
          <t>S2职能系统－财经线/PCG财务管理</t>
        </is>
      </c>
      <c r="H251" s="188" t="n">
        <v>44850</v>
      </c>
      <c r="I251" t="inlineStr">
        <is>
          <t>社会招聘</t>
        </is>
      </c>
      <c r="J251" t="inlineStr">
        <is>
          <t>财经类－FN</t>
        </is>
      </c>
      <c r="K251" t="inlineStr">
        <is>
          <t>财务管理</t>
        </is>
      </c>
      <c r="L251" t="inlineStr">
        <is>
          <t>S10</t>
        </is>
      </c>
      <c r="N251" t="inlineStr">
        <is>
          <t>T1</t>
        </is>
      </c>
      <c r="Q251" t="inlineStr">
        <is>
          <t>G,G</t>
        </is>
      </c>
      <c r="U251" t="n">
        <v>41615.2</v>
      </c>
      <c r="V251" t="n">
        <v>0.083333</v>
      </c>
      <c r="W251" t="inlineStr">
        <is>
          <t>CNY</t>
        </is>
      </c>
      <c r="X251" t="n">
        <v>1</v>
      </c>
      <c r="Y251" t="n">
        <v>38626.46</v>
      </c>
      <c r="Z251" t="n">
        <v>0</v>
      </c>
      <c r="AA251" t="n">
        <v>83230.39999999999</v>
      </c>
      <c r="AB251" t="n">
        <v>100655</v>
      </c>
      <c r="AC251" t="n">
        <v>63935</v>
      </c>
      <c r="AF251" t="n">
        <v>0</v>
      </c>
      <c r="AG251" t="n">
        <v>247820.4</v>
      </c>
      <c r="AH251" t="n">
        <v>6.415819622093249</v>
      </c>
      <c r="AI251" t="n">
        <v>247820.4</v>
      </c>
      <c r="AJ251" t="n">
        <v>6.415819622093249</v>
      </c>
      <c r="AK251" t="n">
        <v>4.76060710714883</v>
      </c>
      <c r="AQ251" t="n">
        <v>247820.4</v>
      </c>
      <c r="AR251" t="n">
        <v>6.415819622093249</v>
      </c>
      <c r="AS251" t="n">
        <v>1.619264922081741</v>
      </c>
      <c r="BL251" t="n">
        <v>1</v>
      </c>
      <c r="BM251" t="n">
        <v>36040</v>
      </c>
      <c r="BN251" t="n">
        <v>0</v>
      </c>
      <c r="BO251" t="n">
        <v>36345</v>
      </c>
      <c r="BP251" t="inlineStr">
        <is>
          <t>G,G</t>
        </is>
      </c>
      <c r="BQ251" t="inlineStr">
        <is>
          <t>T1</t>
        </is>
      </c>
      <c r="BR251" t="n">
        <v>116265</v>
      </c>
      <c r="BS251" t="n">
        <v>3.225998890122086</v>
      </c>
      <c r="BT251" t="n">
        <v>36780</v>
      </c>
      <c r="BU251" t="n">
        <v>153045</v>
      </c>
      <c r="BV251" t="n">
        <v>4.246531631520533</v>
      </c>
      <c r="BY251" t="n">
        <v>153045</v>
      </c>
      <c r="BZ251" t="n">
        <v>4.246531631520533</v>
      </c>
      <c r="CP251" t="inlineStr">
        <is>
          <t>PCG财务管理</t>
        </is>
      </c>
      <c r="CQ251" t="inlineStr">
        <is>
          <t>3,3</t>
        </is>
      </c>
      <c r="CR251" t="n">
        <v>10</v>
      </c>
      <c r="CS251" t="inlineStr">
        <is>
          <t>T1</t>
        </is>
      </c>
      <c r="CT251" t="inlineStr">
        <is>
          <t>N</t>
        </is>
      </c>
    </row>
    <row r="252">
      <c r="A252" t="inlineStr">
        <is>
          <t>barbaraNiu(牛慧)</t>
        </is>
      </c>
      <c r="C252" t="n">
        <v>77833932</v>
      </c>
      <c r="D252" t="inlineStr">
        <is>
          <t>S2公共编制</t>
        </is>
      </c>
      <c r="E252" t="inlineStr">
        <is>
          <t>S2公共编制</t>
        </is>
      </c>
      <c r="G252" t="inlineStr">
        <is>
          <t>S2职能系统－财经线/S2公共编制</t>
        </is>
      </c>
      <c r="H252" s="188" t="n">
        <v>41046</v>
      </c>
      <c r="I252" t="inlineStr">
        <is>
          <t>社会招聘</t>
        </is>
      </c>
      <c r="J252" t="inlineStr">
        <is>
          <t>财经类－FN</t>
        </is>
      </c>
      <c r="K252" t="inlineStr">
        <is>
          <t>财务管理</t>
        </is>
      </c>
      <c r="L252" t="inlineStr">
        <is>
          <t>S8</t>
        </is>
      </c>
      <c r="N252" t="inlineStr">
        <is>
          <t>Others</t>
        </is>
      </c>
      <c r="Q252" t="inlineStr">
        <is>
          <t>G,O</t>
        </is>
      </c>
      <c r="U252" t="n">
        <v>46678.2</v>
      </c>
      <c r="V252" t="n">
        <v>0.083333</v>
      </c>
      <c r="W252" t="inlineStr">
        <is>
          <t>CNY</t>
        </is>
      </c>
      <c r="X252" t="n">
        <v>1</v>
      </c>
      <c r="Y252" t="n">
        <v>45793.72</v>
      </c>
      <c r="Z252" t="n">
        <v>0</v>
      </c>
      <c r="AA252" t="n">
        <v>140034.6</v>
      </c>
      <c r="AB252" t="n">
        <v>28785</v>
      </c>
      <c r="AC252" t="n">
        <v>0</v>
      </c>
      <c r="AF252" t="n">
        <v>0</v>
      </c>
      <c r="AG252" t="n">
        <v>168819.6</v>
      </c>
      <c r="AH252" t="n">
        <v>3.686522955549364</v>
      </c>
      <c r="AI252" t="n">
        <v>168819.6</v>
      </c>
      <c r="AJ252" t="n">
        <v>3.686522955549364</v>
      </c>
      <c r="AK252" t="n">
        <v>3.686522955549364</v>
      </c>
      <c r="AQ252" t="n">
        <v>168819.6</v>
      </c>
      <c r="AR252" t="n">
        <v>3.686522955549364</v>
      </c>
      <c r="AS252" t="n">
        <v>1.187699451245251</v>
      </c>
      <c r="BL252" t="n">
        <v>1</v>
      </c>
      <c r="BM252" t="n">
        <v>39280</v>
      </c>
      <c r="BN252" t="n">
        <v>0</v>
      </c>
      <c r="BO252" t="n">
        <v>41790</v>
      </c>
      <c r="BP252" t="inlineStr">
        <is>
          <t>G,G</t>
        </is>
      </c>
      <c r="BQ252" t="inlineStr">
        <is>
          <t>Others</t>
        </is>
      </c>
      <c r="BR252" t="n">
        <v>142140</v>
      </c>
      <c r="BS252" t="n">
        <v>3.618635437881874</v>
      </c>
      <c r="BT252" t="n">
        <v>0</v>
      </c>
      <c r="BU252" t="n">
        <v>142140</v>
      </c>
      <c r="BV252" t="n">
        <v>3.618635437881874</v>
      </c>
      <c r="BY252" t="n">
        <v>142140</v>
      </c>
      <c r="BZ252" t="n">
        <v>3.618635437881874</v>
      </c>
      <c r="CP252" t="inlineStr">
        <is>
          <t>S2公共编制</t>
        </is>
      </c>
      <c r="CQ252" t="inlineStr">
        <is>
          <t>5,3</t>
        </is>
      </c>
      <c r="CR252" t="n">
        <v>8</v>
      </c>
      <c r="CS252" t="inlineStr">
        <is>
          <t>Others</t>
        </is>
      </c>
      <c r="CT252" t="inlineStr">
        <is>
          <t>N</t>
        </is>
      </c>
    </row>
    <row r="253">
      <c r="A253" t="inlineStr">
        <is>
          <t>hazelWei(韦琴娇)</t>
        </is>
      </c>
      <c r="C253" t="n">
        <v>77685359</v>
      </c>
      <c r="D253" t="inlineStr">
        <is>
          <t>预算及职能系统财务管理部</t>
        </is>
      </c>
      <c r="E253" t="inlineStr">
        <is>
          <t>预算及职能系统财务管理部</t>
        </is>
      </c>
      <c r="G253" t="inlineStr">
        <is>
          <t>S2职能系统－财经线/预算及职能系统财务管理部</t>
        </is>
      </c>
      <c r="H253" s="188" t="n">
        <v>40886</v>
      </c>
      <c r="I253" t="inlineStr">
        <is>
          <t>社会招聘</t>
        </is>
      </c>
      <c r="J253" t="inlineStr">
        <is>
          <t>财经类－FN</t>
        </is>
      </c>
      <c r="K253" t="inlineStr">
        <is>
          <t>预算管理</t>
        </is>
      </c>
      <c r="L253" t="inlineStr">
        <is>
          <t>S7</t>
        </is>
      </c>
      <c r="N253" t="inlineStr">
        <is>
          <t>T1</t>
        </is>
      </c>
      <c r="Q253" t="inlineStr">
        <is>
          <t>O,G</t>
        </is>
      </c>
      <c r="U253" t="n">
        <v>36500.85</v>
      </c>
      <c r="V253" t="n">
        <v>0.083333</v>
      </c>
      <c r="W253" t="inlineStr">
        <is>
          <t>CNY</t>
        </is>
      </c>
      <c r="X253" t="n">
        <v>1</v>
      </c>
      <c r="Y253" t="n">
        <v>36004.61</v>
      </c>
      <c r="Z253" t="n">
        <v>0</v>
      </c>
      <c r="AA253" t="n">
        <v>109502.55</v>
      </c>
      <c r="AB253" t="n">
        <v>82935</v>
      </c>
      <c r="AC253" t="n">
        <v>66340</v>
      </c>
      <c r="AF253" t="n">
        <v>0</v>
      </c>
      <c r="AG253" t="n">
        <v>258777.55</v>
      </c>
      <c r="AH253" t="n">
        <v>7.187344898333852</v>
      </c>
      <c r="AI253" t="n">
        <v>258777.55</v>
      </c>
      <c r="AJ253" t="n">
        <v>7.187344898333852</v>
      </c>
      <c r="AK253" t="n">
        <v>5.344803068273757</v>
      </c>
      <c r="AQ253" t="n">
        <v>258777.55</v>
      </c>
      <c r="AR253" t="n">
        <v>7.187344898333852</v>
      </c>
      <c r="AS253" t="n">
        <v>1.625436072987657</v>
      </c>
      <c r="BL253" t="n">
        <v>1</v>
      </c>
      <c r="BM253" t="n">
        <v>29395</v>
      </c>
      <c r="BN253" t="n">
        <v>0</v>
      </c>
      <c r="BO253" t="n">
        <v>29845</v>
      </c>
      <c r="BP253" t="inlineStr">
        <is>
          <t>O,O</t>
        </is>
      </c>
      <c r="BQ253" t="inlineStr">
        <is>
          <t>Others</t>
        </is>
      </c>
      <c r="BR253" t="n">
        <v>159205</v>
      </c>
      <c r="BS253" t="n">
        <v>5.416057152576969</v>
      </c>
      <c r="BT253" t="n">
        <v>0</v>
      </c>
      <c r="BU253" t="n">
        <v>159205</v>
      </c>
      <c r="BV253" t="n">
        <v>5.416057152576969</v>
      </c>
      <c r="BY253" t="n">
        <v>159205</v>
      </c>
      <c r="BZ253" t="n">
        <v>5.416057152576969</v>
      </c>
      <c r="CP253" t="inlineStr">
        <is>
          <t>预算及职能系统财务管理部</t>
        </is>
      </c>
      <c r="CQ253" t="inlineStr">
        <is>
          <t>5,3</t>
        </is>
      </c>
      <c r="CR253" t="n">
        <v>7</v>
      </c>
      <c r="CS253" t="inlineStr">
        <is>
          <t>T1</t>
        </is>
      </c>
      <c r="CT253" t="inlineStr">
        <is>
          <t>N</t>
        </is>
      </c>
    </row>
    <row r="254">
      <c r="A254" t="inlineStr">
        <is>
          <t>howardYan(严国文)</t>
        </is>
      </c>
      <c r="C254" t="n">
        <v>17783004</v>
      </c>
      <c r="D254" t="inlineStr">
        <is>
          <t>S2人力资源中心</t>
        </is>
      </c>
      <c r="E254" t="inlineStr">
        <is>
          <t>S2人力资源中心</t>
        </is>
      </c>
      <c r="G254" t="inlineStr">
        <is>
          <t>S2职能系统－财经线/S2人力资源中心</t>
        </is>
      </c>
      <c r="H254" s="188" t="n">
        <v>36843</v>
      </c>
      <c r="I254" t="inlineStr">
        <is>
          <t>社会招聘</t>
        </is>
      </c>
      <c r="J254" t="inlineStr">
        <is>
          <t>财经类－FN</t>
        </is>
      </c>
      <c r="K254" t="inlineStr">
        <is>
          <t>财经系统交付管理</t>
        </is>
      </c>
      <c r="L254" t="inlineStr">
        <is>
          <t>S7</t>
        </is>
      </c>
      <c r="N254" t="inlineStr">
        <is>
          <t>T2</t>
        </is>
      </c>
      <c r="Q254" t="inlineStr">
        <is>
          <t>G,G</t>
        </is>
      </c>
      <c r="U254" t="n">
        <v>25992.8</v>
      </c>
      <c r="V254" t="n">
        <v>0.083333</v>
      </c>
      <c r="W254" t="inlineStr">
        <is>
          <t>CNY</t>
        </is>
      </c>
      <c r="X254" t="n">
        <v>1</v>
      </c>
      <c r="Y254" t="n">
        <v>25681.86</v>
      </c>
      <c r="Z254" t="n">
        <v>0</v>
      </c>
      <c r="AA254" t="n">
        <v>51985.6</v>
      </c>
      <c r="AB254" t="n">
        <v>26095</v>
      </c>
      <c r="AC254" t="n">
        <v>0</v>
      </c>
      <c r="AF254" t="n">
        <v>0</v>
      </c>
      <c r="AG254" t="n">
        <v>78080.60000000001</v>
      </c>
      <c r="AH254" t="n">
        <v>3.040301598092973</v>
      </c>
      <c r="AI254" t="n">
        <v>78080.60000000001</v>
      </c>
      <c r="AJ254" t="n">
        <v>3.040301598092973</v>
      </c>
      <c r="AK254" t="n">
        <v>3.040301598092973</v>
      </c>
      <c r="AQ254" t="n">
        <v>78080.60000000001</v>
      </c>
      <c r="AR254" t="n">
        <v>3.040301598092973</v>
      </c>
      <c r="AS254" t="n">
        <v>0.7609453269661827</v>
      </c>
      <c r="BL254" t="n">
        <v>1</v>
      </c>
      <c r="BM254" t="n">
        <v>23325</v>
      </c>
      <c r="BN254" t="n">
        <v>0</v>
      </c>
      <c r="BO254" t="n">
        <v>25465</v>
      </c>
      <c r="BP254" t="inlineStr">
        <is>
          <t>G,O</t>
        </is>
      </c>
      <c r="BQ254" t="inlineStr">
        <is>
          <t>Others</t>
        </is>
      </c>
      <c r="BR254" t="n">
        <v>102610</v>
      </c>
      <c r="BS254" t="n">
        <v>4.39914255091104</v>
      </c>
      <c r="BT254" t="n">
        <v>0</v>
      </c>
      <c r="BU254" t="n">
        <v>102610</v>
      </c>
      <c r="BV254" t="n">
        <v>4.39914255091104</v>
      </c>
      <c r="BY254" t="n">
        <v>102610</v>
      </c>
      <c r="BZ254" t="n">
        <v>4.39914255091104</v>
      </c>
      <c r="CP254" t="inlineStr">
        <is>
          <t>S2人力资源中心</t>
        </is>
      </c>
      <c r="CQ254" t="inlineStr">
        <is>
          <t>3,3</t>
        </is>
      </c>
      <c r="CR254" t="n">
        <v>7</v>
      </c>
      <c r="CS254" t="inlineStr">
        <is>
          <t>T2</t>
        </is>
      </c>
      <c r="CT254" t="inlineStr">
        <is>
          <t>N</t>
        </is>
      </c>
    </row>
    <row r="255">
      <c r="A255" t="inlineStr">
        <is>
          <t>kevinJia(贾梓杰)</t>
        </is>
      </c>
      <c r="C255" t="n">
        <v>11584085</v>
      </c>
      <c r="D255" t="inlineStr">
        <is>
          <t>风险管理和内部控制</t>
        </is>
      </c>
      <c r="E255" t="inlineStr">
        <is>
          <t>风险管理和内部控制</t>
        </is>
      </c>
      <c r="G255" t="inlineStr">
        <is>
          <t>S2职能系统－财经线/风险管理和内部控制</t>
        </is>
      </c>
      <c r="H255" s="188" t="n">
        <v>40126</v>
      </c>
      <c r="I255" t="inlineStr">
        <is>
          <t>高校招聘</t>
        </is>
      </c>
      <c r="J255" t="inlineStr">
        <is>
          <t>财经类－FN</t>
        </is>
      </c>
      <c r="K255" t="inlineStr">
        <is>
          <t>风险管理</t>
        </is>
      </c>
      <c r="L255" t="inlineStr">
        <is>
          <t>S5</t>
        </is>
      </c>
      <c r="N255" t="inlineStr">
        <is>
          <t>T1</t>
        </is>
      </c>
      <c r="Q255" t="inlineStr">
        <is>
          <t>G,G</t>
        </is>
      </c>
      <c r="U255" t="n">
        <v>31265.4</v>
      </c>
      <c r="V255" t="n">
        <v>0.083333</v>
      </c>
      <c r="W255" t="inlineStr">
        <is>
          <t>CNY</t>
        </is>
      </c>
      <c r="X255" t="n">
        <v>1</v>
      </c>
      <c r="Y255" t="n">
        <v>30307.19</v>
      </c>
      <c r="Z255" t="n">
        <v>0</v>
      </c>
      <c r="AA255" t="n">
        <v>62530.8</v>
      </c>
      <c r="AB255" t="n">
        <v>65945</v>
      </c>
      <c r="AC255" t="n">
        <v>61095</v>
      </c>
      <c r="AF255" t="n">
        <v>0</v>
      </c>
      <c r="AG255" t="n">
        <v>189570.8</v>
      </c>
      <c r="AH255" t="n">
        <v>6.254977779200249</v>
      </c>
      <c r="AI255" t="n">
        <v>189570.8</v>
      </c>
      <c r="AJ255" t="n">
        <v>6.254977779200249</v>
      </c>
      <c r="AK255" t="n">
        <v>4.239119496066775</v>
      </c>
      <c r="AQ255" t="n">
        <v>189570.8</v>
      </c>
      <c r="AR255" t="n">
        <v>6.254977779200249</v>
      </c>
      <c r="AS255" t="n">
        <v>1.277345192372481</v>
      </c>
      <c r="BL255" t="n">
        <v>1</v>
      </c>
      <c r="BM255" t="n">
        <v>27350</v>
      </c>
      <c r="BN255" t="n">
        <v>0</v>
      </c>
      <c r="BO255" t="n">
        <v>28675</v>
      </c>
      <c r="BP255" t="inlineStr">
        <is>
          <t>O,G</t>
        </is>
      </c>
      <c r="BQ255" t="inlineStr">
        <is>
          <t>T1</t>
        </is>
      </c>
      <c r="BR255" t="n">
        <v>117345</v>
      </c>
      <c r="BS255" t="n">
        <v>4.290493601462523</v>
      </c>
      <c r="BT255" t="n">
        <v>31065</v>
      </c>
      <c r="BU255" t="n">
        <v>148410</v>
      </c>
      <c r="BV255" t="n">
        <v>5.426325411334552</v>
      </c>
      <c r="BY255" t="n">
        <v>148410</v>
      </c>
      <c r="BZ255" t="n">
        <v>5.426325411334552</v>
      </c>
      <c r="CP255" t="inlineStr">
        <is>
          <t>风险管理和内部控制</t>
        </is>
      </c>
      <c r="CQ255" t="inlineStr">
        <is>
          <t>3,3</t>
        </is>
      </c>
      <c r="CR255" t="n">
        <v>5</v>
      </c>
      <c r="CS255" t="inlineStr">
        <is>
          <t>T1</t>
        </is>
      </c>
      <c r="CT255" t="inlineStr">
        <is>
          <t>N</t>
        </is>
      </c>
    </row>
    <row r="256">
      <c r="A256" t="inlineStr">
        <is>
          <t>janetJiang(江冰)</t>
        </is>
      </c>
      <c r="C256" t="n">
        <v>19425822</v>
      </c>
      <c r="D256" t="inlineStr">
        <is>
          <t>CSIG财务管理</t>
        </is>
      </c>
      <c r="E256" t="inlineStr">
        <is>
          <t>CSIG财务管理</t>
        </is>
      </c>
      <c r="G256" t="inlineStr">
        <is>
          <t>S2职能系统－财经线/CSIG财务管理</t>
        </is>
      </c>
      <c r="H256" s="188" t="n">
        <v>37970</v>
      </c>
      <c r="I256" t="inlineStr">
        <is>
          <t>高校招聘</t>
        </is>
      </c>
      <c r="J256" t="inlineStr">
        <is>
          <t>财经类－FN</t>
        </is>
      </c>
      <c r="K256" t="inlineStr">
        <is>
          <t>财务管理</t>
        </is>
      </c>
      <c r="L256" t="inlineStr">
        <is>
          <t>S8</t>
        </is>
      </c>
      <c r="N256" t="inlineStr">
        <is>
          <t>T1#</t>
        </is>
      </c>
      <c r="Q256" t="inlineStr">
        <is>
          <t>G,G</t>
        </is>
      </c>
      <c r="U256" t="n">
        <v>37256.5</v>
      </c>
      <c r="V256" t="n">
        <v>0.083333</v>
      </c>
      <c r="W256" t="inlineStr">
        <is>
          <t>CNY</t>
        </is>
      </c>
      <c r="X256" t="n">
        <v>1</v>
      </c>
      <c r="Y256" t="n">
        <v>34358.39</v>
      </c>
      <c r="Z256" t="n">
        <v>0</v>
      </c>
      <c r="AA256" t="n">
        <v>74513</v>
      </c>
      <c r="AB256" t="n">
        <v>120465</v>
      </c>
      <c r="AC256" t="n">
        <v>68915</v>
      </c>
      <c r="AF256" t="n">
        <v>0</v>
      </c>
      <c r="AG256" t="n">
        <v>263893</v>
      </c>
      <c r="AH256" t="n">
        <v>7.680598537940805</v>
      </c>
      <c r="AI256" t="n">
        <v>263893</v>
      </c>
      <c r="AJ256" t="n">
        <v>7.680598537940805</v>
      </c>
      <c r="AK256" t="n">
        <v>5.674829350269323</v>
      </c>
      <c r="AQ256" t="n">
        <v>263893</v>
      </c>
      <c r="AR256" t="n">
        <v>7.680598537940805</v>
      </c>
      <c r="AS256" t="n">
        <v>1.162754731114098</v>
      </c>
      <c r="BL256" t="n">
        <v>1</v>
      </c>
      <c r="BM256" t="n">
        <v>31550</v>
      </c>
      <c r="BN256" t="n">
        <v>0</v>
      </c>
      <c r="BO256" t="n">
        <v>33610</v>
      </c>
      <c r="BP256" t="inlineStr">
        <is>
          <t>G,G</t>
        </is>
      </c>
      <c r="BQ256" t="inlineStr">
        <is>
          <t>T1#</t>
        </is>
      </c>
      <c r="BR256" t="n">
        <v>168880</v>
      </c>
      <c r="BS256" t="n">
        <v>5.352773375594294</v>
      </c>
      <c r="BT256" t="n">
        <v>58075</v>
      </c>
      <c r="BU256" t="n">
        <v>226955</v>
      </c>
      <c r="BV256" t="n">
        <v>7.19350237717908</v>
      </c>
      <c r="BY256" t="n">
        <v>226955</v>
      </c>
      <c r="BZ256" t="n">
        <v>7.19350237717908</v>
      </c>
      <c r="CP256" t="inlineStr">
        <is>
          <t>CSIG财务管理</t>
        </is>
      </c>
      <c r="CQ256" t="inlineStr">
        <is>
          <t>3,3</t>
        </is>
      </c>
      <c r="CR256" t="n">
        <v>8</v>
      </c>
      <c r="CS256" t="inlineStr">
        <is>
          <t>T1#</t>
        </is>
      </c>
      <c r="CT256" t="inlineStr">
        <is>
          <t>N</t>
        </is>
      </c>
    </row>
    <row r="257">
      <c r="A257" t="inlineStr">
        <is>
          <t>ruthLin(林嫦)</t>
        </is>
      </c>
      <c r="C257" t="n">
        <v>51895962</v>
      </c>
      <c r="D257" t="inlineStr">
        <is>
          <t>风险管理和内部控制</t>
        </is>
      </c>
      <c r="E257" t="inlineStr">
        <is>
          <t>CDG-FiT风控组</t>
        </is>
      </c>
      <c r="G257" t="inlineStr">
        <is>
          <t>S2职能系统－财经线/风险管理和内部控制/CDG-FiT风控组</t>
        </is>
      </c>
      <c r="H257" s="188" t="n">
        <v>41788</v>
      </c>
      <c r="I257" t="inlineStr">
        <is>
          <t>社会招聘</t>
        </is>
      </c>
      <c r="J257" t="inlineStr">
        <is>
          <t>财经类－FN</t>
        </is>
      </c>
      <c r="K257" t="inlineStr">
        <is>
          <t>风险管理</t>
        </is>
      </c>
      <c r="L257" t="inlineStr">
        <is>
          <t>S12</t>
        </is>
      </c>
      <c r="M257" t="inlineStr">
        <is>
          <t>L1-1</t>
        </is>
      </c>
      <c r="N257" t="inlineStr">
        <is>
          <t>T2</t>
        </is>
      </c>
      <c r="Q257" t="inlineStr">
        <is>
          <t>G,G</t>
        </is>
      </c>
      <c r="U257" t="n">
        <v>60044.5</v>
      </c>
      <c r="V257" t="n">
        <v>0.083333</v>
      </c>
      <c r="W257" t="inlineStr">
        <is>
          <t>CNY</t>
        </is>
      </c>
      <c r="X257" t="n">
        <v>1</v>
      </c>
      <c r="Y257" t="n">
        <v>55023.81</v>
      </c>
      <c r="Z257" t="n">
        <v>0</v>
      </c>
      <c r="AA257" t="n">
        <v>120089</v>
      </c>
      <c r="AB257" t="n">
        <v>74680</v>
      </c>
      <c r="AC257" t="n">
        <v>0</v>
      </c>
      <c r="AF257" t="n">
        <v>12310</v>
      </c>
      <c r="AG257" t="n">
        <v>194769</v>
      </c>
      <c r="AH257" t="n">
        <v>3.539722167548921</v>
      </c>
      <c r="AI257" t="n">
        <v>207079</v>
      </c>
      <c r="AJ257" t="n">
        <v>3.763443498369161</v>
      </c>
      <c r="AK257" t="n">
        <v>3.763443498369161</v>
      </c>
      <c r="AQ257" t="n">
        <v>207079</v>
      </c>
      <c r="AR257" t="n">
        <v>3.763443498369161</v>
      </c>
      <c r="AS257" t="n">
        <v>0.8578784928640968</v>
      </c>
      <c r="BL257" t="n">
        <v>1</v>
      </c>
      <c r="BM257" t="n">
        <v>52610</v>
      </c>
      <c r="BN257" t="n">
        <v>0</v>
      </c>
      <c r="BO257" t="n">
        <v>53700</v>
      </c>
      <c r="BP257" t="inlineStr">
        <is>
          <t>O,G</t>
        </is>
      </c>
      <c r="BQ257" t="inlineStr">
        <is>
          <t>T2</t>
        </is>
      </c>
      <c r="BR257" t="n">
        <v>241385</v>
      </c>
      <c r="BS257" t="n">
        <v>4.588196160425775</v>
      </c>
      <c r="BT257" t="n">
        <v>0</v>
      </c>
      <c r="BU257" t="n">
        <v>241385</v>
      </c>
      <c r="BV257" t="n">
        <v>4.588196160425775</v>
      </c>
      <c r="BY257" t="n">
        <v>241385</v>
      </c>
      <c r="BZ257" t="n">
        <v>4.588196160425775</v>
      </c>
      <c r="CP257" t="inlineStr">
        <is>
          <t>风险管理和内部控制</t>
        </is>
      </c>
      <c r="CQ257" t="inlineStr">
        <is>
          <t>3,3</t>
        </is>
      </c>
      <c r="CR257" t="n">
        <v>12</v>
      </c>
      <c r="CS257" t="inlineStr">
        <is>
          <t>T2</t>
        </is>
      </c>
      <c r="CT257" t="inlineStr">
        <is>
          <t>N</t>
        </is>
      </c>
    </row>
    <row r="258">
      <c r="A258" t="inlineStr">
        <is>
          <t>juanMeng(孟梓宇)</t>
        </is>
      </c>
      <c r="C258" t="n">
        <v>7993738</v>
      </c>
      <c r="D258" t="inlineStr">
        <is>
          <t>风险管理和内部控制</t>
        </is>
      </c>
      <c r="E258" t="inlineStr">
        <is>
          <t>TEG风控组</t>
        </is>
      </c>
      <c r="G258" t="inlineStr">
        <is>
          <t>S2职能系统－财经线/风险管理和内部控制/TEG风控组</t>
        </is>
      </c>
      <c r="H258" s="188" t="n">
        <v>37135</v>
      </c>
      <c r="I258" t="inlineStr">
        <is>
          <t>社会招聘</t>
        </is>
      </c>
      <c r="J258" t="inlineStr">
        <is>
          <t>财经类－FN</t>
        </is>
      </c>
      <c r="K258" t="inlineStr">
        <is>
          <t>风险管理</t>
        </is>
      </c>
      <c r="L258" t="inlineStr">
        <is>
          <t>S10</t>
        </is>
      </c>
      <c r="N258" t="inlineStr">
        <is>
          <t>T1</t>
        </is>
      </c>
      <c r="Q258" t="inlineStr">
        <is>
          <t>G,G</t>
        </is>
      </c>
      <c r="U258" t="n">
        <v>48375.45</v>
      </c>
      <c r="V258" t="n">
        <v>0.083333</v>
      </c>
      <c r="W258" t="inlineStr">
        <is>
          <t>CNY</t>
        </is>
      </c>
      <c r="X258" t="n">
        <v>1</v>
      </c>
      <c r="Y258" t="n">
        <v>47285.59</v>
      </c>
      <c r="Z258" t="n">
        <v>0</v>
      </c>
      <c r="AA258" t="n">
        <v>96750.89999999999</v>
      </c>
      <c r="AB258" t="n">
        <v>105610</v>
      </c>
      <c r="AC258" t="n">
        <v>69065</v>
      </c>
      <c r="AF258" t="n">
        <v>0</v>
      </c>
      <c r="AG258" t="n">
        <v>271425.9</v>
      </c>
      <c r="AH258" t="n">
        <v>5.740139860790571</v>
      </c>
      <c r="AI258" t="n">
        <v>271425.9</v>
      </c>
      <c r="AJ258" t="n">
        <v>5.740139860790571</v>
      </c>
      <c r="AK258" t="n">
        <v>4.279546897902723</v>
      </c>
      <c r="AQ258" t="n">
        <v>271425.9</v>
      </c>
      <c r="AR258" t="n">
        <v>5.740139860790571</v>
      </c>
      <c r="AS258" t="n">
        <v>1.3986339628475</v>
      </c>
      <c r="BL258" t="n">
        <v>1</v>
      </c>
      <c r="BM258" t="n">
        <v>43155</v>
      </c>
      <c r="BN258" t="n">
        <v>0</v>
      </c>
      <c r="BO258" t="n">
        <v>43435</v>
      </c>
      <c r="BP258" t="inlineStr">
        <is>
          <t>G,G</t>
        </is>
      </c>
      <c r="BQ258" t="inlineStr">
        <is>
          <t>T1</t>
        </is>
      </c>
      <c r="BR258" t="n">
        <v>141335</v>
      </c>
      <c r="BS258" t="n">
        <v>3.275055034179122</v>
      </c>
      <c r="BT258" t="n">
        <v>52730</v>
      </c>
      <c r="BU258" t="n">
        <v>194065</v>
      </c>
      <c r="BV258" t="n">
        <v>4.496929672112154</v>
      </c>
      <c r="BY258" t="n">
        <v>194065</v>
      </c>
      <c r="BZ258" t="n">
        <v>4.496929672112154</v>
      </c>
      <c r="CP258" t="inlineStr">
        <is>
          <t>风险管理和内部控制</t>
        </is>
      </c>
      <c r="CQ258" t="inlineStr">
        <is>
          <t>3,3</t>
        </is>
      </c>
      <c r="CR258" t="n">
        <v>10</v>
      </c>
      <c r="CS258" t="inlineStr">
        <is>
          <t>T1</t>
        </is>
      </c>
      <c r="CT258" t="inlineStr">
        <is>
          <t>N</t>
        </is>
      </c>
    </row>
    <row r="259">
      <c r="A259" t="inlineStr">
        <is>
          <t>loganZhang(张华旭)</t>
        </is>
      </c>
      <c r="C259" t="n">
        <v>6953773</v>
      </c>
      <c r="D259" t="inlineStr">
        <is>
          <t>风险管理和内部控制</t>
        </is>
      </c>
      <c r="E259" t="inlineStr">
        <is>
          <t>采购财务管理中心</t>
        </is>
      </c>
      <c r="G259" t="inlineStr">
        <is>
          <t>S2职能系统－财经线/风险管理和内部控制/采购财务管理中心</t>
        </is>
      </c>
      <c r="H259" s="188" t="n">
        <v>38940</v>
      </c>
      <c r="I259" t="inlineStr">
        <is>
          <t>社会招聘</t>
        </is>
      </c>
      <c r="J259" t="inlineStr">
        <is>
          <t>财经类－FN</t>
        </is>
      </c>
      <c r="K259" t="inlineStr">
        <is>
          <t>风险管理</t>
        </is>
      </c>
      <c r="L259" t="inlineStr">
        <is>
          <t>S12</t>
        </is>
      </c>
      <c r="N259" t="inlineStr">
        <is>
          <t>T2</t>
        </is>
      </c>
      <c r="Q259" t="inlineStr">
        <is>
          <t>G,G</t>
        </is>
      </c>
      <c r="U259" t="n">
        <v>65251.75</v>
      </c>
      <c r="V259" t="n">
        <v>0.083333</v>
      </c>
      <c r="W259" t="inlineStr">
        <is>
          <t>CNY</t>
        </is>
      </c>
      <c r="X259" t="n">
        <v>1</v>
      </c>
      <c r="Y259" t="n">
        <v>61071.04</v>
      </c>
      <c r="Z259" t="n">
        <v>0</v>
      </c>
      <c r="AA259" t="n">
        <v>130503.5</v>
      </c>
      <c r="AB259" t="n">
        <v>97400</v>
      </c>
      <c r="AC259" t="n">
        <v>0</v>
      </c>
      <c r="AF259" t="n">
        <v>0</v>
      </c>
      <c r="AG259" t="n">
        <v>227903.5</v>
      </c>
      <c r="AH259" t="n">
        <v>3.731776960077968</v>
      </c>
      <c r="AI259" t="n">
        <v>227903.5</v>
      </c>
      <c r="AJ259" t="n">
        <v>3.731776960077968</v>
      </c>
      <c r="AK259" t="n">
        <v>3.731776960077968</v>
      </c>
      <c r="AQ259" t="n">
        <v>227903.5</v>
      </c>
      <c r="AR259" t="n">
        <v>3.731776960077968</v>
      </c>
      <c r="AS259" t="n">
        <v>1.203927628103539</v>
      </c>
      <c r="BL259" t="n">
        <v>1</v>
      </c>
      <c r="BM259" t="n">
        <v>54345</v>
      </c>
      <c r="BN259" t="n">
        <v>0</v>
      </c>
      <c r="BO259" t="n">
        <v>55260</v>
      </c>
      <c r="BP259" t="inlineStr">
        <is>
          <t>G,G</t>
        </is>
      </c>
      <c r="BQ259" t="inlineStr">
        <is>
          <t>T2</t>
        </is>
      </c>
      <c r="BR259" t="n">
        <v>189300</v>
      </c>
      <c r="BS259" t="n">
        <v>3.483301131658846</v>
      </c>
      <c r="BT259" t="n">
        <v>0</v>
      </c>
      <c r="BU259" t="n">
        <v>189300</v>
      </c>
      <c r="BV259" t="n">
        <v>3.483301131658846</v>
      </c>
      <c r="BY259" t="n">
        <v>189300</v>
      </c>
      <c r="BZ259" t="n">
        <v>3.483301131658846</v>
      </c>
      <c r="CP259" t="inlineStr">
        <is>
          <t>风险管理和内部控制</t>
        </is>
      </c>
      <c r="CQ259" t="inlineStr">
        <is>
          <t>3,3</t>
        </is>
      </c>
      <c r="CR259" t="n">
        <v>12</v>
      </c>
      <c r="CS259" t="inlineStr">
        <is>
          <t>T2</t>
        </is>
      </c>
      <c r="CT259" t="inlineStr">
        <is>
          <t>N</t>
        </is>
      </c>
    </row>
    <row r="260">
      <c r="A260" t="inlineStr">
        <is>
          <t>harryJiang(江炜)</t>
        </is>
      </c>
      <c r="C260" t="n">
        <v>22174821</v>
      </c>
      <c r="D260" t="inlineStr">
        <is>
          <t>IEG财务管理</t>
        </is>
      </c>
      <c r="E260" t="inlineStr">
        <is>
          <t>自研财务管理组</t>
        </is>
      </c>
      <c r="G260" t="inlineStr">
        <is>
          <t>S2职能系统－财经线/IEG财务管理/自研财务管理组</t>
        </is>
      </c>
      <c r="H260" s="188" t="n">
        <v>37474</v>
      </c>
      <c r="I260" t="inlineStr">
        <is>
          <t>社会招聘</t>
        </is>
      </c>
      <c r="J260" t="inlineStr">
        <is>
          <t>财经类－FN</t>
        </is>
      </c>
      <c r="K260" t="inlineStr">
        <is>
          <t>财务管理</t>
        </is>
      </c>
      <c r="M260" t="inlineStr">
        <is>
          <t>L3-3</t>
        </is>
      </c>
      <c r="N260" t="inlineStr">
        <is>
          <t>T2</t>
        </is>
      </c>
      <c r="Q260" t="inlineStr">
        <is>
          <t>G,O</t>
        </is>
      </c>
      <c r="U260" t="n">
        <v>70171.7</v>
      </c>
      <c r="V260" t="n">
        <v>0.083333</v>
      </c>
      <c r="W260" t="inlineStr">
        <is>
          <t>CNY</t>
        </is>
      </c>
      <c r="X260" t="n">
        <v>1</v>
      </c>
      <c r="Y260" t="n">
        <v>63455.01</v>
      </c>
      <c r="Z260" t="n">
        <v>0</v>
      </c>
      <c r="AA260" t="n">
        <v>210515.1</v>
      </c>
      <c r="AB260" t="n">
        <v>71235</v>
      </c>
      <c r="AC260" t="n">
        <v>0</v>
      </c>
      <c r="AF260" t="n">
        <v>14190</v>
      </c>
      <c r="AG260" t="n">
        <v>281750.1</v>
      </c>
      <c r="AH260" t="n">
        <v>4.440155316341452</v>
      </c>
      <c r="AI260" t="n">
        <v>295940.1</v>
      </c>
      <c r="AJ260" t="n">
        <v>4.663778321049826</v>
      </c>
      <c r="AK260" t="n">
        <v>4.663778321049826</v>
      </c>
      <c r="AQ260" t="n">
        <v>295940.1</v>
      </c>
      <c r="AR260" t="n">
        <v>4.663778321049826</v>
      </c>
      <c r="AS260" t="n">
        <v>0.8023427184860848</v>
      </c>
      <c r="BL260" t="n">
        <v>1</v>
      </c>
      <c r="BM260" t="n">
        <v>59325</v>
      </c>
      <c r="BN260" t="n">
        <v>0</v>
      </c>
      <c r="BO260" t="n">
        <v>62515</v>
      </c>
      <c r="BP260" t="inlineStr">
        <is>
          <t>O,G</t>
        </is>
      </c>
      <c r="BQ260" t="inlineStr">
        <is>
          <t>T1</t>
        </is>
      </c>
      <c r="BR260" t="n">
        <v>262410</v>
      </c>
      <c r="BS260" t="n">
        <v>4.423261694058154</v>
      </c>
      <c r="BT260" t="n">
        <v>106435</v>
      </c>
      <c r="BU260" t="n">
        <v>368845</v>
      </c>
      <c r="BV260" t="n">
        <v>6.217361989043405</v>
      </c>
      <c r="BY260" t="n">
        <v>368845</v>
      </c>
      <c r="BZ260" t="n">
        <v>6.217361989043405</v>
      </c>
      <c r="CP260" t="inlineStr">
        <is>
          <t>IEG财务管理</t>
        </is>
      </c>
      <c r="CQ260" t="inlineStr">
        <is>
          <t>5,3</t>
        </is>
      </c>
      <c r="CR260" t="inlineStr">
        <is>
          <t>L3-3</t>
        </is>
      </c>
      <c r="CS260" t="inlineStr">
        <is>
          <t>T2</t>
        </is>
      </c>
      <c r="CT260" t="inlineStr">
        <is>
          <t>N</t>
        </is>
      </c>
    </row>
    <row r="261">
      <c r="A261" t="inlineStr">
        <is>
          <t>julieFan(范丹)</t>
        </is>
      </c>
      <c r="C261" t="n">
        <v>67493857</v>
      </c>
      <c r="D261" t="inlineStr">
        <is>
          <t>风险管理和内部控制</t>
        </is>
      </c>
      <c r="E261" t="inlineStr">
        <is>
          <t>PCG风控中心</t>
        </is>
      </c>
      <c r="G261" t="inlineStr">
        <is>
          <t>S2职能系统－财经线/风险管理和内部控制/PCG风控中心</t>
        </is>
      </c>
      <c r="H261" s="188" t="n">
        <v>40917</v>
      </c>
      <c r="I261" t="inlineStr">
        <is>
          <t>高校招聘</t>
        </is>
      </c>
      <c r="J261" t="inlineStr">
        <is>
          <t>财经类－FN</t>
        </is>
      </c>
      <c r="K261" t="inlineStr">
        <is>
          <t>风险管理</t>
        </is>
      </c>
      <c r="L261" t="inlineStr">
        <is>
          <t>S9</t>
        </is>
      </c>
      <c r="N261" t="inlineStr">
        <is>
          <t>T1</t>
        </is>
      </c>
      <c r="Q261" t="inlineStr">
        <is>
          <t>G,G</t>
        </is>
      </c>
      <c r="U261" t="n">
        <v>33488.2</v>
      </c>
      <c r="V261" t="n">
        <v>0.083333</v>
      </c>
      <c r="W261" t="inlineStr">
        <is>
          <t>CNY</t>
        </is>
      </c>
      <c r="X261" t="n">
        <v>1</v>
      </c>
      <c r="Y261" t="n">
        <v>31524.8</v>
      </c>
      <c r="Z261" t="n">
        <v>0</v>
      </c>
      <c r="AA261" t="n">
        <v>66976.39999999999</v>
      </c>
      <c r="AB261" t="n">
        <v>77185</v>
      </c>
      <c r="AC261" t="n">
        <v>55195</v>
      </c>
      <c r="AF261" t="n">
        <v>0</v>
      </c>
      <c r="AG261" t="n">
        <v>199356.4</v>
      </c>
      <c r="AH261" t="n">
        <v>6.323795868649444</v>
      </c>
      <c r="AI261" t="n">
        <v>199356.4</v>
      </c>
      <c r="AJ261" t="n">
        <v>6.323795868649444</v>
      </c>
      <c r="AK261" t="n">
        <v>4.572952088514439</v>
      </c>
      <c r="AQ261" t="n">
        <v>199356.4</v>
      </c>
      <c r="AR261" t="n">
        <v>6.323795868649444</v>
      </c>
      <c r="AS261" t="n">
        <v>1.454200889926326</v>
      </c>
      <c r="BL261" t="n">
        <v>1</v>
      </c>
      <c r="BM261" t="n">
        <v>26835</v>
      </c>
      <c r="BN261" t="n">
        <v>0</v>
      </c>
      <c r="BO261" t="n">
        <v>27465</v>
      </c>
      <c r="BP261" t="inlineStr">
        <is>
          <t>G,G</t>
        </is>
      </c>
      <c r="BQ261" t="inlineStr">
        <is>
          <t>T1</t>
        </is>
      </c>
      <c r="BR261" t="n">
        <v>95790</v>
      </c>
      <c r="BS261" t="n">
        <v>3.569591950810509</v>
      </c>
      <c r="BT261" t="n">
        <v>41300</v>
      </c>
      <c r="BU261" t="n">
        <v>137090</v>
      </c>
      <c r="BV261" t="n">
        <v>5.108626793366872</v>
      </c>
      <c r="BY261" t="n">
        <v>137090</v>
      </c>
      <c r="BZ261" t="n">
        <v>5.108626793366872</v>
      </c>
      <c r="CP261" t="inlineStr">
        <is>
          <t>风险管理和内部控制</t>
        </is>
      </c>
      <c r="CQ261" t="inlineStr">
        <is>
          <t>3,3</t>
        </is>
      </c>
      <c r="CR261" t="n">
        <v>9</v>
      </c>
      <c r="CS261" t="inlineStr">
        <is>
          <t>T1</t>
        </is>
      </c>
      <c r="CT261" t="inlineStr">
        <is>
          <t>N</t>
        </is>
      </c>
    </row>
    <row r="262">
      <c r="A262" t="inlineStr">
        <is>
          <t>juliaCui(崔蓉畅)</t>
        </is>
      </c>
      <c r="C262" t="n">
        <v>85487998</v>
      </c>
      <c r="D262" t="inlineStr">
        <is>
          <t>风险管理和内部控制</t>
        </is>
      </c>
      <c r="E262" t="inlineStr">
        <is>
          <t>PCG风控中心</t>
        </is>
      </c>
      <c r="G262" t="inlineStr">
        <is>
          <t>S2职能系统－财经线/风险管理和内部控制/PCG风控中心</t>
        </is>
      </c>
      <c r="H262" s="188" t="n">
        <v>40355</v>
      </c>
      <c r="I262" t="inlineStr">
        <is>
          <t>社会招聘</t>
        </is>
      </c>
      <c r="J262" t="inlineStr">
        <is>
          <t>财经类－FN</t>
        </is>
      </c>
      <c r="K262" t="inlineStr">
        <is>
          <t>风险管理</t>
        </is>
      </c>
      <c r="L262" t="inlineStr">
        <is>
          <t>S11</t>
        </is>
      </c>
      <c r="N262" t="inlineStr">
        <is>
          <t>T1</t>
        </is>
      </c>
      <c r="Q262" t="inlineStr">
        <is>
          <t>G,G</t>
        </is>
      </c>
      <c r="U262" t="n">
        <v>51042.2</v>
      </c>
      <c r="V262" t="n">
        <v>0.083333</v>
      </c>
      <c r="W262" t="inlineStr">
        <is>
          <t>CNY</t>
        </is>
      </c>
      <c r="X262" t="n">
        <v>1</v>
      </c>
      <c r="Y262" t="n">
        <v>49218.52</v>
      </c>
      <c r="Z262" t="n">
        <v>0</v>
      </c>
      <c r="AA262" t="n">
        <v>102084.4</v>
      </c>
      <c r="AB262" t="n">
        <v>103670</v>
      </c>
      <c r="AC262" t="n">
        <v>100300</v>
      </c>
      <c r="AF262" t="n">
        <v>0</v>
      </c>
      <c r="AG262" t="n">
        <v>306054.4</v>
      </c>
      <c r="AH262" t="n">
        <v>6.218277185092116</v>
      </c>
      <c r="AI262" t="n">
        <v>306054.4</v>
      </c>
      <c r="AJ262" t="n">
        <v>6.218277185092116</v>
      </c>
      <c r="AK262" t="n">
        <v>4.180426392341745</v>
      </c>
      <c r="AQ262" t="n">
        <v>306054.4</v>
      </c>
      <c r="AR262" t="n">
        <v>6.218277185092116</v>
      </c>
      <c r="AS262" t="n">
        <v>1.532302300548227</v>
      </c>
      <c r="BL262" t="n">
        <v>1</v>
      </c>
      <c r="BM262" t="n">
        <v>41730</v>
      </c>
      <c r="BN262" t="n">
        <v>0</v>
      </c>
      <c r="BO262" t="n">
        <v>43425</v>
      </c>
      <c r="BP262" t="inlineStr">
        <is>
          <t>G,G</t>
        </is>
      </c>
      <c r="BQ262" t="inlineStr">
        <is>
          <t>T1</t>
        </is>
      </c>
      <c r="BR262" t="n">
        <v>139030</v>
      </c>
      <c r="BS262" t="n">
        <v>3.331655883057752</v>
      </c>
      <c r="BT262" t="n">
        <v>60705</v>
      </c>
      <c r="BU262" t="n">
        <v>199735</v>
      </c>
      <c r="BV262" t="n">
        <v>4.786364725617062</v>
      </c>
      <c r="BY262" t="n">
        <v>199735</v>
      </c>
      <c r="BZ262" t="n">
        <v>4.786364725617062</v>
      </c>
      <c r="CP262" t="inlineStr">
        <is>
          <t>风险管理和内部控制</t>
        </is>
      </c>
      <c r="CQ262" t="inlineStr">
        <is>
          <t>3,3</t>
        </is>
      </c>
      <c r="CR262" t="n">
        <v>11</v>
      </c>
      <c r="CS262" t="inlineStr">
        <is>
          <t>T1</t>
        </is>
      </c>
      <c r="CT262" t="inlineStr">
        <is>
          <t>N</t>
        </is>
      </c>
    </row>
    <row r="263">
      <c r="A263" t="inlineStr">
        <is>
          <t>ethanLei(雷力勋)</t>
        </is>
      </c>
      <c r="C263" t="n">
        <v>19988700</v>
      </c>
      <c r="D263" t="inlineStr">
        <is>
          <t>财会及报告管理部</t>
        </is>
      </c>
      <c r="E263" t="inlineStr">
        <is>
          <t>员工报销服务中心</t>
        </is>
      </c>
      <c r="G263" t="inlineStr">
        <is>
          <t>S2职能系统－财经线/财会及报告管理部/员工报销服务中心</t>
        </is>
      </c>
      <c r="H263" s="188" t="n">
        <v>42343</v>
      </c>
      <c r="I263" t="inlineStr">
        <is>
          <t>高校招聘</t>
        </is>
      </c>
      <c r="J263" t="inlineStr">
        <is>
          <t>财经类－FN</t>
        </is>
      </c>
      <c r="K263" t="inlineStr">
        <is>
          <t>会计</t>
        </is>
      </c>
      <c r="L263" t="inlineStr">
        <is>
          <t>S8</t>
        </is>
      </c>
      <c r="N263" t="inlineStr">
        <is>
          <t>T1</t>
        </is>
      </c>
      <c r="Q263" t="inlineStr">
        <is>
          <t>G,G</t>
        </is>
      </c>
      <c r="U263" t="n">
        <v>50453.1</v>
      </c>
      <c r="V263" t="n">
        <v>0.083333</v>
      </c>
      <c r="W263" t="inlineStr">
        <is>
          <t>CNY</t>
        </is>
      </c>
      <c r="X263" t="n">
        <v>1</v>
      </c>
      <c r="Y263" t="n">
        <v>48442.04</v>
      </c>
      <c r="Z263" t="n">
        <v>0</v>
      </c>
      <c r="AA263" t="n">
        <v>100906.2</v>
      </c>
      <c r="AB263" t="n">
        <v>106715</v>
      </c>
      <c r="AC263" t="n">
        <v>63745</v>
      </c>
      <c r="AF263" t="n">
        <v>0</v>
      </c>
      <c r="AG263" t="n">
        <v>271366.2</v>
      </c>
      <c r="AH263" t="n">
        <v>5.601873909521564</v>
      </c>
      <c r="AI263" t="n">
        <v>271366.2</v>
      </c>
      <c r="AJ263" t="n">
        <v>5.601873909521564</v>
      </c>
      <c r="AK263" t="n">
        <v>4.285971441334841</v>
      </c>
      <c r="AQ263" t="n">
        <v>271366.2</v>
      </c>
      <c r="AR263" t="n">
        <v>5.601873909521564</v>
      </c>
      <c r="AS263" t="n">
        <v>1.260497480084539</v>
      </c>
      <c r="BL263" t="n">
        <v>1</v>
      </c>
      <c r="BM263" t="n">
        <v>43050</v>
      </c>
      <c r="BN263" t="n">
        <v>0</v>
      </c>
      <c r="BO263" t="n">
        <v>45030</v>
      </c>
      <c r="BP263" t="inlineStr">
        <is>
          <t>G,G</t>
        </is>
      </c>
      <c r="BQ263" t="inlineStr">
        <is>
          <t>T1</t>
        </is>
      </c>
      <c r="BR263" t="n">
        <v>136660</v>
      </c>
      <c r="BS263" t="n">
        <v>3.17444831591173</v>
      </c>
      <c r="BT263" t="n">
        <v>78625</v>
      </c>
      <c r="BU263" t="n">
        <v>215285</v>
      </c>
      <c r="BV263" t="n">
        <v>5.000813008130081</v>
      </c>
      <c r="BY263" t="n">
        <v>215285</v>
      </c>
      <c r="BZ263" t="n">
        <v>5.000813008130081</v>
      </c>
      <c r="CP263" t="inlineStr">
        <is>
          <t>财会及报告管理部</t>
        </is>
      </c>
      <c r="CQ263" t="inlineStr">
        <is>
          <t>3,3</t>
        </is>
      </c>
      <c r="CR263" t="n">
        <v>8</v>
      </c>
      <c r="CS263" t="inlineStr">
        <is>
          <t>T1</t>
        </is>
      </c>
      <c r="CT263" t="inlineStr">
        <is>
          <t>N</t>
        </is>
      </c>
    </row>
    <row r="264">
      <c r="A264" t="inlineStr">
        <is>
          <t>samanthaZou(邹璇嫦)</t>
        </is>
      </c>
      <c r="C264" t="n">
        <v>13492802</v>
      </c>
      <c r="D264" t="inlineStr">
        <is>
          <t>海外财经中心</t>
        </is>
      </c>
      <c r="E264" t="inlineStr">
        <is>
          <t>海外财经办公室</t>
        </is>
      </c>
      <c r="G264" t="inlineStr">
        <is>
          <t>S2职能系统－财经线/海外财经中心/海外财经办公室</t>
        </is>
      </c>
      <c r="H264" s="188" t="n">
        <v>37421</v>
      </c>
      <c r="I264" t="inlineStr">
        <is>
          <t>社会招聘</t>
        </is>
      </c>
      <c r="J264" t="inlineStr">
        <is>
          <t>财经类－FN</t>
        </is>
      </c>
      <c r="K264" t="inlineStr">
        <is>
          <t>财务管理</t>
        </is>
      </c>
      <c r="L264" t="inlineStr">
        <is>
          <t>S6</t>
        </is>
      </c>
      <c r="N264" t="inlineStr">
        <is>
          <t>T1</t>
        </is>
      </c>
      <c r="Q264" t="inlineStr">
        <is>
          <t>O,U</t>
        </is>
      </c>
      <c r="U264" t="n">
        <v>31848.45</v>
      </c>
      <c r="V264" t="n">
        <v>0.083333</v>
      </c>
      <c r="W264" t="inlineStr">
        <is>
          <t>CNY</t>
        </is>
      </c>
      <c r="X264" t="n">
        <v>1</v>
      </c>
      <c r="Y264" t="n">
        <v>29309.81</v>
      </c>
      <c r="Z264" t="n">
        <v>0</v>
      </c>
      <c r="AA264" t="n">
        <v>63696.9</v>
      </c>
      <c r="AB264" t="n">
        <v>67825</v>
      </c>
      <c r="AC264" t="n">
        <v>0</v>
      </c>
      <c r="AF264" t="n">
        <v>0</v>
      </c>
      <c r="AG264" t="n">
        <v>131521.9</v>
      </c>
      <c r="AH264" t="n">
        <v>4.487299644726458</v>
      </c>
      <c r="AI264" t="n">
        <v>131521.9</v>
      </c>
      <c r="AJ264" t="n">
        <v>4.487299644726458</v>
      </c>
      <c r="AK264" t="n">
        <v>4.487299644726458</v>
      </c>
      <c r="AQ264" t="n">
        <v>131521.9</v>
      </c>
      <c r="AR264" t="n">
        <v>4.487299644726458</v>
      </c>
      <c r="AS264" t="n">
        <v>1.039123805009086</v>
      </c>
      <c r="BL264" t="n">
        <v>1</v>
      </c>
      <c r="BM264" t="n">
        <v>26050</v>
      </c>
      <c r="BN264" t="n">
        <v>0</v>
      </c>
      <c r="BO264" t="n">
        <v>26210</v>
      </c>
      <c r="BP264" t="inlineStr">
        <is>
          <t>G,G</t>
        </is>
      </c>
      <c r="BQ264" t="inlineStr">
        <is>
          <t>T1</t>
        </is>
      </c>
      <c r="BR264" t="n">
        <v>87460</v>
      </c>
      <c r="BS264" t="n">
        <v>3.357389635316699</v>
      </c>
      <c r="BT264" t="n">
        <v>39110</v>
      </c>
      <c r="BU264" t="n">
        <v>126570</v>
      </c>
      <c r="BV264" t="n">
        <v>4.85873320537428</v>
      </c>
      <c r="BY264" t="n">
        <v>126570</v>
      </c>
      <c r="BZ264" t="n">
        <v>4.85873320537428</v>
      </c>
      <c r="CP264" t="inlineStr">
        <is>
          <t>海外财经中心</t>
        </is>
      </c>
      <c r="CQ264" t="inlineStr">
        <is>
          <t>5,1</t>
        </is>
      </c>
      <c r="CR264" t="n">
        <v>6</v>
      </c>
      <c r="CS264" t="inlineStr">
        <is>
          <t>T1</t>
        </is>
      </c>
      <c r="CT264" t="inlineStr">
        <is>
          <t>N</t>
        </is>
      </c>
    </row>
    <row r="265">
      <c r="A265" t="inlineStr">
        <is>
          <t>fredHu(胡卓)</t>
        </is>
      </c>
      <c r="C265" t="n">
        <v>31638980</v>
      </c>
      <c r="D265" t="inlineStr">
        <is>
          <t>财会及报告管理部</t>
        </is>
      </c>
      <c r="E265" t="inlineStr">
        <is>
          <t>员工报销服务中心</t>
        </is>
      </c>
      <c r="G265" t="inlineStr">
        <is>
          <t>S2职能系统－财经线/财会及报告管理部/员工报销服务中心</t>
        </is>
      </c>
      <c r="H265" s="188" t="n">
        <v>40128</v>
      </c>
      <c r="I265" t="inlineStr">
        <is>
          <t>高校招聘</t>
        </is>
      </c>
      <c r="J265" t="inlineStr">
        <is>
          <t>财经类－FN</t>
        </is>
      </c>
      <c r="K265" t="inlineStr">
        <is>
          <t>会计</t>
        </is>
      </c>
      <c r="L265" t="inlineStr">
        <is>
          <t>S7</t>
        </is>
      </c>
      <c r="N265" t="inlineStr">
        <is>
          <t>T1</t>
        </is>
      </c>
      <c r="Q265" t="inlineStr">
        <is>
          <t>G,G</t>
        </is>
      </c>
      <c r="U265" t="n">
        <v>42501.95</v>
      </c>
      <c r="V265" t="n">
        <v>0.083333</v>
      </c>
      <c r="W265" t="inlineStr">
        <is>
          <t>CNY</t>
        </is>
      </c>
      <c r="X265" t="n">
        <v>1</v>
      </c>
      <c r="Y265" t="n">
        <v>39552.72</v>
      </c>
      <c r="Z265" t="n">
        <v>0</v>
      </c>
      <c r="AA265" t="n">
        <v>85003.89999999999</v>
      </c>
      <c r="AB265" t="n">
        <v>104640</v>
      </c>
      <c r="AC265" t="n">
        <v>73820</v>
      </c>
      <c r="AF265" t="n">
        <v>0</v>
      </c>
      <c r="AG265" t="n">
        <v>263463.9</v>
      </c>
      <c r="AH265" t="n">
        <v>6.661081715745466</v>
      </c>
      <c r="AI265" t="n">
        <v>263463.9</v>
      </c>
      <c r="AJ265" t="n">
        <v>6.661081715745466</v>
      </c>
      <c r="AK265" t="n">
        <v>4.794711969240042</v>
      </c>
      <c r="AQ265" t="n">
        <v>263463.9</v>
      </c>
      <c r="AR265" t="n">
        <v>6.661081715745466</v>
      </c>
      <c r="AS265" t="n">
        <v>1.567491075678249</v>
      </c>
      <c r="BL265" t="n">
        <v>1</v>
      </c>
      <c r="BM265" t="n">
        <v>36440</v>
      </c>
      <c r="BN265" t="n">
        <v>0</v>
      </c>
      <c r="BO265" t="n">
        <v>38370</v>
      </c>
      <c r="BP265" t="inlineStr">
        <is>
          <t>G,G</t>
        </is>
      </c>
      <c r="BQ265" t="inlineStr">
        <is>
          <t>T1</t>
        </is>
      </c>
      <c r="BR265" t="n">
        <v>118610</v>
      </c>
      <c r="BS265" t="n">
        <v>3.254939626783754</v>
      </c>
      <c r="BT265" t="n">
        <v>49470</v>
      </c>
      <c r="BU265" t="n">
        <v>168080</v>
      </c>
      <c r="BV265" t="n">
        <v>4.61251372118551</v>
      </c>
      <c r="BY265" t="n">
        <v>168080</v>
      </c>
      <c r="BZ265" t="n">
        <v>4.61251372118551</v>
      </c>
      <c r="CP265" t="inlineStr">
        <is>
          <t>财会及报告管理部</t>
        </is>
      </c>
      <c r="CQ265" t="inlineStr">
        <is>
          <t>3,3</t>
        </is>
      </c>
      <c r="CR265" t="n">
        <v>7</v>
      </c>
      <c r="CS265" t="inlineStr">
        <is>
          <t>T1</t>
        </is>
      </c>
      <c r="CT265" t="inlineStr">
        <is>
          <t>N</t>
        </is>
      </c>
    </row>
    <row r="266">
      <c r="A266" t="inlineStr">
        <is>
          <t>elizabethYin(尹荷颖)</t>
        </is>
      </c>
      <c r="C266" t="n">
        <v>61334260</v>
      </c>
      <c r="D266" t="inlineStr">
        <is>
          <t>基建财务管理</t>
        </is>
      </c>
      <c r="E266" t="inlineStr">
        <is>
          <t>基建财务管理</t>
        </is>
      </c>
      <c r="G266" t="inlineStr">
        <is>
          <t>S2职能系统－财经线/基建财务管理</t>
        </is>
      </c>
      <c r="H266" s="188" t="n">
        <v>36956</v>
      </c>
      <c r="I266" t="inlineStr">
        <is>
          <t>社会招聘</t>
        </is>
      </c>
      <c r="J266" t="inlineStr">
        <is>
          <t>财经类－FN</t>
        </is>
      </c>
      <c r="K266" t="inlineStr">
        <is>
          <t>财务管理</t>
        </is>
      </c>
      <c r="L266" t="inlineStr">
        <is>
          <t>S6</t>
        </is>
      </c>
      <c r="N266" t="inlineStr">
        <is>
          <t>T1</t>
        </is>
      </c>
      <c r="Q266" t="inlineStr">
        <is>
          <t>O,G</t>
        </is>
      </c>
      <c r="U266" t="n">
        <v>22195.55</v>
      </c>
      <c r="V266" t="n">
        <v>0.083333</v>
      </c>
      <c r="W266" t="inlineStr">
        <is>
          <t>CNY</t>
        </is>
      </c>
      <c r="X266" t="n">
        <v>1</v>
      </c>
      <c r="Y266" t="n">
        <v>21941.58</v>
      </c>
      <c r="Z266" t="n">
        <v>0</v>
      </c>
      <c r="AA266" t="n">
        <v>66586.64999999999</v>
      </c>
      <c r="AB266" t="n">
        <v>53130</v>
      </c>
      <c r="AC266" t="n">
        <v>27540</v>
      </c>
      <c r="AF266" t="n">
        <v>0</v>
      </c>
      <c r="AG266" t="n">
        <v>147256.65</v>
      </c>
      <c r="AH266" t="n">
        <v>6.711305658024626</v>
      </c>
      <c r="AI266" t="n">
        <v>147256.65</v>
      </c>
      <c r="AJ266" t="n">
        <v>6.711305658024626</v>
      </c>
      <c r="AK266" t="n">
        <v>5.456154479303677</v>
      </c>
      <c r="AQ266" t="n">
        <v>147256.65</v>
      </c>
      <c r="AR266" t="n">
        <v>6.711305658024626</v>
      </c>
      <c r="AS266" t="n">
        <v>3.493633451957295</v>
      </c>
      <c r="BL266" t="n">
        <v>1</v>
      </c>
      <c r="BM266" t="n">
        <v>18290</v>
      </c>
      <c r="BN266" t="n">
        <v>0</v>
      </c>
      <c r="BO266" t="n">
        <v>18490</v>
      </c>
      <c r="BP266" t="inlineStr">
        <is>
          <t>U,G</t>
        </is>
      </c>
      <c r="BQ266" t="inlineStr">
        <is>
          <t>T1</t>
        </is>
      </c>
      <c r="BR266" t="n">
        <v>42150</v>
      </c>
      <c r="BS266" t="n">
        <v>2.304537998906506</v>
      </c>
      <c r="BT266" t="n">
        <v>0</v>
      </c>
      <c r="BU266" t="n">
        <v>42150</v>
      </c>
      <c r="BV266" t="n">
        <v>2.304537998906506</v>
      </c>
      <c r="BY266" t="n">
        <v>42150</v>
      </c>
      <c r="BZ266" t="n">
        <v>2.304537998906506</v>
      </c>
      <c r="CP266" t="inlineStr">
        <is>
          <t>基建财务管理</t>
        </is>
      </c>
      <c r="CQ266" t="inlineStr">
        <is>
          <t>5,3</t>
        </is>
      </c>
      <c r="CR266" t="n">
        <v>6</v>
      </c>
      <c r="CS266" t="inlineStr">
        <is>
          <t>T1</t>
        </is>
      </c>
      <c r="CT266" t="inlineStr">
        <is>
          <t>N</t>
        </is>
      </c>
    </row>
    <row r="267">
      <c r="A267" t="inlineStr">
        <is>
          <t>walterBai(白宇霖)</t>
        </is>
      </c>
      <c r="C267" t="n">
        <v>8418014</v>
      </c>
      <c r="D267" t="inlineStr">
        <is>
          <t>财经IT管理部</t>
        </is>
      </c>
      <c r="E267" t="inlineStr">
        <is>
          <t>业务开发中心</t>
        </is>
      </c>
      <c r="G267" t="inlineStr">
        <is>
          <t>S2职能系统－财经线/财经IT管理部/业务开发中心</t>
        </is>
      </c>
      <c r="H267" s="188" t="n">
        <v>40963</v>
      </c>
      <c r="I267" t="inlineStr">
        <is>
          <t>社会招聘</t>
        </is>
      </c>
      <c r="J267" t="inlineStr">
        <is>
          <t>技术研发类－TRD</t>
        </is>
      </c>
      <c r="K267" t="inlineStr">
        <is>
          <t>应用开发</t>
        </is>
      </c>
      <c r="L267" t="inlineStr">
        <is>
          <t>T7</t>
        </is>
      </c>
      <c r="N267" t="inlineStr">
        <is>
          <t>T1</t>
        </is>
      </c>
      <c r="Q267" t="inlineStr">
        <is>
          <t>G,G</t>
        </is>
      </c>
      <c r="U267" t="n">
        <v>38902.2</v>
      </c>
      <c r="V267" t="n">
        <v>0.083333</v>
      </c>
      <c r="W267" t="inlineStr">
        <is>
          <t>CNY</t>
        </is>
      </c>
      <c r="X267" t="n">
        <v>1</v>
      </c>
      <c r="Y267" t="n">
        <v>35240.61</v>
      </c>
      <c r="Z267" t="n">
        <v>0</v>
      </c>
      <c r="AA267" t="n">
        <v>77804.39999999999</v>
      </c>
      <c r="AB267" t="n">
        <v>92990</v>
      </c>
      <c r="AC267" t="n">
        <v>59730</v>
      </c>
      <c r="AF267" t="n">
        <v>0</v>
      </c>
      <c r="AG267" t="n">
        <v>230524.4</v>
      </c>
      <c r="AH267" t="n">
        <v>6.541441819537176</v>
      </c>
      <c r="AI267" t="n">
        <v>230524.4</v>
      </c>
      <c r="AJ267" t="n">
        <v>6.541441819537176</v>
      </c>
      <c r="AK267" t="n">
        <v>4.846522236703621</v>
      </c>
      <c r="AQ267" t="n">
        <v>230524.4</v>
      </c>
      <c r="AR267" t="n">
        <v>6.541441819537176</v>
      </c>
      <c r="AS267" t="n">
        <v>1.087251031717958</v>
      </c>
      <c r="BL267" t="n">
        <v>1</v>
      </c>
      <c r="BM267" t="n">
        <v>34090</v>
      </c>
      <c r="BN267" t="n">
        <v>0</v>
      </c>
      <c r="BO267" t="n">
        <v>35375</v>
      </c>
      <c r="BP267" t="inlineStr">
        <is>
          <t>G,O</t>
        </is>
      </c>
      <c r="BQ267" t="inlineStr">
        <is>
          <t>T1</t>
        </is>
      </c>
      <c r="BR267" t="n">
        <v>144640</v>
      </c>
      <c r="BS267" t="n">
        <v>4.242886476972719</v>
      </c>
      <c r="BT267" t="n">
        <v>67385</v>
      </c>
      <c r="BU267" t="n">
        <v>212025</v>
      </c>
      <c r="BV267" t="n">
        <v>6.219565855089469</v>
      </c>
      <c r="BY267" t="n">
        <v>212025</v>
      </c>
      <c r="BZ267" t="n">
        <v>6.219565855089469</v>
      </c>
      <c r="CP267" t="inlineStr">
        <is>
          <t>财经IT管理部</t>
        </is>
      </c>
      <c r="CQ267" t="inlineStr">
        <is>
          <t>3,3</t>
        </is>
      </c>
      <c r="CR267" t="n">
        <v>7</v>
      </c>
      <c r="CS267" t="inlineStr">
        <is>
          <t>T1</t>
        </is>
      </c>
      <c r="CT267" t="inlineStr">
        <is>
          <t>N</t>
        </is>
      </c>
    </row>
    <row r="268">
      <c r="A268" t="inlineStr">
        <is>
          <t>isabellaTang(唐曼)</t>
        </is>
      </c>
      <c r="C268" t="n">
        <v>60028751</v>
      </c>
      <c r="D268" t="inlineStr">
        <is>
          <t>FiT财务管理</t>
        </is>
      </c>
      <c r="E268" t="inlineStr">
        <is>
          <t>结算支持中心</t>
        </is>
      </c>
      <c r="G268" t="inlineStr">
        <is>
          <t>S2职能系统－财经线/FiT财务管理/结算支持中心</t>
        </is>
      </c>
      <c r="H268" s="188" t="n">
        <v>43022</v>
      </c>
      <c r="I268" t="inlineStr">
        <is>
          <t>高校招聘</t>
        </is>
      </c>
      <c r="J268" t="inlineStr">
        <is>
          <t>财经类－FN</t>
        </is>
      </c>
      <c r="K268" t="inlineStr">
        <is>
          <t>财务管理</t>
        </is>
      </c>
      <c r="L268" t="inlineStr">
        <is>
          <t>S7</t>
        </is>
      </c>
      <c r="N268" t="inlineStr">
        <is>
          <t>T1</t>
        </is>
      </c>
      <c r="Q268" t="inlineStr">
        <is>
          <t>G,G</t>
        </is>
      </c>
      <c r="U268" t="n">
        <v>35321.95</v>
      </c>
      <c r="V268" t="n">
        <v>0.083333</v>
      </c>
      <c r="W268" t="inlineStr">
        <is>
          <t>CNY</t>
        </is>
      </c>
      <c r="X268" t="n">
        <v>1</v>
      </c>
      <c r="Y268" t="n">
        <v>31803.21</v>
      </c>
      <c r="Z268" t="n">
        <v>0</v>
      </c>
      <c r="AA268" t="n">
        <v>70643.89999999999</v>
      </c>
      <c r="AB268" t="n">
        <v>77075</v>
      </c>
      <c r="AC268" t="n">
        <v>70435</v>
      </c>
      <c r="AF268" t="n">
        <v>0</v>
      </c>
      <c r="AG268" t="n">
        <v>218153.9</v>
      </c>
      <c r="AH268" t="n">
        <v>6.85949311405987</v>
      </c>
      <c r="AI268" t="n">
        <v>218153.9</v>
      </c>
      <c r="AJ268" t="n">
        <v>6.85949311405987</v>
      </c>
      <c r="AK268" t="n">
        <v>4.644779567848654</v>
      </c>
      <c r="AQ268" t="n">
        <v>218153.9</v>
      </c>
      <c r="AR268" t="n">
        <v>6.85949311405987</v>
      </c>
      <c r="AS268" t="n">
        <v>2.285410926614635</v>
      </c>
      <c r="BL268" t="n">
        <v>1</v>
      </c>
      <c r="BM268" t="n">
        <v>30845</v>
      </c>
      <c r="BN268" t="n">
        <v>0</v>
      </c>
      <c r="BO268" t="n">
        <v>31030</v>
      </c>
      <c r="BP268" t="inlineStr">
        <is>
          <t>G,G</t>
        </is>
      </c>
      <c r="BQ268" t="inlineStr">
        <is>
          <t>T2</t>
        </is>
      </c>
      <c r="BR268" t="n">
        <v>95455</v>
      </c>
      <c r="BS268" t="n">
        <v>3.094666882801102</v>
      </c>
      <c r="BT268" t="n">
        <v>0</v>
      </c>
      <c r="BU268" t="n">
        <v>95455</v>
      </c>
      <c r="BV268" t="n">
        <v>3.094666882801102</v>
      </c>
      <c r="BY268" t="n">
        <v>95455</v>
      </c>
      <c r="BZ268" t="n">
        <v>3.094666882801102</v>
      </c>
      <c r="CP268" t="inlineStr">
        <is>
          <t>FiT财务管理</t>
        </is>
      </c>
      <c r="CQ268" t="inlineStr">
        <is>
          <t>3,3</t>
        </is>
      </c>
      <c r="CR268" t="n">
        <v>7</v>
      </c>
      <c r="CS268" t="inlineStr">
        <is>
          <t>T1</t>
        </is>
      </c>
      <c r="CT268" t="inlineStr">
        <is>
          <t>N</t>
        </is>
      </c>
    </row>
    <row r="269">
      <c r="A269" t="inlineStr">
        <is>
          <t>aaliyahLiao(廖敏思)</t>
        </is>
      </c>
      <c r="C269" t="n">
        <v>90173264</v>
      </c>
      <c r="D269" t="inlineStr">
        <is>
          <t>审计监察</t>
        </is>
      </c>
      <c r="E269" t="inlineStr">
        <is>
          <t>审计中台及运营组</t>
        </is>
      </c>
      <c r="G269" t="inlineStr">
        <is>
          <t>S2职能系统－财经线/审计监察/审计中台及运营组</t>
        </is>
      </c>
      <c r="H269" s="188" t="n">
        <v>37238</v>
      </c>
      <c r="I269" t="inlineStr">
        <is>
          <t>社会招聘</t>
        </is>
      </c>
      <c r="J269" t="inlineStr">
        <is>
          <t>财经类－FN</t>
        </is>
      </c>
      <c r="K269" t="inlineStr">
        <is>
          <t>风险管理</t>
        </is>
      </c>
      <c r="L269" t="inlineStr">
        <is>
          <t>S6</t>
        </is>
      </c>
      <c r="N269" t="inlineStr">
        <is>
          <t>T1#</t>
        </is>
      </c>
      <c r="Q269" t="inlineStr">
        <is>
          <t>G,G</t>
        </is>
      </c>
      <c r="U269" t="n">
        <v>31468.35</v>
      </c>
      <c r="V269" t="n">
        <v>0.083333</v>
      </c>
      <c r="W269" t="inlineStr">
        <is>
          <t>CNY</t>
        </is>
      </c>
      <c r="X269" t="n">
        <v>1</v>
      </c>
      <c r="Y269" t="n">
        <v>31129.13</v>
      </c>
      <c r="Z269" t="n">
        <v>0</v>
      </c>
      <c r="AA269" t="n">
        <v>62936.7</v>
      </c>
      <c r="AB269" t="n">
        <v>95995</v>
      </c>
      <c r="AC269" t="n">
        <v>50675</v>
      </c>
      <c r="AF269" t="n">
        <v>0</v>
      </c>
      <c r="AG269" t="n">
        <v>209606.7</v>
      </c>
      <c r="AH269" t="n">
        <v>6.733458339503867</v>
      </c>
      <c r="AI269" t="n">
        <v>209606.7</v>
      </c>
      <c r="AJ269" t="n">
        <v>6.733458339503867</v>
      </c>
      <c r="AK269" t="n">
        <v>5.105561896525859</v>
      </c>
      <c r="AQ269" t="n">
        <v>209606.7</v>
      </c>
      <c r="AR269" t="n">
        <v>6.733458339503867</v>
      </c>
      <c r="AS269" t="n">
        <v>2.147939744837834</v>
      </c>
      <c r="BL269" t="n">
        <v>1</v>
      </c>
      <c r="BM269" t="n">
        <v>26900</v>
      </c>
      <c r="BN269" t="n">
        <v>0</v>
      </c>
      <c r="BO269" t="n">
        <v>28500</v>
      </c>
      <c r="BP269" t="inlineStr">
        <is>
          <t>G,G</t>
        </is>
      </c>
      <c r="BQ269" t="inlineStr">
        <is>
          <t>Others</t>
        </is>
      </c>
      <c r="BR269" t="n">
        <v>97585</v>
      </c>
      <c r="BS269" t="n">
        <v>3.627695167286245</v>
      </c>
      <c r="BT269" t="n">
        <v>0</v>
      </c>
      <c r="BU269" t="n">
        <v>97585</v>
      </c>
      <c r="BV269" t="n">
        <v>3.627695167286245</v>
      </c>
      <c r="BY269" t="n">
        <v>97585</v>
      </c>
      <c r="BZ269" t="n">
        <v>3.627695167286245</v>
      </c>
      <c r="CP269" t="inlineStr">
        <is>
          <t>审计监察</t>
        </is>
      </c>
      <c r="CQ269" t="inlineStr">
        <is>
          <t>3,3</t>
        </is>
      </c>
      <c r="CR269" t="n">
        <v>6</v>
      </c>
      <c r="CS269" t="inlineStr">
        <is>
          <t>T1#</t>
        </is>
      </c>
      <c r="CT269" t="inlineStr">
        <is>
          <t>N</t>
        </is>
      </c>
    </row>
    <row r="270">
      <c r="A270" t="inlineStr">
        <is>
          <t>ariaHong(洪洁怡)</t>
        </is>
      </c>
      <c r="C270" t="n">
        <v>39009199</v>
      </c>
      <c r="D270" t="inlineStr">
        <is>
          <t>风险管理和内部控制</t>
        </is>
      </c>
      <c r="E270" t="inlineStr">
        <is>
          <t>IEG风控中心</t>
        </is>
      </c>
      <c r="G270" t="inlineStr">
        <is>
          <t>S2职能系统－财经线/风险管理和内部控制/IEG风控中心</t>
        </is>
      </c>
      <c r="H270" s="188" t="n">
        <v>44702</v>
      </c>
      <c r="I270" t="inlineStr">
        <is>
          <t>高校招聘</t>
        </is>
      </c>
      <c r="J270" t="inlineStr">
        <is>
          <t>财经类－FN</t>
        </is>
      </c>
      <c r="K270" t="inlineStr">
        <is>
          <t>风险管理</t>
        </is>
      </c>
      <c r="L270" t="inlineStr">
        <is>
          <t>S11</t>
        </is>
      </c>
      <c r="N270" t="inlineStr">
        <is>
          <t>T2</t>
        </is>
      </c>
      <c r="Q270" t="inlineStr">
        <is>
          <t>G,G</t>
        </is>
      </c>
      <c r="U270" t="n">
        <v>53644.3</v>
      </c>
      <c r="V270" t="n">
        <v>0.083333</v>
      </c>
      <c r="W270" t="inlineStr">
        <is>
          <t>CNY</t>
        </is>
      </c>
      <c r="X270" t="n">
        <v>1</v>
      </c>
      <c r="Y270" t="n">
        <v>50382.01</v>
      </c>
      <c r="Z270" t="n">
        <v>0</v>
      </c>
      <c r="AA270" t="n">
        <v>107288.6</v>
      </c>
      <c r="AB270" t="n">
        <v>57070</v>
      </c>
      <c r="AC270" t="n">
        <v>0</v>
      </c>
      <c r="AF270" t="n">
        <v>0</v>
      </c>
      <c r="AG270" t="n">
        <v>164358.6</v>
      </c>
      <c r="AH270" t="n">
        <v>3.262247774552861</v>
      </c>
      <c r="AI270" t="n">
        <v>164358.6</v>
      </c>
      <c r="AJ270" t="n">
        <v>3.262247774552861</v>
      </c>
      <c r="AK270" t="n">
        <v>3.262247774552861</v>
      </c>
      <c r="AQ270" t="n">
        <v>164358.6</v>
      </c>
      <c r="AR270" t="n">
        <v>3.262247774552861</v>
      </c>
      <c r="AS270" t="n">
        <v>0.7966005089058524</v>
      </c>
      <c r="BL270" t="n">
        <v>1</v>
      </c>
      <c r="BM270" t="n">
        <v>45700</v>
      </c>
      <c r="BN270" t="n">
        <v>0</v>
      </c>
      <c r="BO270" t="n">
        <v>47400</v>
      </c>
      <c r="BP270" t="inlineStr">
        <is>
          <t>G,O</t>
        </is>
      </c>
      <c r="BQ270" t="inlineStr">
        <is>
          <t>T2</t>
        </is>
      </c>
      <c r="BR270" t="n">
        <v>206325</v>
      </c>
      <c r="BS270" t="n">
        <v>4.514770240700219</v>
      </c>
      <c r="BT270" t="n">
        <v>0</v>
      </c>
      <c r="BU270" t="n">
        <v>206325</v>
      </c>
      <c r="BV270" t="n">
        <v>4.514770240700219</v>
      </c>
      <c r="BY270" t="n">
        <v>206325</v>
      </c>
      <c r="BZ270" t="n">
        <v>4.514770240700219</v>
      </c>
      <c r="CP270" t="inlineStr">
        <is>
          <t>风险管理和内部控制</t>
        </is>
      </c>
      <c r="CQ270" t="inlineStr">
        <is>
          <t>3,3</t>
        </is>
      </c>
      <c r="CR270" t="n">
        <v>11</v>
      </c>
      <c r="CS270" t="inlineStr">
        <is>
          <t>T2</t>
        </is>
      </c>
      <c r="CT270" t="inlineStr">
        <is>
          <t>N</t>
        </is>
      </c>
    </row>
    <row r="271">
      <c r="A271" t="inlineStr">
        <is>
          <t>sharonXie(谢蝶)</t>
        </is>
      </c>
      <c r="C271" t="n">
        <v>63519202</v>
      </c>
      <c r="D271" t="inlineStr">
        <is>
          <t>FiT财务管理</t>
        </is>
      </c>
      <c r="E271" t="inlineStr">
        <is>
          <t>业务支持与分析中心</t>
        </is>
      </c>
      <c r="G271" t="inlineStr">
        <is>
          <t>S2职能系统－财经线/FiT财务管理/业务支持与分析中心</t>
        </is>
      </c>
      <c r="H271" s="188" t="n">
        <v>38009</v>
      </c>
      <c r="I271" t="inlineStr">
        <is>
          <t>社会招聘</t>
        </is>
      </c>
      <c r="J271" t="inlineStr">
        <is>
          <t>财经类－FN</t>
        </is>
      </c>
      <c r="K271" t="inlineStr">
        <is>
          <t>财务管理</t>
        </is>
      </c>
      <c r="L271" t="inlineStr">
        <is>
          <t>S10</t>
        </is>
      </c>
      <c r="N271" t="inlineStr">
        <is>
          <t>T1</t>
        </is>
      </c>
      <c r="Q271" t="inlineStr">
        <is>
          <t>G,G</t>
        </is>
      </c>
      <c r="U271" t="n">
        <v>64892.4</v>
      </c>
      <c r="V271" t="n">
        <v>0.083333</v>
      </c>
      <c r="W271" t="inlineStr">
        <is>
          <t>CNY</t>
        </is>
      </c>
      <c r="X271" t="n">
        <v>1</v>
      </c>
      <c r="Y271" t="n">
        <v>64010.21</v>
      </c>
      <c r="Z271" t="n">
        <v>0</v>
      </c>
      <c r="AA271" t="n">
        <v>129784.8</v>
      </c>
      <c r="AB271" t="n">
        <v>158855</v>
      </c>
      <c r="AC271" t="n">
        <v>110735</v>
      </c>
      <c r="AF271" t="n">
        <v>0</v>
      </c>
      <c r="AG271" t="n">
        <v>399374.8</v>
      </c>
      <c r="AH271" t="n">
        <v>6.239235896898323</v>
      </c>
      <c r="AI271" t="n">
        <v>399374.8</v>
      </c>
      <c r="AJ271" t="n">
        <v>6.239235896898323</v>
      </c>
      <c r="AK271" t="n">
        <v>4.509277504323138</v>
      </c>
      <c r="AQ271" t="n">
        <v>399374.8</v>
      </c>
      <c r="AR271" t="n">
        <v>6.239235896898323</v>
      </c>
      <c r="AS271" t="n">
        <v>1.221236296919196</v>
      </c>
      <c r="BL271" t="n">
        <v>1</v>
      </c>
      <c r="BM271" t="n">
        <v>53735</v>
      </c>
      <c r="BN271" t="n">
        <v>0</v>
      </c>
      <c r="BO271" t="n">
        <v>57910</v>
      </c>
      <c r="BP271" t="inlineStr">
        <is>
          <t>O,G</t>
        </is>
      </c>
      <c r="BQ271" t="inlineStr">
        <is>
          <t>T1</t>
        </is>
      </c>
      <c r="BR271" t="n">
        <v>233040</v>
      </c>
      <c r="BS271" t="n">
        <v>4.336838187401135</v>
      </c>
      <c r="BT271" t="n">
        <v>93985</v>
      </c>
      <c r="BU271" t="n">
        <v>327025</v>
      </c>
      <c r="BV271" t="n">
        <v>6.085884432864986</v>
      </c>
      <c r="BY271" t="n">
        <v>327025</v>
      </c>
      <c r="BZ271" t="n">
        <v>6.085884432864986</v>
      </c>
      <c r="CP271" t="inlineStr">
        <is>
          <t>FiT财务管理</t>
        </is>
      </c>
      <c r="CQ271" t="inlineStr">
        <is>
          <t>3,3</t>
        </is>
      </c>
      <c r="CR271" t="n">
        <v>10</v>
      </c>
      <c r="CS271" t="inlineStr">
        <is>
          <t>T1</t>
        </is>
      </c>
      <c r="CT271" t="inlineStr">
        <is>
          <t>N</t>
        </is>
      </c>
    </row>
    <row r="272">
      <c r="A272" t="inlineStr">
        <is>
          <t>scarlettJia(贾琴璐)</t>
        </is>
      </c>
      <c r="C272" t="n">
        <v>59090735</v>
      </c>
      <c r="D272" t="inlineStr">
        <is>
          <t>风险管理和内部控制</t>
        </is>
      </c>
      <c r="E272" t="inlineStr">
        <is>
          <t>风险管理和内部控制</t>
        </is>
      </c>
      <c r="G272" t="inlineStr">
        <is>
          <t>S2职能系统－财经线/风险管理和内部控制</t>
        </is>
      </c>
      <c r="H272" s="188" t="n">
        <v>41742</v>
      </c>
      <c r="I272" t="inlineStr">
        <is>
          <t>社会招聘</t>
        </is>
      </c>
      <c r="J272" t="inlineStr">
        <is>
          <t>财经类－FN</t>
        </is>
      </c>
      <c r="K272" t="inlineStr">
        <is>
          <t>风险管理</t>
        </is>
      </c>
      <c r="L272" t="inlineStr">
        <is>
          <t>S10</t>
        </is>
      </c>
      <c r="N272" t="inlineStr">
        <is>
          <t>T2</t>
        </is>
      </c>
      <c r="Q272" t="inlineStr">
        <is>
          <t>U,O</t>
        </is>
      </c>
      <c r="U272" t="n">
        <v>43168.4</v>
      </c>
      <c r="V272" t="n">
        <v>0.083333</v>
      </c>
      <c r="W272" t="inlineStr">
        <is>
          <t>CNY</t>
        </is>
      </c>
      <c r="X272" t="n">
        <v>1</v>
      </c>
      <c r="Y272" t="n">
        <v>40893.31</v>
      </c>
      <c r="Z272" t="n">
        <v>0</v>
      </c>
      <c r="AA272" t="n">
        <v>86336.8</v>
      </c>
      <c r="AB272" t="n">
        <v>62960</v>
      </c>
      <c r="AC272" t="n">
        <v>0</v>
      </c>
      <c r="AF272" t="n">
        <v>0</v>
      </c>
      <c r="AG272" t="n">
        <v>149296.8</v>
      </c>
      <c r="AH272" t="n">
        <v>3.65088568276816</v>
      </c>
      <c r="AI272" t="n">
        <v>149296.8</v>
      </c>
      <c r="AJ272" t="n">
        <v>3.65088568276816</v>
      </c>
      <c r="AK272" t="n">
        <v>3.65088568276816</v>
      </c>
      <c r="AQ272" t="n">
        <v>149296.8</v>
      </c>
      <c r="AR272" t="n">
        <v>3.65088568276816</v>
      </c>
      <c r="AS272" t="n">
        <v>0.6006348440045863</v>
      </c>
      <c r="BL272" t="n">
        <v>1</v>
      </c>
      <c r="BM272" t="n">
        <v>35710</v>
      </c>
      <c r="BN272" t="n">
        <v>0</v>
      </c>
      <c r="BO272" t="n">
        <v>37630</v>
      </c>
      <c r="BP272" t="inlineStr">
        <is>
          <t>G,G</t>
        </is>
      </c>
      <c r="BQ272" t="inlineStr">
        <is>
          <t>T1#</t>
        </is>
      </c>
      <c r="BR272" t="n">
        <v>203850</v>
      </c>
      <c r="BS272" t="n">
        <v>5.708485018202184</v>
      </c>
      <c r="BT272" t="n">
        <v>44715</v>
      </c>
      <c r="BU272" t="n">
        <v>248565</v>
      </c>
      <c r="BV272" t="n">
        <v>6.960655278633436</v>
      </c>
      <c r="BY272" t="n">
        <v>248565</v>
      </c>
      <c r="BZ272" t="n">
        <v>6.960655278633436</v>
      </c>
      <c r="CP272" t="inlineStr">
        <is>
          <t>风险管理和内部控制</t>
        </is>
      </c>
      <c r="CQ272" t="inlineStr">
        <is>
          <t>5,1</t>
        </is>
      </c>
      <c r="CR272" t="n">
        <v>10</v>
      </c>
      <c r="CS272" t="inlineStr">
        <is>
          <t>T2</t>
        </is>
      </c>
      <c r="CT272" t="inlineStr">
        <is>
          <t>N</t>
        </is>
      </c>
    </row>
    <row r="273">
      <c r="A273" t="inlineStr">
        <is>
          <t>mayaSu(苏燕)</t>
        </is>
      </c>
      <c r="C273" t="n">
        <v>30322881</v>
      </c>
      <c r="D273" t="inlineStr">
        <is>
          <t>税务部</t>
        </is>
      </c>
      <c r="E273" t="inlineStr">
        <is>
          <t>印章及文档管理组</t>
        </is>
      </c>
      <c r="G273" t="inlineStr">
        <is>
          <t>S2职能系统－财经线/税务部/印章及文档管理组</t>
        </is>
      </c>
      <c r="H273" s="188" t="n">
        <v>43250</v>
      </c>
      <c r="I273" t="inlineStr">
        <is>
          <t>社会招聘</t>
        </is>
      </c>
      <c r="J273" t="inlineStr">
        <is>
          <t>财经类－FN</t>
        </is>
      </c>
      <c r="K273" t="inlineStr">
        <is>
          <t>税务</t>
        </is>
      </c>
      <c r="L273" t="inlineStr">
        <is>
          <t>S11</t>
        </is>
      </c>
      <c r="N273" t="inlineStr">
        <is>
          <t>T1</t>
        </is>
      </c>
      <c r="Q273" t="inlineStr">
        <is>
          <t>G,G</t>
        </is>
      </c>
      <c r="U273" t="n">
        <v>45643.25</v>
      </c>
      <c r="V273" t="n">
        <v>0.083333</v>
      </c>
      <c r="W273" t="inlineStr">
        <is>
          <t>CNY</t>
        </is>
      </c>
      <c r="X273" t="n">
        <v>1</v>
      </c>
      <c r="Y273" t="n">
        <v>42989.46</v>
      </c>
      <c r="Z273" t="n">
        <v>0</v>
      </c>
      <c r="AA273" t="n">
        <v>91286.5</v>
      </c>
      <c r="AB273" t="n">
        <v>107590</v>
      </c>
      <c r="AC273" t="n">
        <v>73660</v>
      </c>
      <c r="AF273" t="n">
        <v>0</v>
      </c>
      <c r="AG273" t="n">
        <v>272536.5</v>
      </c>
      <c r="AH273" t="n">
        <v>6.339612081659086</v>
      </c>
      <c r="AI273" t="n">
        <v>272536.5</v>
      </c>
      <c r="AJ273" t="n">
        <v>6.339612081659086</v>
      </c>
      <c r="AK273" t="n">
        <v>4.626168833011627</v>
      </c>
      <c r="AQ273" t="n">
        <v>272536.5</v>
      </c>
      <c r="AR273" t="n">
        <v>6.339612081659086</v>
      </c>
      <c r="AS273" t="n">
        <v>1.045142177822944</v>
      </c>
      <c r="BL273" t="n">
        <v>1</v>
      </c>
      <c r="BM273" t="n">
        <v>39910</v>
      </c>
      <c r="BN273" t="n">
        <v>0</v>
      </c>
      <c r="BO273" t="n">
        <v>43370</v>
      </c>
      <c r="BP273" t="inlineStr">
        <is>
          <t>G,O</t>
        </is>
      </c>
      <c r="BQ273" t="inlineStr">
        <is>
          <t>T1</t>
        </is>
      </c>
      <c r="BR273" t="n">
        <v>186380</v>
      </c>
      <c r="BS273" t="n">
        <v>4.670007516913055</v>
      </c>
      <c r="BT273" t="n">
        <v>74385</v>
      </c>
      <c r="BU273" t="n">
        <v>260765</v>
      </c>
      <c r="BV273" t="n">
        <v>6.533826108744676</v>
      </c>
      <c r="BY273" t="n">
        <v>260765</v>
      </c>
      <c r="BZ273" t="n">
        <v>6.533826108744676</v>
      </c>
      <c r="CP273" t="inlineStr">
        <is>
          <t>税务部</t>
        </is>
      </c>
      <c r="CQ273" t="inlineStr">
        <is>
          <t>3,3</t>
        </is>
      </c>
      <c r="CR273" t="n">
        <v>11</v>
      </c>
      <c r="CS273" t="inlineStr">
        <is>
          <t>T1</t>
        </is>
      </c>
      <c r="CT273" t="inlineStr">
        <is>
          <t>N</t>
        </is>
      </c>
    </row>
    <row r="274">
      <c r="A274" t="inlineStr">
        <is>
          <t>gabrielSong(宋力雄)</t>
        </is>
      </c>
      <c r="C274" t="n">
        <v>22929441</v>
      </c>
      <c r="D274" t="inlineStr">
        <is>
          <t>CSIG财务管理</t>
        </is>
      </c>
      <c r="E274" t="inlineStr">
        <is>
          <t>产品财务管理中心</t>
        </is>
      </c>
      <c r="G274" t="inlineStr">
        <is>
          <t>S2职能系统－财经线/CSIG财务管理/产品财务管理中心</t>
        </is>
      </c>
      <c r="H274" s="188" t="n">
        <v>43651</v>
      </c>
      <c r="I274" t="inlineStr">
        <is>
          <t>高校招聘</t>
        </is>
      </c>
      <c r="J274" t="inlineStr">
        <is>
          <t>财经类－FN</t>
        </is>
      </c>
      <c r="K274" t="inlineStr">
        <is>
          <t>财务管理</t>
        </is>
      </c>
      <c r="L274" t="inlineStr">
        <is>
          <t>S12</t>
        </is>
      </c>
      <c r="M274" t="inlineStr">
        <is>
          <t>L1-2</t>
        </is>
      </c>
      <c r="N274" t="inlineStr">
        <is>
          <t>T1</t>
        </is>
      </c>
      <c r="Q274" t="inlineStr">
        <is>
          <t>O,O</t>
        </is>
      </c>
      <c r="U274" t="n">
        <v>73879.7</v>
      </c>
      <c r="V274" t="n">
        <v>0.083333</v>
      </c>
      <c r="W274" t="inlineStr">
        <is>
          <t>CNY</t>
        </is>
      </c>
      <c r="X274" t="n">
        <v>1</v>
      </c>
      <c r="Y274" t="n">
        <v>69898.37</v>
      </c>
      <c r="Z274" t="n">
        <v>0</v>
      </c>
      <c r="AA274" t="n">
        <v>295518.8</v>
      </c>
      <c r="AB274" t="n">
        <v>177720</v>
      </c>
      <c r="AC274" t="n">
        <v>102550</v>
      </c>
      <c r="AF274" t="n">
        <v>14230</v>
      </c>
      <c r="AG274" t="n">
        <v>575788.8</v>
      </c>
      <c r="AH274" t="n">
        <v>8.23751397922441</v>
      </c>
      <c r="AI274" t="n">
        <v>590018.8</v>
      </c>
      <c r="AJ274" t="n">
        <v>8.441095264453235</v>
      </c>
      <c r="AK274" t="n">
        <v>6.973965201191387</v>
      </c>
      <c r="AQ274" t="n">
        <v>590018.8</v>
      </c>
      <c r="AR274" t="n">
        <v>8.441095264453235</v>
      </c>
      <c r="AS274" t="n">
        <v>1.842714638183579</v>
      </c>
      <c r="BL274" t="n">
        <v>1</v>
      </c>
      <c r="BM274" t="n">
        <v>65390</v>
      </c>
      <c r="BN274" t="n">
        <v>0</v>
      </c>
      <c r="BO274" t="n">
        <v>69330</v>
      </c>
      <c r="BP274" t="inlineStr">
        <is>
          <t>G,G</t>
        </is>
      </c>
      <c r="BQ274" t="inlineStr">
        <is>
          <t>T1</t>
        </is>
      </c>
      <c r="BR274" t="n">
        <v>232395</v>
      </c>
      <c r="BS274" t="n">
        <v>3.553983789570271</v>
      </c>
      <c r="BT274" t="n">
        <v>87795</v>
      </c>
      <c r="BU274" t="n">
        <v>320190</v>
      </c>
      <c r="BV274" t="n">
        <v>4.89662027833002</v>
      </c>
      <c r="BY274" t="n">
        <v>320190</v>
      </c>
      <c r="BZ274" t="n">
        <v>4.89662027833002</v>
      </c>
      <c r="CP274" t="inlineStr">
        <is>
          <t>CSIG财务管理</t>
        </is>
      </c>
      <c r="CQ274" t="inlineStr">
        <is>
          <t>5,5</t>
        </is>
      </c>
      <c r="CR274" t="n">
        <v>12</v>
      </c>
      <c r="CS274" t="inlineStr">
        <is>
          <t>T1</t>
        </is>
      </c>
      <c r="CT274" t="inlineStr">
        <is>
          <t>N</t>
        </is>
      </c>
    </row>
    <row r="275">
      <c r="A275" t="inlineStr">
        <is>
          <t>larryLu(陆健德)</t>
        </is>
      </c>
      <c r="C275" t="n">
        <v>53319774</v>
      </c>
      <c r="D275" t="inlineStr">
        <is>
          <t>预算及职能系统财务管理部</t>
        </is>
      </c>
      <c r="E275" t="inlineStr">
        <is>
          <t>预算管理中心</t>
        </is>
      </c>
      <c r="G275" t="inlineStr">
        <is>
          <t>S2职能系统－财经线/预算及职能系统财务管理部/预算管理中心</t>
        </is>
      </c>
      <c r="H275" s="188" t="n">
        <v>38907</v>
      </c>
      <c r="I275" t="inlineStr">
        <is>
          <t>高校招聘</t>
        </is>
      </c>
      <c r="J275" t="inlineStr">
        <is>
          <t>财经类－FN</t>
        </is>
      </c>
      <c r="K275" t="inlineStr">
        <is>
          <t>预算管理</t>
        </is>
      </c>
      <c r="L275" t="inlineStr">
        <is>
          <t>S7</t>
        </is>
      </c>
      <c r="N275" t="inlineStr">
        <is>
          <t>T2</t>
        </is>
      </c>
      <c r="Q275" t="inlineStr">
        <is>
          <t>G,O</t>
        </is>
      </c>
      <c r="U275" t="n">
        <v>25126.35</v>
      </c>
      <c r="V275" t="n">
        <v>0.083333</v>
      </c>
      <c r="W275" t="inlineStr">
        <is>
          <t>CNY</t>
        </is>
      </c>
      <c r="X275" t="n">
        <v>1</v>
      </c>
      <c r="Y275" t="n">
        <v>23952.97</v>
      </c>
      <c r="Z275" t="n">
        <v>0</v>
      </c>
      <c r="AA275" t="n">
        <v>75379.05</v>
      </c>
      <c r="AB275" t="n">
        <v>37385</v>
      </c>
      <c r="AC275" t="n">
        <v>0</v>
      </c>
      <c r="AF275" t="n">
        <v>0</v>
      </c>
      <c r="AG275" t="n">
        <v>112764.05</v>
      </c>
      <c r="AH275" t="n">
        <v>4.707727267224064</v>
      </c>
      <c r="AI275" t="n">
        <v>112764.05</v>
      </c>
      <c r="AJ275" t="n">
        <v>4.707727267224064</v>
      </c>
      <c r="AK275" t="n">
        <v>4.707727267224064</v>
      </c>
      <c r="AQ275" t="n">
        <v>112764.05</v>
      </c>
      <c r="AR275" t="n">
        <v>4.707727267224064</v>
      </c>
      <c r="AS275" t="n">
        <v>1.574147413973616</v>
      </c>
      <c r="BL275" t="n">
        <v>1</v>
      </c>
      <c r="BM275" t="n">
        <v>20100</v>
      </c>
      <c r="BN275" t="n">
        <v>0</v>
      </c>
      <c r="BO275" t="n">
        <v>20575</v>
      </c>
      <c r="BP275" t="inlineStr">
        <is>
          <t>G,G</t>
        </is>
      </c>
      <c r="BQ275" t="inlineStr">
        <is>
          <t>T2</t>
        </is>
      </c>
      <c r="BR275" t="n">
        <v>71635</v>
      </c>
      <c r="BS275" t="n">
        <v>3.563930348258706</v>
      </c>
      <c r="BT275" t="n">
        <v>0</v>
      </c>
      <c r="BU275" t="n">
        <v>71635</v>
      </c>
      <c r="BV275" t="n">
        <v>3.563930348258706</v>
      </c>
      <c r="BY275" t="n">
        <v>71635</v>
      </c>
      <c r="BZ275" t="n">
        <v>3.563930348258706</v>
      </c>
      <c r="CP275" t="inlineStr">
        <is>
          <t>预算及职能系统财务管理部</t>
        </is>
      </c>
      <c r="CQ275" t="inlineStr">
        <is>
          <t>5,3</t>
        </is>
      </c>
      <c r="CR275" t="n">
        <v>7</v>
      </c>
      <c r="CS275" t="inlineStr">
        <is>
          <t>T2</t>
        </is>
      </c>
      <c r="CT275" t="inlineStr">
        <is>
          <t>N</t>
        </is>
      </c>
    </row>
    <row r="276">
      <c r="A276" t="inlineStr">
        <is>
          <t>charlesXue(薛刚德)</t>
        </is>
      </c>
      <c r="C276" t="n">
        <v>77832544</v>
      </c>
      <c r="D276" t="inlineStr">
        <is>
          <t>财经IT管理部</t>
        </is>
      </c>
      <c r="E276" t="inlineStr">
        <is>
          <t>业务开发中心</t>
        </is>
      </c>
      <c r="G276" t="inlineStr">
        <is>
          <t>S2职能系统－财经线/财经IT管理部/业务开发中心</t>
        </is>
      </c>
      <c r="H276" s="188" t="n">
        <v>43838</v>
      </c>
      <c r="I276" t="inlineStr">
        <is>
          <t>社会招聘</t>
        </is>
      </c>
      <c r="J276" t="inlineStr">
        <is>
          <t>技术研发类－TRD</t>
        </is>
      </c>
      <c r="K276" t="inlineStr">
        <is>
          <t>应用开发</t>
        </is>
      </c>
      <c r="L276" t="inlineStr">
        <is>
          <t>T8</t>
        </is>
      </c>
      <c r="N276" t="inlineStr">
        <is>
          <t>T2</t>
        </is>
      </c>
      <c r="Q276" t="inlineStr">
        <is>
          <t>G,G</t>
        </is>
      </c>
      <c r="U276" t="n">
        <v>33804.2</v>
      </c>
      <c r="V276" t="n">
        <v>0.083333</v>
      </c>
      <c r="W276" t="inlineStr">
        <is>
          <t>CNY</t>
        </is>
      </c>
      <c r="X276" t="n">
        <v>1</v>
      </c>
      <c r="Y276" t="n">
        <v>31666.24</v>
      </c>
      <c r="Z276" t="n">
        <v>0</v>
      </c>
      <c r="AA276" t="n">
        <v>67608.39999999999</v>
      </c>
      <c r="AB276" t="n">
        <v>37240</v>
      </c>
      <c r="AC276" t="n">
        <v>0</v>
      </c>
      <c r="AF276" t="n">
        <v>0</v>
      </c>
      <c r="AG276" t="n">
        <v>104848.4</v>
      </c>
      <c r="AH276" t="n">
        <v>3.311046717261032</v>
      </c>
      <c r="AI276" t="n">
        <v>104848.4</v>
      </c>
      <c r="AJ276" t="n">
        <v>3.311046717261032</v>
      </c>
      <c r="AK276" t="n">
        <v>3.311046717261032</v>
      </c>
      <c r="AQ276" t="n">
        <v>104848.4</v>
      </c>
      <c r="AR276" t="n">
        <v>3.311046717261032</v>
      </c>
      <c r="AS276" t="n">
        <v>1.373170060899745</v>
      </c>
      <c r="BL276" t="n">
        <v>1</v>
      </c>
      <c r="BM276" t="n">
        <v>29270</v>
      </c>
      <c r="BN276" t="n">
        <v>0</v>
      </c>
      <c r="BO276" t="n">
        <v>31105</v>
      </c>
      <c r="BP276" t="inlineStr">
        <is>
          <t>G,U</t>
        </is>
      </c>
      <c r="BQ276" t="inlineStr">
        <is>
          <t>T2</t>
        </is>
      </c>
      <c r="BR276" t="n">
        <v>76355</v>
      </c>
      <c r="BS276" t="n">
        <v>2.608643662453023</v>
      </c>
      <c r="BT276" t="n">
        <v>0</v>
      </c>
      <c r="BU276" t="n">
        <v>76355</v>
      </c>
      <c r="BV276" t="n">
        <v>2.608643662453023</v>
      </c>
      <c r="BY276" t="n">
        <v>76355</v>
      </c>
      <c r="BZ276" t="n">
        <v>2.608643662453023</v>
      </c>
      <c r="CP276" t="inlineStr">
        <is>
          <t>财经IT管理部</t>
        </is>
      </c>
      <c r="CQ276" t="inlineStr">
        <is>
          <t>3,3</t>
        </is>
      </c>
      <c r="CR276" t="n">
        <v>8</v>
      </c>
      <c r="CS276" t="inlineStr">
        <is>
          <t>T2</t>
        </is>
      </c>
      <c r="CT276" t="inlineStr">
        <is>
          <t>N</t>
        </is>
      </c>
    </row>
    <row r="277">
      <c r="A277" t="inlineStr">
        <is>
          <t>oscarLong(龙天)</t>
        </is>
      </c>
      <c r="C277" t="n">
        <v>44933062</v>
      </c>
      <c r="D277" t="inlineStr">
        <is>
          <t>税务部</t>
        </is>
      </c>
      <c r="E277" t="inlineStr">
        <is>
          <t>BG税务组</t>
        </is>
      </c>
      <c r="G277" t="inlineStr">
        <is>
          <t>S2职能系统－财经线/税务部/BG税务组</t>
        </is>
      </c>
      <c r="H277" s="188" t="n">
        <v>44500</v>
      </c>
      <c r="I277" t="inlineStr">
        <is>
          <t>社会招聘</t>
        </is>
      </c>
      <c r="J277" t="inlineStr">
        <is>
          <t>财经类－FN</t>
        </is>
      </c>
      <c r="K277" t="inlineStr">
        <is>
          <t>税务</t>
        </is>
      </c>
      <c r="M277" t="inlineStr">
        <is>
          <t>L2-1</t>
        </is>
      </c>
      <c r="N277" t="inlineStr">
        <is>
          <t>T1</t>
        </is>
      </c>
      <c r="Q277" t="inlineStr">
        <is>
          <t>G,U</t>
        </is>
      </c>
      <c r="U277" t="n">
        <v>74975.14999999999</v>
      </c>
      <c r="V277" t="n">
        <v>0.083333</v>
      </c>
      <c r="W277" t="inlineStr">
        <is>
          <t>CNY</t>
        </is>
      </c>
      <c r="X277" t="n">
        <v>1</v>
      </c>
      <c r="Y277" t="n">
        <v>67684.63</v>
      </c>
      <c r="Z277" t="n">
        <v>0</v>
      </c>
      <c r="AA277" t="n">
        <v>74975.14999999999</v>
      </c>
      <c r="AB277" t="n">
        <v>151535</v>
      </c>
      <c r="AC277" t="n">
        <v>0</v>
      </c>
      <c r="AF277" t="n">
        <v>52980</v>
      </c>
      <c r="AG277" t="n">
        <v>226510.15</v>
      </c>
      <c r="AH277" t="n">
        <v>3.346552237930531</v>
      </c>
      <c r="AI277" t="n">
        <v>279490.15</v>
      </c>
      <c r="AJ277" t="n">
        <v>4.129300108458892</v>
      </c>
      <c r="AK277" t="n">
        <v>4.129300108458892</v>
      </c>
      <c r="AQ277" t="n">
        <v>279490.15</v>
      </c>
      <c r="AR277" t="n">
        <v>4.129300108458892</v>
      </c>
      <c r="AS277" t="n">
        <v>2.851212955878603</v>
      </c>
      <c r="BL277" t="n">
        <v>1</v>
      </c>
      <c r="BM277" t="n">
        <v>60590</v>
      </c>
      <c r="BN277" t="n">
        <v>0</v>
      </c>
      <c r="BO277" t="n">
        <v>65850</v>
      </c>
      <c r="BP277" t="inlineStr">
        <is>
          <t>U,U</t>
        </is>
      </c>
      <c r="BQ277" t="inlineStr">
        <is>
          <t>T1</t>
        </is>
      </c>
      <c r="BR277" t="n">
        <v>98025</v>
      </c>
      <c r="BS277" t="n">
        <v>1.6178412279254</v>
      </c>
      <c r="BT277" t="n">
        <v>0</v>
      </c>
      <c r="BU277" t="n">
        <v>98025</v>
      </c>
      <c r="BV277" t="n">
        <v>1.6178412279254</v>
      </c>
      <c r="BY277" t="n">
        <v>98025</v>
      </c>
      <c r="BZ277" t="n">
        <v>1.6178412279254</v>
      </c>
      <c r="CP277" t="inlineStr">
        <is>
          <t>税务部</t>
        </is>
      </c>
      <c r="CQ277" t="inlineStr">
        <is>
          <t>3,1</t>
        </is>
      </c>
      <c r="CR277" t="inlineStr">
        <is>
          <t>L2-1</t>
        </is>
      </c>
      <c r="CS277" t="inlineStr">
        <is>
          <t>T1</t>
        </is>
      </c>
      <c r="CT277" t="inlineStr">
        <is>
          <t>N</t>
        </is>
      </c>
    </row>
    <row r="278">
      <c r="A278" t="inlineStr">
        <is>
          <t>emilyYe(叶嘉)</t>
        </is>
      </c>
      <c r="C278" t="n">
        <v>22487368</v>
      </c>
      <c r="D278" t="inlineStr">
        <is>
          <t>应收账款管理中心</t>
        </is>
      </c>
      <c r="E278" t="inlineStr">
        <is>
          <t>应收管理2组</t>
        </is>
      </c>
      <c r="G278" t="inlineStr">
        <is>
          <t>S2职能系统－财经线/应收账款管理中心/应收管理2组</t>
        </is>
      </c>
      <c r="H278" s="188" t="n">
        <v>45240</v>
      </c>
      <c r="I278" t="inlineStr">
        <is>
          <t>高校招聘</t>
        </is>
      </c>
      <c r="J278" t="inlineStr">
        <is>
          <t>财经类－FN</t>
        </is>
      </c>
      <c r="K278" t="inlineStr">
        <is>
          <t>会计</t>
        </is>
      </c>
      <c r="L278" t="inlineStr">
        <is>
          <t>S7</t>
        </is>
      </c>
      <c r="N278" t="inlineStr">
        <is>
          <t>T1</t>
        </is>
      </c>
      <c r="Q278" t="inlineStr">
        <is>
          <t>O,O</t>
        </is>
      </c>
      <c r="U278" t="n">
        <v>26291.55</v>
      </c>
      <c r="V278" t="n">
        <v>0.083333</v>
      </c>
      <c r="W278" t="inlineStr">
        <is>
          <t>CNY</t>
        </is>
      </c>
      <c r="X278" t="n">
        <v>1</v>
      </c>
      <c r="Y278" t="n">
        <v>25961.41</v>
      </c>
      <c r="Z278" t="n">
        <v>0</v>
      </c>
      <c r="AA278" t="n">
        <v>105166.2</v>
      </c>
      <c r="AB278" t="n">
        <v>62250</v>
      </c>
      <c r="AC278" t="n">
        <v>42580</v>
      </c>
      <c r="AF278" t="n">
        <v>0</v>
      </c>
      <c r="AG278" t="n">
        <v>209996.2</v>
      </c>
      <c r="AH278" t="n">
        <v>8.088782543012879</v>
      </c>
      <c r="AI278" t="n">
        <v>209996.2</v>
      </c>
      <c r="AJ278" t="n">
        <v>8.088782543012879</v>
      </c>
      <c r="AK278" t="n">
        <v>6.448655908904795</v>
      </c>
      <c r="AQ278" t="n">
        <v>209996.2</v>
      </c>
      <c r="AR278" t="n">
        <v>8.088782543012879</v>
      </c>
      <c r="AS278" t="n">
        <v>65.1151007751938</v>
      </c>
      <c r="BL278" t="n">
        <v>0.13972602739726</v>
      </c>
      <c r="BM278" t="n">
        <v>23110</v>
      </c>
      <c r="BN278" t="n">
        <v>0</v>
      </c>
      <c r="BO278" t="n">
        <v>23110</v>
      </c>
      <c r="BP278" t="inlineStr">
        <is>
          <t>N,N</t>
        </is>
      </c>
      <c r="BQ278" t="inlineStr">
        <is>
          <t>T1</t>
        </is>
      </c>
      <c r="BR278" t="n">
        <v>3225</v>
      </c>
      <c r="BS278" t="n">
        <v>0.1395499783643444</v>
      </c>
      <c r="BT278" t="n">
        <v>0</v>
      </c>
      <c r="BU278" t="n">
        <v>3225</v>
      </c>
      <c r="BV278" t="n">
        <v>0.1395499783643444</v>
      </c>
      <c r="BY278" t="n">
        <v>3225</v>
      </c>
      <c r="BZ278" t="n">
        <v>0.1395499783643444</v>
      </c>
      <c r="CP278" t="inlineStr">
        <is>
          <t>应收账款管理中心</t>
        </is>
      </c>
      <c r="CQ278" t="inlineStr">
        <is>
          <t>5,5</t>
        </is>
      </c>
      <c r="CR278" t="n">
        <v>7</v>
      </c>
      <c r="CS278" t="inlineStr">
        <is>
          <t>T1</t>
        </is>
      </c>
      <c r="CT278" t="inlineStr">
        <is>
          <t>N</t>
        </is>
      </c>
    </row>
    <row r="279">
      <c r="A279" t="inlineStr">
        <is>
          <t>jasonDu(杜志)</t>
        </is>
      </c>
      <c r="C279" t="n">
        <v>55203629</v>
      </c>
      <c r="D279" t="inlineStr">
        <is>
          <t>应收账款管理中心</t>
        </is>
      </c>
      <c r="E279" t="inlineStr">
        <is>
          <t>应收管理1组</t>
        </is>
      </c>
      <c r="G279" t="inlineStr">
        <is>
          <t>S2职能系统－财经线/应收账款管理中心/应收管理1组</t>
        </is>
      </c>
      <c r="H279" s="188" t="n">
        <v>36929</v>
      </c>
      <c r="I279" t="inlineStr">
        <is>
          <t>社会招聘</t>
        </is>
      </c>
      <c r="J279" t="inlineStr">
        <is>
          <t>财经类－FN</t>
        </is>
      </c>
      <c r="K279" t="inlineStr">
        <is>
          <t>会计</t>
        </is>
      </c>
      <c r="L279" t="inlineStr">
        <is>
          <t>S8</t>
        </is>
      </c>
      <c r="N279" t="inlineStr">
        <is>
          <t>T1</t>
        </is>
      </c>
      <c r="Q279" t="inlineStr">
        <is>
          <t>U,G</t>
        </is>
      </c>
      <c r="U279" t="n">
        <v>51446</v>
      </c>
      <c r="V279" t="n">
        <v>0.083333</v>
      </c>
      <c r="W279" t="inlineStr">
        <is>
          <t>CNY</t>
        </is>
      </c>
      <c r="X279" t="n">
        <v>1</v>
      </c>
      <c r="Y279" t="n">
        <v>47752.39</v>
      </c>
      <c r="Z279" t="n">
        <v>0</v>
      </c>
      <c r="AA279" t="n">
        <v>51446</v>
      </c>
      <c r="AB279" t="n">
        <v>119340</v>
      </c>
      <c r="AC279" t="n">
        <v>0</v>
      </c>
      <c r="AF279" t="n">
        <v>0</v>
      </c>
      <c r="AG279" t="n">
        <v>170786</v>
      </c>
      <c r="AH279" t="n">
        <v>3.576491145259955</v>
      </c>
      <c r="AI279" t="n">
        <v>170786</v>
      </c>
      <c r="AJ279" t="n">
        <v>3.576491145259955</v>
      </c>
      <c r="AK279" t="n">
        <v>3.576491145259955</v>
      </c>
      <c r="AQ279" t="n">
        <v>170786</v>
      </c>
      <c r="AR279" t="n">
        <v>3.576491145259955</v>
      </c>
      <c r="AS279" t="n">
        <v>0.4267996151491297</v>
      </c>
      <c r="BL279" t="n">
        <v>1</v>
      </c>
      <c r="BM279" t="n">
        <v>45175</v>
      </c>
      <c r="BN279" t="n">
        <v>0</v>
      </c>
      <c r="BO279" t="n">
        <v>49335</v>
      </c>
      <c r="BP279" t="inlineStr">
        <is>
          <t>O,G</t>
        </is>
      </c>
      <c r="BQ279" t="inlineStr">
        <is>
          <t>T1#</t>
        </is>
      </c>
      <c r="BR279" t="n">
        <v>307245</v>
      </c>
      <c r="BS279" t="n">
        <v>6.801217487548422</v>
      </c>
      <c r="BT279" t="n">
        <v>92910</v>
      </c>
      <c r="BU279" t="n">
        <v>400155</v>
      </c>
      <c r="BV279" t="n">
        <v>8.857885998893194</v>
      </c>
      <c r="BY279" t="n">
        <v>400155</v>
      </c>
      <c r="BZ279" t="n">
        <v>8.857885998893194</v>
      </c>
      <c r="CP279" t="inlineStr">
        <is>
          <t>应收账款管理中心</t>
        </is>
      </c>
      <c r="CQ279" t="inlineStr">
        <is>
          <t>3,1</t>
        </is>
      </c>
      <c r="CR279" t="n">
        <v>8</v>
      </c>
      <c r="CS279" t="inlineStr">
        <is>
          <t>T1</t>
        </is>
      </c>
      <c r="CT279" t="inlineStr">
        <is>
          <t>N</t>
        </is>
      </c>
    </row>
    <row r="280">
      <c r="A280" t="inlineStr">
        <is>
          <t>randyRen(任韬文)</t>
        </is>
      </c>
      <c r="C280" t="n">
        <v>6958411</v>
      </c>
      <c r="D280" t="inlineStr">
        <is>
          <t>CFO办公室</t>
        </is>
      </c>
      <c r="E280" t="inlineStr">
        <is>
          <t>CFO办公室</t>
        </is>
      </c>
      <c r="G280" t="inlineStr">
        <is>
          <t>S2职能系统－财经线/CFO办公室</t>
        </is>
      </c>
      <c r="H280" s="188" t="n">
        <v>36410</v>
      </c>
      <c r="I280" t="inlineStr">
        <is>
          <t>社会招聘</t>
        </is>
      </c>
      <c r="J280" t="inlineStr">
        <is>
          <t>财经类－FN</t>
        </is>
      </c>
      <c r="K280" t="inlineStr">
        <is>
          <t>投资者关系</t>
        </is>
      </c>
      <c r="L280" t="inlineStr">
        <is>
          <t>S8</t>
        </is>
      </c>
      <c r="N280" t="inlineStr">
        <is>
          <t>T2</t>
        </is>
      </c>
      <c r="Q280" t="inlineStr">
        <is>
          <t>G,U</t>
        </is>
      </c>
      <c r="U280" t="n">
        <v>39393.9</v>
      </c>
      <c r="V280" t="n">
        <v>0.083333</v>
      </c>
      <c r="W280" t="inlineStr">
        <is>
          <t>CNY</t>
        </is>
      </c>
      <c r="X280" t="n">
        <v>1</v>
      </c>
      <c r="Y280" t="n">
        <v>37656.41</v>
      </c>
      <c r="Z280" t="n">
        <v>0</v>
      </c>
      <c r="AA280" t="n">
        <v>39393.9</v>
      </c>
      <c r="AB280" t="n">
        <v>52260</v>
      </c>
      <c r="AC280" t="n">
        <v>0</v>
      </c>
      <c r="AF280" t="n">
        <v>0</v>
      </c>
      <c r="AG280" t="n">
        <v>91653.89999999999</v>
      </c>
      <c r="AH280" t="n">
        <v>2.433952147854774</v>
      </c>
      <c r="AI280" t="n">
        <v>91653.89999999999</v>
      </c>
      <c r="AJ280" t="n">
        <v>2.433952147854774</v>
      </c>
      <c r="AK280" t="n">
        <v>2.433952147854774</v>
      </c>
      <c r="AQ280" t="n">
        <v>91653.89999999999</v>
      </c>
      <c r="AR280" t="n">
        <v>2.433952147854774</v>
      </c>
      <c r="AS280" t="n">
        <v>0.403042589213078</v>
      </c>
      <c r="BL280" t="n">
        <v>1</v>
      </c>
      <c r="BM280" t="n">
        <v>33250</v>
      </c>
      <c r="BN280" t="n">
        <v>0</v>
      </c>
      <c r="BO280" t="n">
        <v>34980</v>
      </c>
      <c r="BP280" t="inlineStr">
        <is>
          <t>G,G</t>
        </is>
      </c>
      <c r="BQ280" t="inlineStr">
        <is>
          <t>T1#</t>
        </is>
      </c>
      <c r="BR280" t="n">
        <v>184260</v>
      </c>
      <c r="BS280" t="n">
        <v>5.541654135338346</v>
      </c>
      <c r="BT280" t="n">
        <v>43145</v>
      </c>
      <c r="BU280" t="n">
        <v>227405</v>
      </c>
      <c r="BV280" t="n">
        <v>6.839248120300752</v>
      </c>
      <c r="BY280" t="n">
        <v>227405</v>
      </c>
      <c r="BZ280" t="n">
        <v>6.839248120300752</v>
      </c>
      <c r="CP280" t="inlineStr">
        <is>
          <t>CFO办公室</t>
        </is>
      </c>
      <c r="CQ280" t="inlineStr">
        <is>
          <t>3,1</t>
        </is>
      </c>
      <c r="CR280" t="n">
        <v>8</v>
      </c>
      <c r="CS280" t="inlineStr">
        <is>
          <t>T2</t>
        </is>
      </c>
      <c r="CT280" t="inlineStr">
        <is>
          <t>N</t>
        </is>
      </c>
    </row>
    <row r="281">
      <c r="A281" t="inlineStr">
        <is>
          <t>hazelYin(尹荷)</t>
        </is>
      </c>
      <c r="C281" t="n">
        <v>1881330</v>
      </c>
      <c r="D281" t="inlineStr">
        <is>
          <t>预算及职能系统财务管理部</t>
        </is>
      </c>
      <c r="E281" t="inlineStr">
        <is>
          <t>预算管理中心</t>
        </is>
      </c>
      <c r="G281" t="inlineStr">
        <is>
          <t>S2职能系统－财经线/预算及职能系统财务管理部/预算管理中心</t>
        </is>
      </c>
      <c r="H281" s="188" t="n">
        <v>38353</v>
      </c>
      <c r="I281" t="inlineStr">
        <is>
          <t>社会招聘</t>
        </is>
      </c>
      <c r="J281" t="inlineStr">
        <is>
          <t>财经类－FN</t>
        </is>
      </c>
      <c r="K281" t="inlineStr">
        <is>
          <t>预算管理</t>
        </is>
      </c>
      <c r="L281" t="inlineStr">
        <is>
          <t>S8</t>
        </is>
      </c>
      <c r="N281" t="inlineStr">
        <is>
          <t>Others</t>
        </is>
      </c>
      <c r="Q281" t="inlineStr">
        <is>
          <t>G,G</t>
        </is>
      </c>
      <c r="U281" t="n">
        <v>33411.95</v>
      </c>
      <c r="V281" t="n">
        <v>0.083333</v>
      </c>
      <c r="W281" t="inlineStr">
        <is>
          <t>CNY</t>
        </is>
      </c>
      <c r="X281" t="n">
        <v>1</v>
      </c>
      <c r="Y281" t="n">
        <v>33063.62</v>
      </c>
      <c r="Z281" t="n">
        <v>0</v>
      </c>
      <c r="AA281" t="n">
        <v>66823.89999999999</v>
      </c>
      <c r="AB281" t="n">
        <v>30145</v>
      </c>
      <c r="AC281" t="n">
        <v>0</v>
      </c>
      <c r="AF281" t="n">
        <v>0</v>
      </c>
      <c r="AG281" t="n">
        <v>96968.89999999999</v>
      </c>
      <c r="AH281" t="n">
        <v>2.932797437183224</v>
      </c>
      <c r="AI281" t="n">
        <v>96968.89999999999</v>
      </c>
      <c r="AJ281" t="n">
        <v>2.932797437183224</v>
      </c>
      <c r="AK281" t="n">
        <v>2.932797437183224</v>
      </c>
      <c r="AQ281" t="n">
        <v>96968.89999999999</v>
      </c>
      <c r="AR281" t="n">
        <v>2.932797437183224</v>
      </c>
      <c r="AS281" t="n">
        <v>0.9272222222222222</v>
      </c>
      <c r="BL281" t="n">
        <v>1</v>
      </c>
      <c r="BM281" t="n">
        <v>29975</v>
      </c>
      <c r="BN281" t="n">
        <v>0</v>
      </c>
      <c r="BO281" t="n">
        <v>30870</v>
      </c>
      <c r="BP281" t="inlineStr">
        <is>
          <t>G,G</t>
        </is>
      </c>
      <c r="BQ281" t="inlineStr">
        <is>
          <t>Others</t>
        </is>
      </c>
      <c r="BR281" t="n">
        <v>104580</v>
      </c>
      <c r="BS281" t="n">
        <v>3.488907422852377</v>
      </c>
      <c r="BT281" t="n">
        <v>0</v>
      </c>
      <c r="BU281" t="n">
        <v>104580</v>
      </c>
      <c r="BV281" t="n">
        <v>3.488907422852377</v>
      </c>
      <c r="BY281" t="n">
        <v>104580</v>
      </c>
      <c r="BZ281" t="n">
        <v>3.488907422852377</v>
      </c>
      <c r="CP281" t="inlineStr">
        <is>
          <t>预算及职能系统财务管理部</t>
        </is>
      </c>
      <c r="CQ281" t="inlineStr">
        <is>
          <t>3,3</t>
        </is>
      </c>
      <c r="CR281" t="n">
        <v>8</v>
      </c>
      <c r="CS281" t="inlineStr">
        <is>
          <t>Others</t>
        </is>
      </c>
      <c r="CT281" t="inlineStr">
        <is>
          <t>N</t>
        </is>
      </c>
    </row>
    <row r="282">
      <c r="A282" t="inlineStr">
        <is>
          <t>ashleyZheng(郑曦青)</t>
        </is>
      </c>
      <c r="C282" t="n">
        <v>94006156</v>
      </c>
      <c r="D282" t="inlineStr">
        <is>
          <t>税务部</t>
        </is>
      </c>
      <c r="E282" t="inlineStr">
        <is>
          <t>国内主体税务中心</t>
        </is>
      </c>
      <c r="G282" t="inlineStr">
        <is>
          <t>S2职能系统－财经线/税务部/国内主体税务中心</t>
        </is>
      </c>
      <c r="H282" s="188" t="n">
        <v>36647</v>
      </c>
      <c r="I282" t="inlineStr">
        <is>
          <t>高校招聘</t>
        </is>
      </c>
      <c r="J282" t="inlineStr">
        <is>
          <t>财经类－FN</t>
        </is>
      </c>
      <c r="K282" t="inlineStr">
        <is>
          <t>税务</t>
        </is>
      </c>
      <c r="L282" t="inlineStr">
        <is>
          <t>S10</t>
        </is>
      </c>
      <c r="N282" t="inlineStr">
        <is>
          <t>T1</t>
        </is>
      </c>
      <c r="Q282" t="inlineStr">
        <is>
          <t>G,G</t>
        </is>
      </c>
      <c r="U282" t="n">
        <v>45956.5</v>
      </c>
      <c r="V282" t="n">
        <v>0.083333</v>
      </c>
      <c r="W282" t="inlineStr">
        <is>
          <t>CNY</t>
        </is>
      </c>
      <c r="X282" t="n">
        <v>1</v>
      </c>
      <c r="Y282" t="n">
        <v>44786.15</v>
      </c>
      <c r="Z282" t="n">
        <v>0</v>
      </c>
      <c r="AA282" t="n">
        <v>91913</v>
      </c>
      <c r="AB282" t="n">
        <v>93910</v>
      </c>
      <c r="AC282" t="n">
        <v>63060</v>
      </c>
      <c r="AF282" t="n">
        <v>0</v>
      </c>
      <c r="AG282" t="n">
        <v>248883</v>
      </c>
      <c r="AH282" t="n">
        <v>5.557142107548874</v>
      </c>
      <c r="AI282" t="n">
        <v>248883</v>
      </c>
      <c r="AJ282" t="n">
        <v>5.557142107548874</v>
      </c>
      <c r="AK282" t="n">
        <v>4.149117528521653</v>
      </c>
      <c r="AQ282" t="n">
        <v>248883</v>
      </c>
      <c r="AR282" t="n">
        <v>5.557142107548874</v>
      </c>
      <c r="AS282" t="n">
        <v>1.086042807584055</v>
      </c>
      <c r="BL282" t="n">
        <v>1</v>
      </c>
      <c r="BM282" t="n">
        <v>38100</v>
      </c>
      <c r="BN282" t="n">
        <v>0</v>
      </c>
      <c r="BO282" t="n">
        <v>38165</v>
      </c>
      <c r="BP282" t="inlineStr">
        <is>
          <t>G,O</t>
        </is>
      </c>
      <c r="BQ282" t="inlineStr">
        <is>
          <t>T1</t>
        </is>
      </c>
      <c r="BR282" t="n">
        <v>166690</v>
      </c>
      <c r="BS282" t="n">
        <v>4.3750656167979</v>
      </c>
      <c r="BT282" t="n">
        <v>62475</v>
      </c>
      <c r="BU282" t="n">
        <v>229165</v>
      </c>
      <c r="BV282" t="n">
        <v>6.014829396325459</v>
      </c>
      <c r="BY282" t="n">
        <v>229165</v>
      </c>
      <c r="BZ282" t="n">
        <v>6.014829396325459</v>
      </c>
      <c r="CP282" t="inlineStr">
        <is>
          <t>税务部</t>
        </is>
      </c>
      <c r="CQ282" t="inlineStr">
        <is>
          <t>3,3</t>
        </is>
      </c>
      <c r="CR282" t="n">
        <v>10</v>
      </c>
      <c r="CS282" t="inlineStr">
        <is>
          <t>T1</t>
        </is>
      </c>
      <c r="CT282" t="inlineStr">
        <is>
          <t>N</t>
        </is>
      </c>
    </row>
    <row r="283">
      <c r="A283" t="inlineStr">
        <is>
          <t>lindaMa(马佳)</t>
        </is>
      </c>
      <c r="C283" t="n">
        <v>70983968</v>
      </c>
      <c r="D283" t="inlineStr">
        <is>
          <t>WXG财务管理</t>
        </is>
      </c>
      <c r="E283" t="inlineStr">
        <is>
          <t>微信支付财务管理中心</t>
        </is>
      </c>
      <c r="G283" t="inlineStr">
        <is>
          <t>S2职能系统－财经线/WXG财务管理/微信支付财务管理中心</t>
        </is>
      </c>
      <c r="H283" s="188" t="n">
        <v>42348</v>
      </c>
      <c r="I283" t="inlineStr">
        <is>
          <t>社会招聘</t>
        </is>
      </c>
      <c r="J283" t="inlineStr">
        <is>
          <t>财经类－FN</t>
        </is>
      </c>
      <c r="K283" t="inlineStr">
        <is>
          <t>财务管理</t>
        </is>
      </c>
      <c r="L283" t="inlineStr">
        <is>
          <t>S9</t>
        </is>
      </c>
      <c r="N283" t="inlineStr">
        <is>
          <t>T2</t>
        </is>
      </c>
      <c r="Q283" t="inlineStr">
        <is>
          <t>U,G</t>
        </is>
      </c>
      <c r="U283" t="n">
        <v>43339.2</v>
      </c>
      <c r="V283" t="n">
        <v>0.083333</v>
      </c>
      <c r="W283" t="inlineStr">
        <is>
          <t>CNY</t>
        </is>
      </c>
      <c r="X283" t="n">
        <v>1</v>
      </c>
      <c r="Y283" t="n">
        <v>40021.51</v>
      </c>
      <c r="Z283" t="n">
        <v>0</v>
      </c>
      <c r="AA283" t="n">
        <v>43339.2</v>
      </c>
      <c r="AB283" t="n">
        <v>49585</v>
      </c>
      <c r="AC283" t="n">
        <v>0</v>
      </c>
      <c r="AF283" t="n">
        <v>0</v>
      </c>
      <c r="AG283" t="n">
        <v>92924.2</v>
      </c>
      <c r="AH283" t="n">
        <v>2.321856421709226</v>
      </c>
      <c r="AI283" t="n">
        <v>92924.2</v>
      </c>
      <c r="AJ283" t="n">
        <v>2.321856421709226</v>
      </c>
      <c r="AK283" t="n">
        <v>2.321856421709226</v>
      </c>
      <c r="AQ283" t="n">
        <v>92924.2</v>
      </c>
      <c r="AR283" t="n">
        <v>2.321856421709226</v>
      </c>
      <c r="AS283" t="n">
        <v>1.067419447475734</v>
      </c>
      <c r="BL283" t="n">
        <v>1</v>
      </c>
      <c r="BM283" t="n">
        <v>37335</v>
      </c>
      <c r="BN283" t="n">
        <v>0</v>
      </c>
      <c r="BO283" t="n">
        <v>39020</v>
      </c>
      <c r="BP283" t="inlineStr">
        <is>
          <t>G,U</t>
        </is>
      </c>
      <c r="BQ283" t="inlineStr">
        <is>
          <t>T2</t>
        </is>
      </c>
      <c r="BR283" t="n">
        <v>87055</v>
      </c>
      <c r="BS283" t="n">
        <v>2.331726262220437</v>
      </c>
      <c r="BT283" t="n">
        <v>0</v>
      </c>
      <c r="BU283" t="n">
        <v>87055</v>
      </c>
      <c r="BV283" t="n">
        <v>2.331726262220437</v>
      </c>
      <c r="BY283" t="n">
        <v>87055</v>
      </c>
      <c r="BZ283" t="n">
        <v>2.331726262220437</v>
      </c>
      <c r="CP283" t="inlineStr">
        <is>
          <t>WXG财务管理</t>
        </is>
      </c>
      <c r="CQ283" t="inlineStr">
        <is>
          <t>3,1</t>
        </is>
      </c>
      <c r="CR283" t="n">
        <v>9</v>
      </c>
      <c r="CS283" t="inlineStr">
        <is>
          <t>T2</t>
        </is>
      </c>
      <c r="CT283" t="inlineStr">
        <is>
          <t>N</t>
        </is>
      </c>
    </row>
    <row r="284">
      <c r="A284" t="inlineStr">
        <is>
          <t>elizabethYuan(袁婷曼)</t>
        </is>
      </c>
      <c r="C284" t="n">
        <v>26841732</v>
      </c>
      <c r="D284" t="inlineStr">
        <is>
          <t>审计监察</t>
        </is>
      </c>
      <c r="E284" t="inlineStr">
        <is>
          <t>常规审计组</t>
        </is>
      </c>
      <c r="G284" t="inlineStr">
        <is>
          <t>S2职能系统－财经线/审计监察/常规审计组</t>
        </is>
      </c>
      <c r="H284" s="188" t="n">
        <v>38686</v>
      </c>
      <c r="I284" t="inlineStr">
        <is>
          <t>社会招聘</t>
        </is>
      </c>
      <c r="J284" t="inlineStr">
        <is>
          <t>财经类－FN</t>
        </is>
      </c>
      <c r="K284" t="inlineStr">
        <is>
          <t>风险管理</t>
        </is>
      </c>
      <c r="L284" t="inlineStr">
        <is>
          <t>S9</t>
        </is>
      </c>
      <c r="N284" t="inlineStr">
        <is>
          <t>T2</t>
        </is>
      </c>
      <c r="Q284" t="inlineStr">
        <is>
          <t>U,G</t>
        </is>
      </c>
      <c r="U284" t="n">
        <v>47041.35</v>
      </c>
      <c r="V284" t="n">
        <v>0.083333</v>
      </c>
      <c r="W284" t="inlineStr">
        <is>
          <t>CNY</t>
        </is>
      </c>
      <c r="X284" t="n">
        <v>1</v>
      </c>
      <c r="Y284" t="n">
        <v>45755.27</v>
      </c>
      <c r="Z284" t="n">
        <v>0</v>
      </c>
      <c r="AA284" t="n">
        <v>47041.35</v>
      </c>
      <c r="AB284" t="n">
        <v>57925</v>
      </c>
      <c r="AC284" t="n">
        <v>0</v>
      </c>
      <c r="AF284" t="n">
        <v>0</v>
      </c>
      <c r="AG284" t="n">
        <v>104966.35</v>
      </c>
      <c r="AH284" t="n">
        <v>2.294082189876707</v>
      </c>
      <c r="AI284" t="n">
        <v>104966.35</v>
      </c>
      <c r="AJ284" t="n">
        <v>2.294082189876707</v>
      </c>
      <c r="AK284" t="n">
        <v>2.294082189876707</v>
      </c>
      <c r="AQ284" t="n">
        <v>104966.35</v>
      </c>
      <c r="AR284" t="n">
        <v>2.294082189876707</v>
      </c>
      <c r="AS284" t="n">
        <v>0.5855699980474743</v>
      </c>
      <c r="BL284" t="n">
        <v>1</v>
      </c>
      <c r="BM284" t="n">
        <v>37905</v>
      </c>
      <c r="BN284" t="n">
        <v>0</v>
      </c>
      <c r="BO284" t="n">
        <v>40645</v>
      </c>
      <c r="BP284" t="inlineStr">
        <is>
          <t>G,G</t>
        </is>
      </c>
      <c r="BQ284" t="inlineStr">
        <is>
          <t>T1</t>
        </is>
      </c>
      <c r="BR284" t="n">
        <v>134480</v>
      </c>
      <c r="BS284" t="n">
        <v>3.547816910697797</v>
      </c>
      <c r="BT284" t="n">
        <v>44775</v>
      </c>
      <c r="BU284" t="n">
        <v>179255</v>
      </c>
      <c r="BV284" t="n">
        <v>4.729059490832344</v>
      </c>
      <c r="BY284" t="n">
        <v>179255</v>
      </c>
      <c r="BZ284" t="n">
        <v>4.729059490832344</v>
      </c>
      <c r="CP284" t="inlineStr">
        <is>
          <t>审计监察</t>
        </is>
      </c>
      <c r="CQ284" t="inlineStr">
        <is>
          <t>3,1</t>
        </is>
      </c>
      <c r="CR284" t="n">
        <v>9</v>
      </c>
      <c r="CS284" t="inlineStr">
        <is>
          <t>T2</t>
        </is>
      </c>
      <c r="CT284" t="inlineStr">
        <is>
          <t>N</t>
        </is>
      </c>
    </row>
    <row r="285">
      <c r="A285" t="inlineStr">
        <is>
          <t>dianeShao(邵琳苑)</t>
        </is>
      </c>
      <c r="C285" t="n">
        <v>95874312</v>
      </c>
      <c r="D285" t="inlineStr">
        <is>
          <t>CSIG财务管理</t>
        </is>
      </c>
      <c r="E285" t="inlineStr">
        <is>
          <t>应收账款管理中心</t>
        </is>
      </c>
      <c r="G285" t="inlineStr">
        <is>
          <t>S2职能系统－财经线/CSIG财务管理/应收账款管理中心</t>
        </is>
      </c>
      <c r="H285" s="188" t="n">
        <v>41568</v>
      </c>
      <c r="I285" t="inlineStr">
        <is>
          <t>社会招聘</t>
        </is>
      </c>
      <c r="J285" t="inlineStr">
        <is>
          <t>财经类－FN</t>
        </is>
      </c>
      <c r="K285" t="inlineStr">
        <is>
          <t>财务管理</t>
        </is>
      </c>
      <c r="L285" t="inlineStr">
        <is>
          <t>S9</t>
        </is>
      </c>
      <c r="N285" t="inlineStr">
        <is>
          <t>T1#</t>
        </is>
      </c>
      <c r="Q285" t="inlineStr">
        <is>
          <t>O,G</t>
        </is>
      </c>
      <c r="U285" t="n">
        <v>34497.9</v>
      </c>
      <c r="V285" t="n">
        <v>0.083333</v>
      </c>
      <c r="W285" t="inlineStr">
        <is>
          <t>CNY</t>
        </is>
      </c>
      <c r="X285" t="n">
        <v>1</v>
      </c>
      <c r="Y285" t="n">
        <v>33492.77</v>
      </c>
      <c r="Z285" t="n">
        <v>0</v>
      </c>
      <c r="AA285" t="n">
        <v>103493.7</v>
      </c>
      <c r="AB285" t="n">
        <v>117675</v>
      </c>
      <c r="AC285" t="n">
        <v>39650</v>
      </c>
      <c r="AF285" t="n">
        <v>0</v>
      </c>
      <c r="AG285" t="n">
        <v>260818.7</v>
      </c>
      <c r="AH285" t="n">
        <v>7.787313500794352</v>
      </c>
      <c r="AI285" t="n">
        <v>260818.7</v>
      </c>
      <c r="AJ285" t="n">
        <v>7.787313500794352</v>
      </c>
      <c r="AK285" t="n">
        <v>6.603475914354054</v>
      </c>
      <c r="AQ285" t="n">
        <v>260818.7</v>
      </c>
      <c r="AR285" t="n">
        <v>7.787313500794352</v>
      </c>
      <c r="AS285" t="n">
        <v>1.257806230709877</v>
      </c>
      <c r="BL285" t="n">
        <v>1</v>
      </c>
      <c r="BM285" t="n">
        <v>29005</v>
      </c>
      <c r="BN285" t="n">
        <v>0</v>
      </c>
      <c r="BO285" t="n">
        <v>31565</v>
      </c>
      <c r="BP285" t="inlineStr">
        <is>
          <t>G,G</t>
        </is>
      </c>
      <c r="BQ285" t="inlineStr">
        <is>
          <t>T1#</t>
        </is>
      </c>
      <c r="BR285" t="n">
        <v>166435</v>
      </c>
      <c r="BS285" t="n">
        <v>5.738148595069815</v>
      </c>
      <c r="BT285" t="n">
        <v>40925</v>
      </c>
      <c r="BU285" t="n">
        <v>207360</v>
      </c>
      <c r="BV285" t="n">
        <v>7.149112222030684</v>
      </c>
      <c r="BY285" t="n">
        <v>207360</v>
      </c>
      <c r="BZ285" t="n">
        <v>7.149112222030684</v>
      </c>
      <c r="CP285" t="inlineStr">
        <is>
          <t>CSIG财务管理</t>
        </is>
      </c>
      <c r="CQ285" t="inlineStr">
        <is>
          <t>5,3</t>
        </is>
      </c>
      <c r="CR285" t="n">
        <v>9</v>
      </c>
      <c r="CS285" t="inlineStr">
        <is>
          <t>T1#</t>
        </is>
      </c>
      <c r="CT285" t="inlineStr">
        <is>
          <t>N</t>
        </is>
      </c>
    </row>
    <row r="286">
      <c r="A286" t="inlineStr">
        <is>
          <t>stephenShi(施睿)</t>
        </is>
      </c>
      <c r="C286" t="n">
        <v>45093635</v>
      </c>
      <c r="D286" t="inlineStr">
        <is>
          <t>可持续社会价值事业部财务管理</t>
        </is>
      </c>
      <c r="E286" t="inlineStr">
        <is>
          <t>可持续社会价值事业部财务管理</t>
        </is>
      </c>
      <c r="G286" t="inlineStr">
        <is>
          <t>S2职能系统－财经线/可持续社会价值事业部财务管理</t>
        </is>
      </c>
      <c r="H286" s="188" t="n">
        <v>44270</v>
      </c>
      <c r="I286" t="inlineStr">
        <is>
          <t>高校招聘</t>
        </is>
      </c>
      <c r="J286" t="inlineStr">
        <is>
          <t>财经类－FN</t>
        </is>
      </c>
      <c r="K286" t="inlineStr">
        <is>
          <t>财务管理</t>
        </is>
      </c>
      <c r="L286" t="inlineStr">
        <is>
          <t>S7</t>
        </is>
      </c>
      <c r="N286" t="inlineStr">
        <is>
          <t>T1</t>
        </is>
      </c>
      <c r="Q286" t="inlineStr">
        <is>
          <t>G,U</t>
        </is>
      </c>
      <c r="U286" t="n">
        <v>26026.8</v>
      </c>
      <c r="V286" t="n">
        <v>0.083333</v>
      </c>
      <c r="W286" t="inlineStr">
        <is>
          <t>CNY</t>
        </is>
      </c>
      <c r="X286" t="n">
        <v>1</v>
      </c>
      <c r="Y286" t="n">
        <v>24337.25</v>
      </c>
      <c r="Z286" t="n">
        <v>0</v>
      </c>
      <c r="AA286" t="n">
        <v>26026.8</v>
      </c>
      <c r="AB286" t="n">
        <v>63595</v>
      </c>
      <c r="AC286" t="n">
        <v>0</v>
      </c>
      <c r="AF286" t="n">
        <v>0</v>
      </c>
      <c r="AG286" t="n">
        <v>89621.8</v>
      </c>
      <c r="AH286" t="n">
        <v>3.682494940882803</v>
      </c>
      <c r="AI286" t="n">
        <v>89621.8</v>
      </c>
      <c r="AJ286" t="n">
        <v>3.682494940882803</v>
      </c>
      <c r="AK286" t="n">
        <v>3.682494940882803</v>
      </c>
      <c r="AQ286" t="n">
        <v>89621.8</v>
      </c>
      <c r="AR286" t="n">
        <v>3.682494940882803</v>
      </c>
      <c r="AS286" t="n">
        <v>0.9030814187827489</v>
      </c>
      <c r="BL286" t="n">
        <v>1</v>
      </c>
      <c r="BM286" t="n">
        <v>22665</v>
      </c>
      <c r="BN286" t="n">
        <v>0</v>
      </c>
      <c r="BO286" t="n">
        <v>22770</v>
      </c>
      <c r="BP286" t="inlineStr">
        <is>
          <t>G,U</t>
        </is>
      </c>
      <c r="BQ286" t="inlineStr">
        <is>
          <t>T1#</t>
        </is>
      </c>
      <c r="BR286" t="n">
        <v>99240</v>
      </c>
      <c r="BS286" t="n">
        <v>4.378557246856387</v>
      </c>
      <c r="BT286" t="n">
        <v>0</v>
      </c>
      <c r="BU286" t="n">
        <v>99240</v>
      </c>
      <c r="BV286" t="n">
        <v>4.378557246856387</v>
      </c>
      <c r="BY286" t="n">
        <v>99240</v>
      </c>
      <c r="BZ286" t="n">
        <v>4.378557246856387</v>
      </c>
      <c r="CP286" t="inlineStr">
        <is>
          <t>可持续社会价值事业部财务管理</t>
        </is>
      </c>
      <c r="CQ286" t="inlineStr">
        <is>
          <t>3,1</t>
        </is>
      </c>
      <c r="CR286" t="n">
        <v>7</v>
      </c>
      <c r="CS286" t="inlineStr">
        <is>
          <t>T1</t>
        </is>
      </c>
      <c r="CT286" t="inlineStr">
        <is>
          <t>N</t>
        </is>
      </c>
    </row>
    <row r="287">
      <c r="A287" t="inlineStr">
        <is>
          <t>benjaminYin(尹嘉文)</t>
        </is>
      </c>
      <c r="C287" t="n">
        <v>47060207</v>
      </c>
      <c r="D287" t="inlineStr">
        <is>
          <t>财会及报告管理部</t>
        </is>
      </c>
      <c r="E287" t="inlineStr">
        <is>
          <t>应收管理中心</t>
        </is>
      </c>
      <c r="G287" t="inlineStr">
        <is>
          <t>S2职能系统－财经线/财会及报告管理部/应收管理中心</t>
        </is>
      </c>
      <c r="H287" s="188" t="n">
        <v>38430</v>
      </c>
      <c r="I287" t="inlineStr">
        <is>
          <t>高校招聘</t>
        </is>
      </c>
      <c r="J287" t="inlineStr">
        <is>
          <t>财经类－FN</t>
        </is>
      </c>
      <c r="K287" t="inlineStr">
        <is>
          <t>会计</t>
        </is>
      </c>
      <c r="L287" t="inlineStr">
        <is>
          <t>S10</t>
        </is>
      </c>
      <c r="N287" t="inlineStr">
        <is>
          <t>T1</t>
        </is>
      </c>
      <c r="Q287" t="inlineStr">
        <is>
          <t>G,O</t>
        </is>
      </c>
      <c r="U287" t="n">
        <v>47788.75</v>
      </c>
      <c r="V287" t="n">
        <v>0.083333</v>
      </c>
      <c r="W287" t="inlineStr">
        <is>
          <t>CNY</t>
        </is>
      </c>
      <c r="X287" t="n">
        <v>1</v>
      </c>
      <c r="Y287" t="n">
        <v>43836.14</v>
      </c>
      <c r="Z287" t="n">
        <v>0</v>
      </c>
      <c r="AA287" t="n">
        <v>143366.25</v>
      </c>
      <c r="AB287" t="n">
        <v>97555</v>
      </c>
      <c r="AC287" t="n">
        <v>93595</v>
      </c>
      <c r="AF287" t="n">
        <v>0</v>
      </c>
      <c r="AG287" t="n">
        <v>334516.25</v>
      </c>
      <c r="AH287" t="n">
        <v>7.631060809642455</v>
      </c>
      <c r="AI287" t="n">
        <v>334516.25</v>
      </c>
      <c r="AJ287" t="n">
        <v>7.631060809642455</v>
      </c>
      <c r="AK287" t="n">
        <v>5.495950373367728</v>
      </c>
      <c r="AQ287" t="n">
        <v>334516.25</v>
      </c>
      <c r="AR287" t="n">
        <v>7.631060809642455</v>
      </c>
      <c r="AS287" t="n">
        <v>1.654383036597428</v>
      </c>
      <c r="BL287" t="n">
        <v>1</v>
      </c>
      <c r="BM287" t="n">
        <v>41920</v>
      </c>
      <c r="BN287" t="n">
        <v>0</v>
      </c>
      <c r="BO287" t="n">
        <v>45045</v>
      </c>
      <c r="BP287" t="inlineStr">
        <is>
          <t>G,G</t>
        </is>
      </c>
      <c r="BQ287" t="inlineStr">
        <is>
          <t>T1</t>
        </is>
      </c>
      <c r="BR287" t="n">
        <v>138775</v>
      </c>
      <c r="BS287" t="n">
        <v>3.310472328244275</v>
      </c>
      <c r="BT287" t="n">
        <v>63425</v>
      </c>
      <c r="BU287" t="n">
        <v>202200</v>
      </c>
      <c r="BV287" t="n">
        <v>4.823473282442748</v>
      </c>
      <c r="BY287" t="n">
        <v>202200</v>
      </c>
      <c r="BZ287" t="n">
        <v>4.823473282442748</v>
      </c>
      <c r="CP287" t="inlineStr">
        <is>
          <t>财会及报告管理部</t>
        </is>
      </c>
      <c r="CQ287" t="inlineStr">
        <is>
          <t>5,3</t>
        </is>
      </c>
      <c r="CR287" t="n">
        <v>10</v>
      </c>
      <c r="CS287" t="inlineStr">
        <is>
          <t>T1</t>
        </is>
      </c>
      <c r="CT287" t="inlineStr">
        <is>
          <t>N</t>
        </is>
      </c>
    </row>
    <row r="288">
      <c r="A288" t="inlineStr">
        <is>
          <t>deborahTang(唐媛)</t>
        </is>
      </c>
      <c r="C288" t="n">
        <v>887088</v>
      </c>
      <c r="D288" t="inlineStr">
        <is>
          <t>资金管理</t>
        </is>
      </c>
      <c r="E288" t="inlineStr">
        <is>
          <t>融资及资金筹划中心</t>
        </is>
      </c>
      <c r="G288" t="inlineStr">
        <is>
          <t>S2职能系统－财经线/资金管理/融资及资金筹划中心</t>
        </is>
      </c>
      <c r="H288" s="188" t="n">
        <v>38942</v>
      </c>
      <c r="I288" t="inlineStr">
        <is>
          <t>社会招聘</t>
        </is>
      </c>
      <c r="J288" t="inlineStr">
        <is>
          <t>财经类－FN</t>
        </is>
      </c>
      <c r="K288" t="inlineStr">
        <is>
          <t>资金管理</t>
        </is>
      </c>
      <c r="L288" t="inlineStr">
        <is>
          <t>S8</t>
        </is>
      </c>
      <c r="N288" t="inlineStr">
        <is>
          <t>T2</t>
        </is>
      </c>
      <c r="Q288" t="inlineStr">
        <is>
          <t>G,G</t>
        </is>
      </c>
      <c r="U288" t="n">
        <v>50595.35</v>
      </c>
      <c r="V288" t="n">
        <v>0.083333</v>
      </c>
      <c r="W288" t="inlineStr">
        <is>
          <t>CNY</t>
        </is>
      </c>
      <c r="X288" t="n">
        <v>1</v>
      </c>
      <c r="Y288" t="n">
        <v>47200.3</v>
      </c>
      <c r="Z288" t="n">
        <v>0</v>
      </c>
      <c r="AA288" t="n">
        <v>101190.7</v>
      </c>
      <c r="AB288" t="n">
        <v>70245</v>
      </c>
      <c r="AC288" t="n">
        <v>0</v>
      </c>
      <c r="AF288" t="n">
        <v>0</v>
      </c>
      <c r="AG288" t="n">
        <v>171435.7</v>
      </c>
      <c r="AH288" t="n">
        <v>3.632089202822864</v>
      </c>
      <c r="AI288" t="n">
        <v>171435.7</v>
      </c>
      <c r="AJ288" t="n">
        <v>3.632089202822864</v>
      </c>
      <c r="AK288" t="n">
        <v>3.632089202822864</v>
      </c>
      <c r="AQ288" t="n">
        <v>171435.7</v>
      </c>
      <c r="AR288" t="n">
        <v>3.632089202822864</v>
      </c>
      <c r="AS288" t="n">
        <v>1.839932385296485</v>
      </c>
      <c r="BL288" t="n">
        <v>1</v>
      </c>
      <c r="BM288" t="n">
        <v>41810</v>
      </c>
      <c r="BN288" t="n">
        <v>0</v>
      </c>
      <c r="BO288" t="n">
        <v>43730</v>
      </c>
      <c r="BP288" t="inlineStr">
        <is>
          <t>G,U</t>
        </is>
      </c>
      <c r="BQ288" t="inlineStr">
        <is>
          <t>T2</t>
        </is>
      </c>
      <c r="BR288" t="n">
        <v>93175</v>
      </c>
      <c r="BS288" t="n">
        <v>2.228533843578091</v>
      </c>
      <c r="BT288" t="n">
        <v>0</v>
      </c>
      <c r="BU288" t="n">
        <v>93175</v>
      </c>
      <c r="BV288" t="n">
        <v>2.228533843578091</v>
      </c>
      <c r="BY288" t="n">
        <v>93175</v>
      </c>
      <c r="BZ288" t="n">
        <v>2.228533843578091</v>
      </c>
      <c r="CP288" t="inlineStr">
        <is>
          <t>资金管理</t>
        </is>
      </c>
      <c r="CQ288" t="inlineStr">
        <is>
          <t>3,3</t>
        </is>
      </c>
      <c r="CR288" t="n">
        <v>8</v>
      </c>
      <c r="CS288" t="inlineStr">
        <is>
          <t>T2</t>
        </is>
      </c>
      <c r="CT288" t="inlineStr">
        <is>
          <t>N</t>
        </is>
      </c>
    </row>
    <row r="289">
      <c r="A289" t="inlineStr">
        <is>
          <t>sandraFu(傅梅君)</t>
        </is>
      </c>
      <c r="C289" t="n">
        <v>69264987</v>
      </c>
      <c r="D289" t="inlineStr">
        <is>
          <t>财经IT管理部</t>
        </is>
      </c>
      <c r="E289" t="inlineStr">
        <is>
          <t>平台建设中心</t>
        </is>
      </c>
      <c r="G289" t="inlineStr">
        <is>
          <t>S2职能系统－财经线/财经IT管理部/平台建设中心</t>
        </is>
      </c>
      <c r="H289" s="188" t="n">
        <v>37007</v>
      </c>
      <c r="I289" t="inlineStr">
        <is>
          <t>社会招聘</t>
        </is>
      </c>
      <c r="J289" t="inlineStr">
        <is>
          <t>技术研发类－TRD</t>
        </is>
      </c>
      <c r="K289" t="inlineStr">
        <is>
          <t>应用开发</t>
        </is>
      </c>
      <c r="L289" t="inlineStr">
        <is>
          <t>T5</t>
        </is>
      </c>
      <c r="N289" t="inlineStr">
        <is>
          <t>Others</t>
        </is>
      </c>
      <c r="Q289" t="inlineStr">
        <is>
          <t>O,G</t>
        </is>
      </c>
      <c r="U289" t="n">
        <v>19337.55</v>
      </c>
      <c r="V289" t="n">
        <v>0.083333</v>
      </c>
      <c r="W289" t="inlineStr">
        <is>
          <t>CNY</t>
        </is>
      </c>
      <c r="X289" t="n">
        <v>1</v>
      </c>
      <c r="Y289" t="n">
        <v>17751.23</v>
      </c>
      <c r="Z289" t="n">
        <v>0</v>
      </c>
      <c r="AA289" t="n">
        <v>58012.65</v>
      </c>
      <c r="AB289" t="n">
        <v>11695</v>
      </c>
      <c r="AC289" t="n">
        <v>0</v>
      </c>
      <c r="AF289" t="n">
        <v>0</v>
      </c>
      <c r="AG289" t="n">
        <v>69707.64999999999</v>
      </c>
      <c r="AH289" t="n">
        <v>3.926919430371867</v>
      </c>
      <c r="AI289" t="n">
        <v>69707.64999999999</v>
      </c>
      <c r="AJ289" t="n">
        <v>3.926919430371867</v>
      </c>
      <c r="AK289" t="n">
        <v>3.926919430371867</v>
      </c>
      <c r="AQ289" t="n">
        <v>69707.64999999999</v>
      </c>
      <c r="AR289" t="n">
        <v>3.926919430371867</v>
      </c>
      <c r="AS289" t="n">
        <v>1.361211677406756</v>
      </c>
      <c r="BL289" t="n">
        <v>1</v>
      </c>
      <c r="BM289" t="n">
        <v>15995</v>
      </c>
      <c r="BN289" t="n">
        <v>0</v>
      </c>
      <c r="BO289" t="n">
        <v>16775</v>
      </c>
      <c r="BP289" t="inlineStr">
        <is>
          <t>G,G</t>
        </is>
      </c>
      <c r="BQ289" t="inlineStr">
        <is>
          <t>Others</t>
        </is>
      </c>
      <c r="BR289" t="n">
        <v>51210</v>
      </c>
      <c r="BS289" t="n">
        <v>3.201625507971241</v>
      </c>
      <c r="BT289" t="n">
        <v>0</v>
      </c>
      <c r="BU289" t="n">
        <v>51210</v>
      </c>
      <c r="BV289" t="n">
        <v>3.201625507971241</v>
      </c>
      <c r="BY289" t="n">
        <v>51210</v>
      </c>
      <c r="BZ289" t="n">
        <v>3.201625507971241</v>
      </c>
      <c r="CP289" t="inlineStr">
        <is>
          <t>财经IT管理部</t>
        </is>
      </c>
      <c r="CQ289" t="inlineStr">
        <is>
          <t>5,3</t>
        </is>
      </c>
      <c r="CR289" t="n">
        <v>5</v>
      </c>
      <c r="CS289" t="inlineStr">
        <is>
          <t>Others</t>
        </is>
      </c>
      <c r="CT289" t="inlineStr">
        <is>
          <t>N</t>
        </is>
      </c>
    </row>
    <row r="290">
      <c r="A290" t="inlineStr">
        <is>
          <t>lawrenceXu(许川)</t>
        </is>
      </c>
      <c r="C290" t="n">
        <v>45179636</v>
      </c>
      <c r="D290" t="inlineStr">
        <is>
          <t>CSIG财务管理</t>
        </is>
      </c>
      <c r="E290" t="inlineStr">
        <is>
          <t>投资公司财务管理中心</t>
        </is>
      </c>
      <c r="G290" t="inlineStr">
        <is>
          <t>S2职能系统－财经线/CSIG财务管理/投资公司财务管理中心</t>
        </is>
      </c>
      <c r="H290" s="188" t="n">
        <v>37599</v>
      </c>
      <c r="I290" t="inlineStr">
        <is>
          <t>社会招聘</t>
        </is>
      </c>
      <c r="J290" t="inlineStr">
        <is>
          <t>财经类－FN</t>
        </is>
      </c>
      <c r="K290" t="inlineStr">
        <is>
          <t>财务管理</t>
        </is>
      </c>
      <c r="L290" t="inlineStr">
        <is>
          <t>S11</t>
        </is>
      </c>
      <c r="N290" t="inlineStr">
        <is>
          <t>T2</t>
        </is>
      </c>
      <c r="Q290" t="inlineStr">
        <is>
          <t>G,G</t>
        </is>
      </c>
      <c r="U290" t="n">
        <v>53390.35</v>
      </c>
      <c r="V290" t="n">
        <v>0.083333</v>
      </c>
      <c r="W290" t="inlineStr">
        <is>
          <t>CNY</t>
        </is>
      </c>
      <c r="X290" t="n">
        <v>1</v>
      </c>
      <c r="Y290" t="n">
        <v>49424.47</v>
      </c>
      <c r="Z290" t="n">
        <v>0</v>
      </c>
      <c r="AA290" t="n">
        <v>106780.7</v>
      </c>
      <c r="AB290" t="n">
        <v>59405</v>
      </c>
      <c r="AC290" t="n">
        <v>0</v>
      </c>
      <c r="AF290" t="n">
        <v>0</v>
      </c>
      <c r="AG290" t="n">
        <v>166185.7</v>
      </c>
      <c r="AH290" t="n">
        <v>3.362417442210306</v>
      </c>
      <c r="AI290" t="n">
        <v>166185.7</v>
      </c>
      <c r="AJ290" t="n">
        <v>3.362417442210306</v>
      </c>
      <c r="AK290" t="n">
        <v>3.362417442210306</v>
      </c>
      <c r="AQ290" t="n">
        <v>166185.7</v>
      </c>
      <c r="AR290" t="n">
        <v>3.362417442210306</v>
      </c>
      <c r="AS290" t="n">
        <v>0.9895245467266069</v>
      </c>
      <c r="BL290" t="n">
        <v>1</v>
      </c>
      <c r="BM290" t="n">
        <v>46290</v>
      </c>
      <c r="BN290" t="n">
        <v>0</v>
      </c>
      <c r="BO290" t="n">
        <v>50770</v>
      </c>
      <c r="BP290" t="inlineStr">
        <is>
          <t>G,G</t>
        </is>
      </c>
      <c r="BQ290" t="inlineStr">
        <is>
          <t>T2</t>
        </is>
      </c>
      <c r="BR290" t="n">
        <v>167945</v>
      </c>
      <c r="BS290" t="n">
        <v>3.628105422337438</v>
      </c>
      <c r="BT290" t="n">
        <v>0</v>
      </c>
      <c r="BU290" t="n">
        <v>167945</v>
      </c>
      <c r="BV290" t="n">
        <v>3.628105422337438</v>
      </c>
      <c r="BY290" t="n">
        <v>167945</v>
      </c>
      <c r="BZ290" t="n">
        <v>3.628105422337438</v>
      </c>
      <c r="CP290" t="inlineStr">
        <is>
          <t>CSIG财务管理</t>
        </is>
      </c>
      <c r="CQ290" t="inlineStr">
        <is>
          <t>3,3</t>
        </is>
      </c>
      <c r="CR290" t="n">
        <v>11</v>
      </c>
      <c r="CS290" t="inlineStr">
        <is>
          <t>T2</t>
        </is>
      </c>
      <c r="CT290" t="inlineStr">
        <is>
          <t>N</t>
        </is>
      </c>
    </row>
    <row r="291">
      <c r="A291" t="inlineStr">
        <is>
          <t>frankXiong(熊毅)</t>
        </is>
      </c>
      <c r="C291" t="n">
        <v>29017267</v>
      </c>
      <c r="D291" t="inlineStr">
        <is>
          <t>在线视频财务管理中心</t>
        </is>
      </c>
      <c r="E291" t="inlineStr">
        <is>
          <t>OVB长视频财务管理组</t>
        </is>
      </c>
      <c r="G291" t="inlineStr">
        <is>
          <t>S2职能系统－财经线/在线视频财务管理中心/OVB长视频财务管理组</t>
        </is>
      </c>
      <c r="H291" s="188" t="n">
        <v>44961</v>
      </c>
      <c r="I291" t="inlineStr">
        <is>
          <t>社会招聘</t>
        </is>
      </c>
      <c r="J291" t="inlineStr">
        <is>
          <t>财经类－FN</t>
        </is>
      </c>
      <c r="K291" t="inlineStr">
        <is>
          <t>财务管理</t>
        </is>
      </c>
      <c r="L291" t="inlineStr">
        <is>
          <t>S5</t>
        </is>
      </c>
      <c r="N291" t="inlineStr">
        <is>
          <t>T1#</t>
        </is>
      </c>
      <c r="Q291" t="inlineStr">
        <is>
          <t>O,G</t>
        </is>
      </c>
      <c r="U291" t="n">
        <v>29100.8</v>
      </c>
      <c r="V291" t="n">
        <v>0.083333</v>
      </c>
      <c r="W291" t="inlineStr">
        <is>
          <t>CNY</t>
        </is>
      </c>
      <c r="X291" t="n">
        <v>1</v>
      </c>
      <c r="Y291" t="n">
        <v>27375.44</v>
      </c>
      <c r="Z291" t="n">
        <v>0</v>
      </c>
      <c r="AA291" t="n">
        <v>87302.39999999999</v>
      </c>
      <c r="AB291" t="n">
        <v>99480</v>
      </c>
      <c r="AC291" t="n">
        <v>31155</v>
      </c>
      <c r="AF291" t="n">
        <v>0</v>
      </c>
      <c r="AG291" t="n">
        <v>217937.4</v>
      </c>
      <c r="AH291" t="n">
        <v>7.961055603124553</v>
      </c>
      <c r="AI291" t="n">
        <v>217937.4</v>
      </c>
      <c r="AJ291" t="n">
        <v>7.961055603124553</v>
      </c>
      <c r="AK291" t="n">
        <v>6.822991703512345</v>
      </c>
      <c r="AQ291" t="n">
        <v>217937.4</v>
      </c>
      <c r="AR291" t="n">
        <v>7.961055603124553</v>
      </c>
      <c r="AS291" t="n">
        <v>9.397904269081501</v>
      </c>
      <c r="BL291" t="n">
        <v>0.904109589041095</v>
      </c>
      <c r="BM291" t="n">
        <v>24130</v>
      </c>
      <c r="BN291" t="n">
        <v>0</v>
      </c>
      <c r="BO291" t="n">
        <v>25655</v>
      </c>
      <c r="BP291" t="inlineStr">
        <is>
          <t>O,G</t>
        </is>
      </c>
      <c r="BQ291" t="inlineStr">
        <is>
          <t>T1#</t>
        </is>
      </c>
      <c r="BR291" t="n">
        <v>23190</v>
      </c>
      <c r="BS291" t="n">
        <v>0.9610443431413178</v>
      </c>
      <c r="BT291" t="n">
        <v>0</v>
      </c>
      <c r="BU291" t="n">
        <v>23190</v>
      </c>
      <c r="BV291" t="n">
        <v>0.9610443431413178</v>
      </c>
      <c r="BY291" t="n">
        <v>23190</v>
      </c>
      <c r="BZ291" t="n">
        <v>0.9610443431413178</v>
      </c>
      <c r="CP291" t="inlineStr">
        <is>
          <t>在线视频财务管理中心</t>
        </is>
      </c>
      <c r="CQ291" t="inlineStr">
        <is>
          <t>5,3</t>
        </is>
      </c>
      <c r="CR291" t="n">
        <v>5</v>
      </c>
      <c r="CS291" t="inlineStr">
        <is>
          <t>T1#</t>
        </is>
      </c>
      <c r="CT291" t="inlineStr">
        <is>
          <t>N</t>
        </is>
      </c>
    </row>
    <row r="292">
      <c r="A292" t="inlineStr">
        <is>
          <t>melissaYao(姚姗)</t>
        </is>
      </c>
      <c r="C292" t="n">
        <v>28406854</v>
      </c>
      <c r="D292" t="inlineStr">
        <is>
          <t>CFO办公室</t>
        </is>
      </c>
      <c r="E292" t="inlineStr">
        <is>
          <t>ESG协同办公室</t>
        </is>
      </c>
      <c r="G292" t="inlineStr">
        <is>
          <t>S2职能系统－财经线/CFO办公室/ESG协同办公室</t>
        </is>
      </c>
      <c r="H292" s="188" t="n">
        <v>41786</v>
      </c>
      <c r="I292" t="inlineStr">
        <is>
          <t>高校招聘</t>
        </is>
      </c>
      <c r="J292" t="inlineStr">
        <is>
          <t>财经类－FN</t>
        </is>
      </c>
      <c r="K292" t="inlineStr">
        <is>
          <t>投资者关系</t>
        </is>
      </c>
      <c r="L292" t="inlineStr">
        <is>
          <t>S8</t>
        </is>
      </c>
      <c r="N292" t="inlineStr">
        <is>
          <t>T2</t>
        </is>
      </c>
      <c r="Q292" t="inlineStr">
        <is>
          <t>O,G</t>
        </is>
      </c>
      <c r="U292" t="n">
        <v>29372.9</v>
      </c>
      <c r="V292" t="n">
        <v>0.083333</v>
      </c>
      <c r="W292" t="inlineStr">
        <is>
          <t>CNY</t>
        </is>
      </c>
      <c r="X292" t="n">
        <v>1</v>
      </c>
      <c r="Y292" t="n">
        <v>27108.49</v>
      </c>
      <c r="Z292" t="n">
        <v>0</v>
      </c>
      <c r="AA292" t="n">
        <v>88118.7</v>
      </c>
      <c r="AB292" t="n">
        <v>37645</v>
      </c>
      <c r="AC292" t="n">
        <v>0</v>
      </c>
      <c r="AF292" t="n">
        <v>0</v>
      </c>
      <c r="AG292" t="n">
        <v>125763.7</v>
      </c>
      <c r="AH292" t="n">
        <v>4.639273526485614</v>
      </c>
      <c r="AI292" t="n">
        <v>125763.7</v>
      </c>
      <c r="AJ292" t="n">
        <v>4.639273526485614</v>
      </c>
      <c r="AK292" t="n">
        <v>4.639273526485614</v>
      </c>
      <c r="AQ292" t="n">
        <v>125763.7</v>
      </c>
      <c r="AR292" t="n">
        <v>4.639273526485614</v>
      </c>
      <c r="AS292" t="n">
        <v>1.456272579898101</v>
      </c>
      <c r="BL292" t="n">
        <v>1</v>
      </c>
      <c r="BM292" t="n">
        <v>23665</v>
      </c>
      <c r="BN292" t="n">
        <v>0</v>
      </c>
      <c r="BO292" t="n">
        <v>24880</v>
      </c>
      <c r="BP292" t="inlineStr">
        <is>
          <t>G,G</t>
        </is>
      </c>
      <c r="BQ292" t="inlineStr">
        <is>
          <t>T2</t>
        </is>
      </c>
      <c r="BR292" t="n">
        <v>86360</v>
      </c>
      <c r="BS292" t="n">
        <v>3.649271075427847</v>
      </c>
      <c r="BT292" t="n">
        <v>0</v>
      </c>
      <c r="BU292" t="n">
        <v>86360</v>
      </c>
      <c r="BV292" t="n">
        <v>3.649271075427847</v>
      </c>
      <c r="BY292" t="n">
        <v>86360</v>
      </c>
      <c r="BZ292" t="n">
        <v>3.649271075427847</v>
      </c>
      <c r="CP292" t="inlineStr">
        <is>
          <t>CFO办公室</t>
        </is>
      </c>
      <c r="CQ292" t="inlineStr">
        <is>
          <t>5,3</t>
        </is>
      </c>
      <c r="CR292" t="n">
        <v>8</v>
      </c>
      <c r="CS292" t="inlineStr">
        <is>
          <t>T2</t>
        </is>
      </c>
      <c r="CT292" t="inlineStr">
        <is>
          <t>N</t>
        </is>
      </c>
    </row>
    <row r="293">
      <c r="A293" t="inlineStr">
        <is>
          <t>gregoryTang(唐锐)</t>
        </is>
      </c>
      <c r="C293" t="n">
        <v>20244423</v>
      </c>
      <c r="D293" t="inlineStr">
        <is>
          <t>风险管理和内部控制</t>
        </is>
      </c>
      <c r="E293" t="inlineStr">
        <is>
          <t>PCG风控中心</t>
        </is>
      </c>
      <c r="G293" t="inlineStr">
        <is>
          <t>S2职能系统－财经线/风险管理和内部控制/PCG风控中心</t>
        </is>
      </c>
      <c r="H293" s="188" t="n">
        <v>37275</v>
      </c>
      <c r="I293" t="inlineStr">
        <is>
          <t>社会招聘</t>
        </is>
      </c>
      <c r="J293" t="inlineStr">
        <is>
          <t>财经类－FN</t>
        </is>
      </c>
      <c r="K293" t="inlineStr">
        <is>
          <t>风险管理</t>
        </is>
      </c>
      <c r="L293" t="inlineStr">
        <is>
          <t>S11</t>
        </is>
      </c>
      <c r="N293" t="inlineStr">
        <is>
          <t>T1</t>
        </is>
      </c>
      <c r="Q293" t="inlineStr">
        <is>
          <t>G,G</t>
        </is>
      </c>
      <c r="U293" t="n">
        <v>63536.05</v>
      </c>
      <c r="V293" t="n">
        <v>0.083333</v>
      </c>
      <c r="W293" t="inlineStr">
        <is>
          <t>CNY</t>
        </is>
      </c>
      <c r="X293" t="n">
        <v>1</v>
      </c>
      <c r="Y293" t="n">
        <v>59398.19</v>
      </c>
      <c r="Z293" t="n">
        <v>0</v>
      </c>
      <c r="AA293" t="n">
        <v>127072.1</v>
      </c>
      <c r="AB293" t="n">
        <v>150220</v>
      </c>
      <c r="AC293" t="n">
        <v>73635</v>
      </c>
      <c r="AF293" t="n">
        <v>0</v>
      </c>
      <c r="AG293" t="n">
        <v>350927.1</v>
      </c>
      <c r="AH293" t="n">
        <v>5.908043662609921</v>
      </c>
      <c r="AI293" t="n">
        <v>350927.1</v>
      </c>
      <c r="AJ293" t="n">
        <v>5.908043662609921</v>
      </c>
      <c r="AK293" t="n">
        <v>4.668359423073329</v>
      </c>
      <c r="AQ293" t="n">
        <v>350927.1</v>
      </c>
      <c r="AR293" t="n">
        <v>5.908043662609921</v>
      </c>
      <c r="AS293" t="n">
        <v>0.8820033930254476</v>
      </c>
      <c r="BL293" t="n">
        <v>1</v>
      </c>
      <c r="BM293" t="n">
        <v>54260</v>
      </c>
      <c r="BN293" t="n">
        <v>0</v>
      </c>
      <c r="BO293" t="n">
        <v>56735</v>
      </c>
      <c r="BP293" t="inlineStr">
        <is>
          <t>O,O</t>
        </is>
      </c>
      <c r="BQ293" t="inlineStr">
        <is>
          <t>T1</t>
        </is>
      </c>
      <c r="BR293" t="n">
        <v>309085</v>
      </c>
      <c r="BS293" t="n">
        <v>5.696369332841872</v>
      </c>
      <c r="BT293" t="n">
        <v>88790</v>
      </c>
      <c r="BU293" t="n">
        <v>397875</v>
      </c>
      <c r="BV293" t="n">
        <v>7.332749723553262</v>
      </c>
      <c r="BY293" t="n">
        <v>397875</v>
      </c>
      <c r="BZ293" t="n">
        <v>7.332749723553262</v>
      </c>
      <c r="CP293" t="inlineStr">
        <is>
          <t>风险管理和内部控制</t>
        </is>
      </c>
      <c r="CQ293" t="inlineStr">
        <is>
          <t>3,3</t>
        </is>
      </c>
      <c r="CR293" t="n">
        <v>11</v>
      </c>
      <c r="CS293" t="inlineStr">
        <is>
          <t>T1</t>
        </is>
      </c>
      <c r="CT293" t="inlineStr">
        <is>
          <t>N</t>
        </is>
      </c>
    </row>
    <row r="294">
      <c r="A294" t="inlineStr">
        <is>
          <t>christianLu(陆宇)</t>
        </is>
      </c>
      <c r="C294" t="n">
        <v>96248420</v>
      </c>
      <c r="D294" t="inlineStr">
        <is>
          <t>IEG财务管理</t>
        </is>
      </c>
      <c r="E294" t="inlineStr">
        <is>
          <t>发行线财务管理组</t>
        </is>
      </c>
      <c r="G294" t="inlineStr">
        <is>
          <t>S2职能系统－财经线/IEG财务管理/发行线财务管理组</t>
        </is>
      </c>
      <c r="H294" s="188" t="n">
        <v>43578</v>
      </c>
      <c r="I294" t="inlineStr">
        <is>
          <t>社会招聘</t>
        </is>
      </c>
      <c r="J294" t="inlineStr">
        <is>
          <t>财经类－FN</t>
        </is>
      </c>
      <c r="K294" t="inlineStr">
        <is>
          <t>财务管理</t>
        </is>
      </c>
      <c r="L294" t="inlineStr">
        <is>
          <t>S7</t>
        </is>
      </c>
      <c r="N294" t="inlineStr">
        <is>
          <t>T1</t>
        </is>
      </c>
      <c r="Q294" t="inlineStr">
        <is>
          <t>U,U</t>
        </is>
      </c>
      <c r="U294" t="n">
        <v>34189.3</v>
      </c>
      <c r="V294" t="n">
        <v>0.083333</v>
      </c>
      <c r="W294" t="inlineStr">
        <is>
          <t>CNY</t>
        </is>
      </c>
      <c r="X294" t="n">
        <v>1</v>
      </c>
      <c r="Y294" t="n">
        <v>30774.16</v>
      </c>
      <c r="Z294" t="n">
        <v>0</v>
      </c>
      <c r="AA294" t="n">
        <v>0</v>
      </c>
      <c r="AB294" t="n">
        <v>69585</v>
      </c>
      <c r="AC294" t="n">
        <v>0</v>
      </c>
      <c r="AF294" t="n">
        <v>0</v>
      </c>
      <c r="AG294" t="n">
        <v>69585</v>
      </c>
      <c r="AH294" t="n">
        <v>2.261150263727751</v>
      </c>
      <c r="AI294" t="n">
        <v>69585</v>
      </c>
      <c r="AJ294" t="n">
        <v>2.261150263727751</v>
      </c>
      <c r="AK294" t="n">
        <v>2.261150263727751</v>
      </c>
      <c r="AQ294" t="n">
        <v>69585</v>
      </c>
      <c r="AR294" t="n">
        <v>2.261150263727751</v>
      </c>
      <c r="AS294" t="n">
        <v>0.3796960685346356</v>
      </c>
      <c r="BL294" t="n">
        <v>1</v>
      </c>
      <c r="BM294" t="n">
        <v>30425</v>
      </c>
      <c r="BN294" t="n">
        <v>0</v>
      </c>
      <c r="BO294" t="n">
        <v>32120</v>
      </c>
      <c r="BP294" t="inlineStr">
        <is>
          <t>G,O</t>
        </is>
      </c>
      <c r="BQ294" t="inlineStr">
        <is>
          <t>T1</t>
        </is>
      </c>
      <c r="BR294" t="n">
        <v>143960</v>
      </c>
      <c r="BS294" t="n">
        <v>4.731635168447001</v>
      </c>
      <c r="BT294" t="n">
        <v>39305</v>
      </c>
      <c r="BU294" t="n">
        <v>183265</v>
      </c>
      <c r="BV294" t="n">
        <v>6.023500410846344</v>
      </c>
      <c r="BY294" t="n">
        <v>183265</v>
      </c>
      <c r="BZ294" t="n">
        <v>6.023500410846344</v>
      </c>
      <c r="CP294" t="inlineStr">
        <is>
          <t>IEG财务管理</t>
        </is>
      </c>
      <c r="CQ294" t="inlineStr">
        <is>
          <t>1,1</t>
        </is>
      </c>
      <c r="CR294" t="n">
        <v>7</v>
      </c>
      <c r="CS294" t="inlineStr">
        <is>
          <t>T1</t>
        </is>
      </c>
      <c r="CT294" t="inlineStr">
        <is>
          <t>N</t>
        </is>
      </c>
    </row>
    <row r="295">
      <c r="A295" t="inlineStr">
        <is>
          <t>charlotteWu(武晴嘉)</t>
        </is>
      </c>
      <c r="C295" t="n">
        <v>96019574</v>
      </c>
      <c r="D295" t="inlineStr">
        <is>
          <t>财经IT管理部</t>
        </is>
      </c>
      <c r="E295" t="inlineStr">
        <is>
          <t>国际业务支持中心</t>
        </is>
      </c>
      <c r="G295" t="inlineStr">
        <is>
          <t>S2职能系统－财经线/财经IT管理部/国际业务支持中心</t>
        </is>
      </c>
      <c r="H295" s="188" t="n">
        <v>39279</v>
      </c>
      <c r="I295" t="inlineStr">
        <is>
          <t>社会招聘</t>
        </is>
      </c>
      <c r="J295" t="inlineStr">
        <is>
          <t>技术研发类－TRD</t>
        </is>
      </c>
      <c r="K295" t="inlineStr">
        <is>
          <t>应用开发</t>
        </is>
      </c>
      <c r="L295" t="inlineStr">
        <is>
          <t>T13</t>
        </is>
      </c>
      <c r="N295" t="inlineStr">
        <is>
          <t>T1</t>
        </is>
      </c>
      <c r="Q295" t="inlineStr">
        <is>
          <t>G,G</t>
        </is>
      </c>
      <c r="U295" t="n">
        <v>52378.25</v>
      </c>
      <c r="V295" t="n">
        <v>0.083333</v>
      </c>
      <c r="W295" t="inlineStr">
        <is>
          <t>CNY</t>
        </is>
      </c>
      <c r="X295" t="n">
        <v>1</v>
      </c>
      <c r="Y295" t="n">
        <v>49818.7</v>
      </c>
      <c r="Z295" t="n">
        <v>0</v>
      </c>
      <c r="AA295" t="n">
        <v>104756.5</v>
      </c>
      <c r="AB295" t="n">
        <v>106440</v>
      </c>
      <c r="AC295" t="n">
        <v>98330</v>
      </c>
      <c r="AF295" t="n">
        <v>0</v>
      </c>
      <c r="AG295" t="n">
        <v>309526.5</v>
      </c>
      <c r="AH295" t="n">
        <v>6.2130585503034</v>
      </c>
      <c r="AI295" t="n">
        <v>309526.5</v>
      </c>
      <c r="AJ295" t="n">
        <v>6.2130585503034</v>
      </c>
      <c r="AK295" t="n">
        <v>4.239301707993183</v>
      </c>
      <c r="AQ295" t="n">
        <v>309526.5</v>
      </c>
      <c r="AR295" t="n">
        <v>6.2130585503034</v>
      </c>
      <c r="AS295" t="n">
        <v>1.528337242315764</v>
      </c>
      <c r="BL295" t="n">
        <v>1</v>
      </c>
      <c r="BM295" t="n">
        <v>42955</v>
      </c>
      <c r="BN295" t="n">
        <v>0</v>
      </c>
      <c r="BO295" t="n">
        <v>47075</v>
      </c>
      <c r="BP295" t="inlineStr">
        <is>
          <t>G,G</t>
        </is>
      </c>
      <c r="BQ295" t="inlineStr">
        <is>
          <t>T1</t>
        </is>
      </c>
      <c r="BR295" t="n">
        <v>153815</v>
      </c>
      <c r="BS295" t="n">
        <v>3.580840414387149</v>
      </c>
      <c r="BT295" t="n">
        <v>48710</v>
      </c>
      <c r="BU295" t="n">
        <v>202525</v>
      </c>
      <c r="BV295" t="n">
        <v>4.714817832615528</v>
      </c>
      <c r="BY295" t="n">
        <v>202525</v>
      </c>
      <c r="BZ295" t="n">
        <v>4.714817832615528</v>
      </c>
      <c r="CP295" t="inlineStr">
        <is>
          <t>财经IT管理部</t>
        </is>
      </c>
      <c r="CQ295" t="inlineStr">
        <is>
          <t>3,3</t>
        </is>
      </c>
      <c r="CR295" t="n">
        <v>13</v>
      </c>
      <c r="CS295" t="inlineStr">
        <is>
          <t>T1</t>
        </is>
      </c>
      <c r="CT295" t="inlineStr">
        <is>
          <t>N</t>
        </is>
      </c>
    </row>
    <row r="296">
      <c r="A296" t="inlineStr">
        <is>
          <t>rubyRen(任英)</t>
        </is>
      </c>
      <c r="C296" t="n">
        <v>57271922</v>
      </c>
      <c r="D296" t="inlineStr">
        <is>
          <t>风险管理和内部控制</t>
        </is>
      </c>
      <c r="E296" t="inlineStr">
        <is>
          <t>SSV风控组</t>
        </is>
      </c>
      <c r="G296" t="inlineStr">
        <is>
          <t>S2职能系统－财经线/风险管理和内部控制/SSV风控组</t>
        </is>
      </c>
      <c r="H296" s="188" t="n">
        <v>42827</v>
      </c>
      <c r="I296" t="inlineStr">
        <is>
          <t>社会招聘</t>
        </is>
      </c>
      <c r="J296" t="inlineStr">
        <is>
          <t>财经类－FN</t>
        </is>
      </c>
      <c r="K296" t="inlineStr">
        <is>
          <t>风险管理</t>
        </is>
      </c>
      <c r="L296" t="inlineStr">
        <is>
          <t>S6</t>
        </is>
      </c>
      <c r="N296" t="inlineStr">
        <is>
          <t>T1</t>
        </is>
      </c>
      <c r="Q296" t="inlineStr">
        <is>
          <t>G,G</t>
        </is>
      </c>
      <c r="U296" t="n">
        <v>38356.6</v>
      </c>
      <c r="V296" t="n">
        <v>0.083333</v>
      </c>
      <c r="W296" t="inlineStr">
        <is>
          <t>CNY</t>
        </is>
      </c>
      <c r="X296" t="n">
        <v>1</v>
      </c>
      <c r="Y296" t="n">
        <v>35988.01</v>
      </c>
      <c r="Z296" t="n">
        <v>0</v>
      </c>
      <c r="AA296" t="n">
        <v>76713.2</v>
      </c>
      <c r="AB296" t="n">
        <v>88390</v>
      </c>
      <c r="AC296" t="n">
        <v>52590</v>
      </c>
      <c r="AF296" t="n">
        <v>0</v>
      </c>
      <c r="AG296" t="n">
        <v>217693.2</v>
      </c>
      <c r="AH296" t="n">
        <v>6.049048002376347</v>
      </c>
      <c r="AI296" t="n">
        <v>217693.2</v>
      </c>
      <c r="AJ296" t="n">
        <v>6.049048002376347</v>
      </c>
      <c r="AK296" t="n">
        <v>4.587727968287216</v>
      </c>
      <c r="AQ296" t="n">
        <v>217693.2</v>
      </c>
      <c r="AR296" t="n">
        <v>6.049048002376347</v>
      </c>
      <c r="AS296" t="n">
        <v>1.984984043038206</v>
      </c>
      <c r="BL296" t="n">
        <v>1</v>
      </c>
      <c r="BM296" t="n">
        <v>31075</v>
      </c>
      <c r="BN296" t="n">
        <v>0</v>
      </c>
      <c r="BO296" t="n">
        <v>33950</v>
      </c>
      <c r="BP296" t="inlineStr">
        <is>
          <t>G,G</t>
        </is>
      </c>
      <c r="BQ296" t="inlineStr">
        <is>
          <t>T2</t>
        </is>
      </c>
      <c r="BR296" t="n">
        <v>109670</v>
      </c>
      <c r="BS296" t="n">
        <v>3.529203539823009</v>
      </c>
      <c r="BT296" t="n">
        <v>0</v>
      </c>
      <c r="BU296" t="n">
        <v>109670</v>
      </c>
      <c r="BV296" t="n">
        <v>3.529203539823009</v>
      </c>
      <c r="BY296" t="n">
        <v>109670</v>
      </c>
      <c r="BZ296" t="n">
        <v>3.529203539823009</v>
      </c>
      <c r="CP296" t="inlineStr">
        <is>
          <t>风险管理和内部控制</t>
        </is>
      </c>
      <c r="CQ296" t="inlineStr">
        <is>
          <t>3,3</t>
        </is>
      </c>
      <c r="CR296" t="n">
        <v>6</v>
      </c>
      <c r="CS296" t="inlineStr">
        <is>
          <t>T1</t>
        </is>
      </c>
      <c r="CT296" t="inlineStr">
        <is>
          <t>N</t>
        </is>
      </c>
    </row>
    <row r="297">
      <c r="A297" t="inlineStr">
        <is>
          <t>evanJiang(蒋文睿)</t>
        </is>
      </c>
      <c r="C297" t="n">
        <v>27427496</v>
      </c>
      <c r="D297" t="inlineStr">
        <is>
          <t>FiT财务管理</t>
        </is>
      </c>
      <c r="E297" t="inlineStr">
        <is>
          <t>财经金融专项中心</t>
        </is>
      </c>
      <c r="G297" t="inlineStr">
        <is>
          <t>S2职能系统－财经线/FiT财务管理/财经金融专项中心</t>
        </is>
      </c>
      <c r="H297" s="188" t="n">
        <v>38283</v>
      </c>
      <c r="I297" t="inlineStr">
        <is>
          <t>社会招聘</t>
        </is>
      </c>
      <c r="J297" t="inlineStr">
        <is>
          <t>财经类－FN</t>
        </is>
      </c>
      <c r="K297" t="inlineStr">
        <is>
          <t>财务管理</t>
        </is>
      </c>
      <c r="L297" t="inlineStr">
        <is>
          <t>S6</t>
        </is>
      </c>
      <c r="N297" t="inlineStr">
        <is>
          <t>T1#</t>
        </is>
      </c>
      <c r="Q297" t="inlineStr">
        <is>
          <t>G,G</t>
        </is>
      </c>
      <c r="U297" t="n">
        <v>28519.3</v>
      </c>
      <c r="V297" t="n">
        <v>0.083333</v>
      </c>
      <c r="W297" t="inlineStr">
        <is>
          <t>CNY</t>
        </is>
      </c>
      <c r="X297" t="n">
        <v>1</v>
      </c>
      <c r="Y297" t="n">
        <v>27367.99</v>
      </c>
      <c r="Z297" t="n">
        <v>0</v>
      </c>
      <c r="AA297" t="n">
        <v>57038.6</v>
      </c>
      <c r="AB297" t="n">
        <v>93895</v>
      </c>
      <c r="AC297" t="n">
        <v>36170</v>
      </c>
      <c r="AF297" t="n">
        <v>0</v>
      </c>
      <c r="AG297" t="n">
        <v>187103.6</v>
      </c>
      <c r="AH297" t="n">
        <v>6.836585368527246</v>
      </c>
      <c r="AI297" t="n">
        <v>187103.6</v>
      </c>
      <c r="AJ297" t="n">
        <v>6.836585368527246</v>
      </c>
      <c r="AK297" t="n">
        <v>5.514968399213826</v>
      </c>
      <c r="AQ297" t="n">
        <v>187103.6</v>
      </c>
      <c r="AR297" t="n">
        <v>6.836585368527246</v>
      </c>
      <c r="AS297" t="n">
        <v>1.099671456698698</v>
      </c>
      <c r="BL297" t="n">
        <v>1</v>
      </c>
      <c r="BM297" t="n">
        <v>23805</v>
      </c>
      <c r="BN297" t="n">
        <v>0</v>
      </c>
      <c r="BO297" t="n">
        <v>24945</v>
      </c>
      <c r="BP297" t="inlineStr">
        <is>
          <t>G,G</t>
        </is>
      </c>
      <c r="BQ297" t="inlineStr">
        <is>
          <t>T1#</t>
        </is>
      </c>
      <c r="BR297" t="n">
        <v>132540</v>
      </c>
      <c r="BS297" t="n">
        <v>5.567737870195337</v>
      </c>
      <c r="BT297" t="n">
        <v>37605</v>
      </c>
      <c r="BU297" t="n">
        <v>170145</v>
      </c>
      <c r="BV297" t="n">
        <v>7.147448015122873</v>
      </c>
      <c r="BY297" t="n">
        <v>170145</v>
      </c>
      <c r="BZ297" t="n">
        <v>7.147448015122873</v>
      </c>
      <c r="CP297" t="inlineStr">
        <is>
          <t>FiT财务管理</t>
        </is>
      </c>
      <c r="CQ297" t="inlineStr">
        <is>
          <t>3,3</t>
        </is>
      </c>
      <c r="CR297" t="n">
        <v>6</v>
      </c>
      <c r="CS297" t="inlineStr">
        <is>
          <t>T1#</t>
        </is>
      </c>
      <c r="CT297" t="inlineStr">
        <is>
          <t>N</t>
        </is>
      </c>
    </row>
    <row r="298">
      <c r="A298" t="inlineStr">
        <is>
          <t>genesisWu(吴静)</t>
        </is>
      </c>
      <c r="C298" t="n">
        <v>57867815</v>
      </c>
      <c r="D298" t="inlineStr">
        <is>
          <t>税务部</t>
        </is>
      </c>
      <c r="E298" t="inlineStr">
        <is>
          <t>印章及文档管理组</t>
        </is>
      </c>
      <c r="G298" t="inlineStr">
        <is>
          <t>S2职能系统－财经线/税务部/印章及文档管理组</t>
        </is>
      </c>
      <c r="H298" s="188" t="n">
        <v>36847</v>
      </c>
      <c r="I298" t="inlineStr">
        <is>
          <t>社会招聘</t>
        </is>
      </c>
      <c r="J298" t="inlineStr">
        <is>
          <t>财经类－FN</t>
        </is>
      </c>
      <c r="K298" t="inlineStr">
        <is>
          <t>税务</t>
        </is>
      </c>
      <c r="L298" t="inlineStr">
        <is>
          <t>S7</t>
        </is>
      </c>
      <c r="N298" t="inlineStr">
        <is>
          <t>T1#</t>
        </is>
      </c>
      <c r="Q298" t="inlineStr">
        <is>
          <t>O,G</t>
        </is>
      </c>
      <c r="U298" t="n">
        <v>25101.8</v>
      </c>
      <c r="V298" t="n">
        <v>0.083333</v>
      </c>
      <c r="W298" t="inlineStr">
        <is>
          <t>CNY</t>
        </is>
      </c>
      <c r="X298" t="n">
        <v>1</v>
      </c>
      <c r="Y298" t="n">
        <v>23738.49</v>
      </c>
      <c r="Z298" t="n">
        <v>0</v>
      </c>
      <c r="AA298" t="n">
        <v>75305.39999999999</v>
      </c>
      <c r="AB298" t="n">
        <v>81080</v>
      </c>
      <c r="AC298" t="n">
        <v>31520</v>
      </c>
      <c r="AF298" t="n">
        <v>0</v>
      </c>
      <c r="AG298" t="n">
        <v>187905.4</v>
      </c>
      <c r="AH298" t="n">
        <v>7.915642486105897</v>
      </c>
      <c r="AI298" t="n">
        <v>187905.4</v>
      </c>
      <c r="AJ298" t="n">
        <v>7.915642486105897</v>
      </c>
      <c r="AK298" t="n">
        <v>6.587841096885269</v>
      </c>
      <c r="AQ298" t="n">
        <v>187905.4</v>
      </c>
      <c r="AR298" t="n">
        <v>7.915642486105897</v>
      </c>
      <c r="AS298" t="n">
        <v>1.253789284046173</v>
      </c>
      <c r="BL298" t="n">
        <v>1</v>
      </c>
      <c r="BM298" t="n">
        <v>22550</v>
      </c>
      <c r="BN298" t="n">
        <v>0</v>
      </c>
      <c r="BO298" t="n">
        <v>22645</v>
      </c>
      <c r="BP298" t="inlineStr">
        <is>
          <t>G,G</t>
        </is>
      </c>
      <c r="BQ298" t="inlineStr">
        <is>
          <t>T1#</t>
        </is>
      </c>
      <c r="BR298" t="n">
        <v>114805</v>
      </c>
      <c r="BS298" t="n">
        <v>5.091130820399113</v>
      </c>
      <c r="BT298" t="n">
        <v>35065</v>
      </c>
      <c r="BU298" t="n">
        <v>149870</v>
      </c>
      <c r="BV298" t="n">
        <v>6.646119733924612</v>
      </c>
      <c r="BY298" t="n">
        <v>149870</v>
      </c>
      <c r="BZ298" t="n">
        <v>6.646119733924612</v>
      </c>
      <c r="CP298" t="inlineStr">
        <is>
          <t>税务部</t>
        </is>
      </c>
      <c r="CQ298" t="inlineStr">
        <is>
          <t>5,3</t>
        </is>
      </c>
      <c r="CR298" t="n">
        <v>7</v>
      </c>
      <c r="CS298" t="inlineStr">
        <is>
          <t>T1#</t>
        </is>
      </c>
      <c r="CT298" t="inlineStr">
        <is>
          <t>N</t>
        </is>
      </c>
    </row>
    <row r="299">
      <c r="A299" t="inlineStr">
        <is>
          <t>hazelCai(蔡蓉荷)</t>
        </is>
      </c>
      <c r="C299" t="n">
        <v>68478529</v>
      </c>
      <c r="D299" t="inlineStr">
        <is>
          <t>行政支持中心</t>
        </is>
      </c>
      <c r="E299" t="inlineStr">
        <is>
          <t>行政支持中心</t>
        </is>
      </c>
      <c r="G299" t="inlineStr">
        <is>
          <t>S2职能系统－财经线/行政支持中心</t>
        </is>
      </c>
      <c r="H299" s="188" t="n">
        <v>41888</v>
      </c>
      <c r="I299" t="inlineStr">
        <is>
          <t>社会招聘</t>
        </is>
      </c>
      <c r="J299" t="inlineStr">
        <is>
          <t>财经类－FN</t>
        </is>
      </c>
      <c r="K299" t="inlineStr">
        <is>
          <t>公司秘书</t>
        </is>
      </c>
      <c r="L299" t="inlineStr">
        <is>
          <t>S8</t>
        </is>
      </c>
      <c r="N299" t="inlineStr">
        <is>
          <t>Others</t>
        </is>
      </c>
      <c r="Q299" t="inlineStr">
        <is>
          <t>U,O</t>
        </is>
      </c>
      <c r="U299" t="n">
        <v>28581.8</v>
      </c>
      <c r="V299" t="n">
        <v>0.083333</v>
      </c>
      <c r="W299" t="inlineStr">
        <is>
          <t>CNY</t>
        </is>
      </c>
      <c r="X299" t="n">
        <v>1</v>
      </c>
      <c r="Y299" t="n">
        <v>26609.3</v>
      </c>
      <c r="Z299" t="n">
        <v>0</v>
      </c>
      <c r="AA299" t="n">
        <v>57163.6</v>
      </c>
      <c r="AB299" t="n">
        <v>25095</v>
      </c>
      <c r="AC299" t="n">
        <v>0</v>
      </c>
      <c r="AF299" t="n">
        <v>0</v>
      </c>
      <c r="AG299" t="n">
        <v>82258.60000000001</v>
      </c>
      <c r="AH299" t="n">
        <v>3.091347761872729</v>
      </c>
      <c r="AI299" t="n">
        <v>82258.60000000001</v>
      </c>
      <c r="AJ299" t="n">
        <v>3.091347761872729</v>
      </c>
      <c r="AK299" t="n">
        <v>3.091347761872729</v>
      </c>
      <c r="AQ299" t="n">
        <v>82258.60000000001</v>
      </c>
      <c r="AR299" t="n">
        <v>3.091347761872729</v>
      </c>
      <c r="AS299" t="n">
        <v>1.024072206660442</v>
      </c>
      <c r="BL299" t="n">
        <v>1</v>
      </c>
      <c r="BM299" t="n">
        <v>24515</v>
      </c>
      <c r="BN299" t="n">
        <v>0</v>
      </c>
      <c r="BO299" t="n">
        <v>25860</v>
      </c>
      <c r="BP299" t="inlineStr">
        <is>
          <t>G,G</t>
        </is>
      </c>
      <c r="BQ299" t="inlineStr">
        <is>
          <t>Others</t>
        </is>
      </c>
      <c r="BR299" t="n">
        <v>80325</v>
      </c>
      <c r="BS299" t="n">
        <v>3.276565368141954</v>
      </c>
      <c r="BT299" t="n">
        <v>0</v>
      </c>
      <c r="BU299" t="n">
        <v>80325</v>
      </c>
      <c r="BV299" t="n">
        <v>3.276565368141954</v>
      </c>
      <c r="BY299" t="n">
        <v>80325</v>
      </c>
      <c r="BZ299" t="n">
        <v>3.276565368141954</v>
      </c>
      <c r="CP299" t="inlineStr">
        <is>
          <t>行政支持中心</t>
        </is>
      </c>
      <c r="CQ299" t="inlineStr">
        <is>
          <t>5,1</t>
        </is>
      </c>
      <c r="CR299" t="n">
        <v>8</v>
      </c>
      <c r="CS299" t="inlineStr">
        <is>
          <t>Others</t>
        </is>
      </c>
      <c r="CT299" t="inlineStr">
        <is>
          <t>N</t>
        </is>
      </c>
    </row>
    <row r="300">
      <c r="A300" t="inlineStr">
        <is>
          <t>emmaYang(杨苑)</t>
        </is>
      </c>
      <c r="C300" t="n">
        <v>94881106</v>
      </c>
      <c r="D300" t="inlineStr">
        <is>
          <t>在线视频财务管理中心</t>
        </is>
      </c>
      <c r="E300" t="inlineStr">
        <is>
          <t>OVB长视频财务管理组</t>
        </is>
      </c>
      <c r="G300" t="inlineStr">
        <is>
          <t>S2职能系统－财经线/在线视频财务管理中心/OVB长视频财务管理组</t>
        </is>
      </c>
      <c r="H300" s="188" t="n">
        <v>36784</v>
      </c>
      <c r="I300" t="inlineStr">
        <is>
          <t>社会招聘</t>
        </is>
      </c>
      <c r="J300" t="inlineStr">
        <is>
          <t>财经类－FN</t>
        </is>
      </c>
      <c r="K300" t="inlineStr">
        <is>
          <t>财务管理</t>
        </is>
      </c>
      <c r="L300" t="inlineStr">
        <is>
          <t>S9</t>
        </is>
      </c>
      <c r="N300" t="inlineStr">
        <is>
          <t>T2</t>
        </is>
      </c>
      <c r="Q300" t="inlineStr">
        <is>
          <t>G,G</t>
        </is>
      </c>
      <c r="U300" t="n">
        <v>55239</v>
      </c>
      <c r="V300" t="n">
        <v>0.083333</v>
      </c>
      <c r="W300" t="inlineStr">
        <is>
          <t>CNY</t>
        </is>
      </c>
      <c r="X300" t="n">
        <v>1</v>
      </c>
      <c r="Y300" t="n">
        <v>53706.87</v>
      </c>
      <c r="Z300" t="n">
        <v>0</v>
      </c>
      <c r="AA300" t="n">
        <v>110478</v>
      </c>
      <c r="AB300" t="n">
        <v>73250</v>
      </c>
      <c r="AC300" t="n">
        <v>0</v>
      </c>
      <c r="AF300" t="n">
        <v>0</v>
      </c>
      <c r="AG300" t="n">
        <v>183728</v>
      </c>
      <c r="AH300" t="n">
        <v>3.420940375039543</v>
      </c>
      <c r="AI300" t="n">
        <v>183728</v>
      </c>
      <c r="AJ300" t="n">
        <v>3.420940375039543</v>
      </c>
      <c r="AK300" t="n">
        <v>3.420940375039543</v>
      </c>
      <c r="AQ300" t="n">
        <v>183728</v>
      </c>
      <c r="AR300" t="n">
        <v>3.420940375039543</v>
      </c>
      <c r="AS300" t="n">
        <v>1.087115765805745</v>
      </c>
      <c r="BL300" t="n">
        <v>1</v>
      </c>
      <c r="BM300" t="n">
        <v>45830</v>
      </c>
      <c r="BN300" t="n">
        <v>0</v>
      </c>
      <c r="BO300" t="n">
        <v>49730</v>
      </c>
      <c r="BP300" t="inlineStr">
        <is>
          <t>G,G</t>
        </is>
      </c>
      <c r="BQ300" t="inlineStr">
        <is>
          <t>Others</t>
        </is>
      </c>
      <c r="BR300" t="n">
        <v>169005</v>
      </c>
      <c r="BS300" t="n">
        <v>3.687650010909884</v>
      </c>
      <c r="BT300" t="n">
        <v>0</v>
      </c>
      <c r="BU300" t="n">
        <v>169005</v>
      </c>
      <c r="BV300" t="n">
        <v>3.687650010909884</v>
      </c>
      <c r="BY300" t="n">
        <v>169005</v>
      </c>
      <c r="BZ300" t="n">
        <v>3.687650010909884</v>
      </c>
      <c r="CP300" t="inlineStr">
        <is>
          <t>在线视频财务管理中心</t>
        </is>
      </c>
      <c r="CQ300" t="inlineStr">
        <is>
          <t>3,3</t>
        </is>
      </c>
      <c r="CR300" t="n">
        <v>9</v>
      </c>
      <c r="CS300" t="inlineStr">
        <is>
          <t>T2</t>
        </is>
      </c>
      <c r="CT300" t="inlineStr">
        <is>
          <t>N</t>
        </is>
      </c>
    </row>
    <row r="301">
      <c r="A301" t="inlineStr">
        <is>
          <t>eugeneLiao(廖德宇)</t>
        </is>
      </c>
      <c r="C301" t="n">
        <v>45873998</v>
      </c>
      <c r="D301" t="inlineStr">
        <is>
          <t>税务部</t>
        </is>
      </c>
      <c r="E301" t="inlineStr">
        <is>
          <t>税务部</t>
        </is>
      </c>
      <c r="G301" t="inlineStr">
        <is>
          <t>S2职能系统－财经线/税务部</t>
        </is>
      </c>
      <c r="H301" s="188" t="n">
        <v>37913</v>
      </c>
      <c r="I301" t="inlineStr">
        <is>
          <t>高校招聘</t>
        </is>
      </c>
      <c r="J301" t="inlineStr">
        <is>
          <t>财经类－FN</t>
        </is>
      </c>
      <c r="K301" t="inlineStr">
        <is>
          <t>税务</t>
        </is>
      </c>
      <c r="L301" t="inlineStr">
        <is>
          <t>S6</t>
        </is>
      </c>
      <c r="N301" t="inlineStr">
        <is>
          <t>T1</t>
        </is>
      </c>
      <c r="Q301" t="inlineStr">
        <is>
          <t>G,G</t>
        </is>
      </c>
      <c r="U301" t="n">
        <v>29069.95</v>
      </c>
      <c r="V301" t="n">
        <v>0.083333</v>
      </c>
      <c r="W301" t="inlineStr">
        <is>
          <t>CNY</t>
        </is>
      </c>
      <c r="X301" t="n">
        <v>1</v>
      </c>
      <c r="Y301" t="n">
        <v>28389.45</v>
      </c>
      <c r="Z301" t="n">
        <v>0</v>
      </c>
      <c r="AA301" t="n">
        <v>58139.9</v>
      </c>
      <c r="AB301" t="n">
        <v>65220</v>
      </c>
      <c r="AC301" t="n">
        <v>43400</v>
      </c>
      <c r="AF301" t="n">
        <v>0</v>
      </c>
      <c r="AG301" t="n">
        <v>166759.9</v>
      </c>
      <c r="AH301" t="n">
        <v>5.874009535232278</v>
      </c>
      <c r="AI301" t="n">
        <v>166759.9</v>
      </c>
      <c r="AJ301" t="n">
        <v>5.874009535232278</v>
      </c>
      <c r="AK301" t="n">
        <v>4.345272627683875</v>
      </c>
      <c r="AQ301" t="n">
        <v>166759.9</v>
      </c>
      <c r="AR301" t="n">
        <v>5.874009535232278</v>
      </c>
      <c r="AS301" t="n">
        <v>2.736909568357131</v>
      </c>
      <c r="BL301" t="n">
        <v>1</v>
      </c>
      <c r="BM301" t="n">
        <v>25130</v>
      </c>
      <c r="BN301" t="n">
        <v>0</v>
      </c>
      <c r="BO301" t="n">
        <v>25385</v>
      </c>
      <c r="BP301" t="inlineStr">
        <is>
          <t>U,G</t>
        </is>
      </c>
      <c r="BQ301" t="inlineStr">
        <is>
          <t>T1</t>
        </is>
      </c>
      <c r="BR301" t="n">
        <v>60930</v>
      </c>
      <c r="BS301" t="n">
        <v>2.424592120970951</v>
      </c>
      <c r="BT301" t="n">
        <v>0</v>
      </c>
      <c r="BU301" t="n">
        <v>60930</v>
      </c>
      <c r="BV301" t="n">
        <v>2.424592120970951</v>
      </c>
      <c r="BY301" t="n">
        <v>60930</v>
      </c>
      <c r="BZ301" t="n">
        <v>2.424592120970951</v>
      </c>
      <c r="CP301" t="inlineStr">
        <is>
          <t>税务部</t>
        </is>
      </c>
      <c r="CQ301" t="inlineStr">
        <is>
          <t>3,3</t>
        </is>
      </c>
      <c r="CR301" t="n">
        <v>6</v>
      </c>
      <c r="CS301" t="inlineStr">
        <is>
          <t>T1</t>
        </is>
      </c>
      <c r="CT301" t="inlineStr">
        <is>
          <t>N</t>
        </is>
      </c>
    </row>
    <row r="302">
      <c r="A302" t="inlineStr">
        <is>
          <t>anthonyYang(杨德)</t>
        </is>
      </c>
      <c r="C302" t="n">
        <v>26094530</v>
      </c>
      <c r="D302" t="inlineStr">
        <is>
          <t>财会及报告管理部</t>
        </is>
      </c>
      <c r="E302" t="inlineStr">
        <is>
          <t>应收管理中心</t>
        </is>
      </c>
      <c r="G302" t="inlineStr">
        <is>
          <t>S2职能系统－财经线/财会及报告管理部/应收管理中心</t>
        </is>
      </c>
      <c r="H302" s="188" t="n">
        <v>45512</v>
      </c>
      <c r="I302" t="inlineStr">
        <is>
          <t>社会招聘</t>
        </is>
      </c>
      <c r="J302" t="inlineStr">
        <is>
          <t>财经类－FN</t>
        </is>
      </c>
      <c r="K302" t="inlineStr">
        <is>
          <t>会计</t>
        </is>
      </c>
      <c r="L302" t="inlineStr">
        <is>
          <t>S9</t>
        </is>
      </c>
      <c r="N302" t="inlineStr">
        <is>
          <t>T2</t>
        </is>
      </c>
      <c r="Q302" t="inlineStr">
        <is>
          <t>N,G</t>
        </is>
      </c>
      <c r="U302" t="n">
        <v>55526.35</v>
      </c>
      <c r="V302" t="n">
        <v>0.083333</v>
      </c>
      <c r="W302" t="inlineStr">
        <is>
          <t>CNY</t>
        </is>
      </c>
      <c r="X302" t="n">
        <v>0.39726</v>
      </c>
      <c r="Y302" t="n">
        <v>55526.35</v>
      </c>
      <c r="Z302" t="n">
        <v>0</v>
      </c>
      <c r="AA302" t="n">
        <v>22058.4</v>
      </c>
      <c r="AB302" t="n">
        <v>0</v>
      </c>
      <c r="AC302" t="n">
        <v>0</v>
      </c>
      <c r="AF302" t="n">
        <v>0</v>
      </c>
      <c r="AG302" t="n">
        <v>22058.4</v>
      </c>
      <c r="AH302" t="n">
        <v>0.3972600396028192</v>
      </c>
      <c r="AI302" t="n">
        <v>22058.4</v>
      </c>
      <c r="AJ302" t="n">
        <v>0.3972600396028192</v>
      </c>
      <c r="AK302" t="n">
        <v>0.3972600396028192</v>
      </c>
      <c r="AQ302" t="n">
        <v>22058.4</v>
      </c>
      <c r="AR302" t="n">
        <v>0.3972600396028192</v>
      </c>
      <c r="BM302" t="n">
        <v>0</v>
      </c>
      <c r="BN302" t="n">
        <v>0</v>
      </c>
      <c r="BO302" t="n">
        <v>0</v>
      </c>
      <c r="BR302" t="n">
        <v>0</v>
      </c>
      <c r="BT302" t="n">
        <v>0</v>
      </c>
      <c r="BU302" t="n">
        <v>0</v>
      </c>
      <c r="BY302" t="n">
        <v>0</v>
      </c>
      <c r="CP302" t="inlineStr">
        <is>
          <t>财会及报告管理部</t>
        </is>
      </c>
      <c r="CQ302" t="n">
        <v>3</v>
      </c>
      <c r="CR302" t="n">
        <v>9</v>
      </c>
      <c r="CS302" t="inlineStr">
        <is>
          <t>T2</t>
        </is>
      </c>
      <c r="CT302" t="inlineStr">
        <is>
          <t>N</t>
        </is>
      </c>
    </row>
    <row r="303">
      <c r="A303" t="inlineStr">
        <is>
          <t>karenDing(丁青)</t>
        </is>
      </c>
      <c r="C303" t="n">
        <v>28898413</v>
      </c>
      <c r="D303" t="inlineStr">
        <is>
          <t>反舞弊调查部</t>
        </is>
      </c>
      <c r="E303" t="inlineStr">
        <is>
          <t>海外反舞弊工作组</t>
        </is>
      </c>
      <c r="G303" t="inlineStr">
        <is>
          <t>S2职能系统－财经线/反舞弊调查部/海外反舞弊工作组</t>
        </is>
      </c>
      <c r="H303" s="188" t="n">
        <v>39422</v>
      </c>
      <c r="I303" t="inlineStr">
        <is>
          <t>社会招聘</t>
        </is>
      </c>
      <c r="J303" t="inlineStr">
        <is>
          <t>财经类－FN</t>
        </is>
      </c>
      <c r="K303" t="inlineStr">
        <is>
          <t>风险管理</t>
        </is>
      </c>
      <c r="L303" t="inlineStr">
        <is>
          <t>S12</t>
        </is>
      </c>
      <c r="M303" t="inlineStr">
        <is>
          <t>L1-1</t>
        </is>
      </c>
      <c r="N303" t="inlineStr">
        <is>
          <t>T2</t>
        </is>
      </c>
      <c r="Q303" t="inlineStr">
        <is>
          <t>G,G</t>
        </is>
      </c>
      <c r="U303" t="n">
        <v>44929.9</v>
      </c>
      <c r="V303" t="n">
        <v>0.083333</v>
      </c>
      <c r="W303" t="inlineStr">
        <is>
          <t>CNY</t>
        </is>
      </c>
      <c r="X303" t="n">
        <v>1</v>
      </c>
      <c r="Y303" t="n">
        <v>41633.13</v>
      </c>
      <c r="Z303" t="n">
        <v>0</v>
      </c>
      <c r="AA303" t="n">
        <v>89859.8</v>
      </c>
      <c r="AB303" t="n">
        <v>58480</v>
      </c>
      <c r="AC303" t="n">
        <v>0</v>
      </c>
      <c r="AF303" t="n">
        <v>11675</v>
      </c>
      <c r="AG303" t="n">
        <v>148339.8</v>
      </c>
      <c r="AH303" t="n">
        <v>3.563023005957035</v>
      </c>
      <c r="AI303" t="n">
        <v>160014.8</v>
      </c>
      <c r="AJ303" t="n">
        <v>3.843448715001731</v>
      </c>
      <c r="AK303" t="n">
        <v>3.843448715001731</v>
      </c>
      <c r="AQ303" t="n">
        <v>160014.8</v>
      </c>
      <c r="AR303" t="n">
        <v>3.843448715001731</v>
      </c>
      <c r="AS303" t="n">
        <v>1.116096812443328</v>
      </c>
      <c r="BL303" t="n">
        <v>1</v>
      </c>
      <c r="BM303" t="n">
        <v>38225</v>
      </c>
      <c r="BN303" t="n">
        <v>0</v>
      </c>
      <c r="BO303" t="n">
        <v>41145</v>
      </c>
      <c r="BP303" t="inlineStr">
        <is>
          <t>G,G</t>
        </is>
      </c>
      <c r="BQ303" t="inlineStr">
        <is>
          <t>T2</t>
        </is>
      </c>
      <c r="BR303" t="n">
        <v>143370</v>
      </c>
      <c r="BS303" t="n">
        <v>3.750686723348594</v>
      </c>
      <c r="BT303" t="n">
        <v>0</v>
      </c>
      <c r="BU303" t="n">
        <v>143370</v>
      </c>
      <c r="BV303" t="n">
        <v>3.750686723348594</v>
      </c>
      <c r="BY303" t="n">
        <v>143370</v>
      </c>
      <c r="BZ303" t="n">
        <v>3.750686723348594</v>
      </c>
      <c r="CP303" t="inlineStr">
        <is>
          <t>反舞弊调查部</t>
        </is>
      </c>
      <c r="CQ303" t="inlineStr">
        <is>
          <t>3,3</t>
        </is>
      </c>
      <c r="CR303" t="n">
        <v>12</v>
      </c>
      <c r="CS303" t="inlineStr">
        <is>
          <t>T2</t>
        </is>
      </c>
      <c r="CT303" t="inlineStr">
        <is>
          <t>N</t>
        </is>
      </c>
    </row>
    <row r="304">
      <c r="A304" t="inlineStr">
        <is>
          <t>bellaZhou(周琪涵)</t>
        </is>
      </c>
      <c r="C304" t="n">
        <v>50634401</v>
      </c>
      <c r="D304" t="inlineStr">
        <is>
          <t>风险管理和内部控制</t>
        </is>
      </c>
      <c r="E304" t="inlineStr">
        <is>
          <t>IEG风控中心</t>
        </is>
      </c>
      <c r="G304" t="inlineStr">
        <is>
          <t>S2职能系统－财经线/风险管理和内部控制/IEG风控中心</t>
        </is>
      </c>
      <c r="H304" s="188" t="n">
        <v>39844</v>
      </c>
      <c r="I304" t="inlineStr">
        <is>
          <t>社会招聘</t>
        </is>
      </c>
      <c r="J304" t="inlineStr">
        <is>
          <t>财经类－FN</t>
        </is>
      </c>
      <c r="K304" t="inlineStr">
        <is>
          <t>风险管理</t>
        </is>
      </c>
      <c r="L304" t="inlineStr">
        <is>
          <t>S8</t>
        </is>
      </c>
      <c r="N304" t="inlineStr">
        <is>
          <t>T2</t>
        </is>
      </c>
      <c r="Q304" t="inlineStr">
        <is>
          <t>G,G</t>
        </is>
      </c>
      <c r="U304" t="n">
        <v>29539.85</v>
      </c>
      <c r="V304" t="n">
        <v>0.083333</v>
      </c>
      <c r="W304" t="inlineStr">
        <is>
          <t>CNY</t>
        </is>
      </c>
      <c r="X304" t="n">
        <v>1</v>
      </c>
      <c r="Y304" t="n">
        <v>28349.37</v>
      </c>
      <c r="Z304" t="n">
        <v>0</v>
      </c>
      <c r="AA304" t="n">
        <v>59079.7</v>
      </c>
      <c r="AB304" t="n">
        <v>35945</v>
      </c>
      <c r="AC304" t="n">
        <v>0</v>
      </c>
      <c r="AF304" t="n">
        <v>0</v>
      </c>
      <c r="AG304" t="n">
        <v>95024.7</v>
      </c>
      <c r="AH304" t="n">
        <v>3.351915756858089</v>
      </c>
      <c r="AI304" t="n">
        <v>95024.7</v>
      </c>
      <c r="AJ304" t="n">
        <v>3.351915756858089</v>
      </c>
      <c r="AK304" t="n">
        <v>3.351915756858089</v>
      </c>
      <c r="AQ304" t="n">
        <v>95024.7</v>
      </c>
      <c r="AR304" t="n">
        <v>3.351915756858089</v>
      </c>
      <c r="AS304" t="n">
        <v>0.5704105888708806</v>
      </c>
      <c r="BL304" t="n">
        <v>1</v>
      </c>
      <c r="BM304" t="n">
        <v>25740</v>
      </c>
      <c r="BN304" t="n">
        <v>0</v>
      </c>
      <c r="BO304" t="n">
        <v>26235</v>
      </c>
      <c r="BP304" t="inlineStr">
        <is>
          <t>G,G</t>
        </is>
      </c>
      <c r="BQ304" t="inlineStr">
        <is>
          <t>T1#</t>
        </is>
      </c>
      <c r="BR304" t="n">
        <v>138405</v>
      </c>
      <c r="BS304" t="n">
        <v>5.377039627039627</v>
      </c>
      <c r="BT304" t="n">
        <v>28185</v>
      </c>
      <c r="BU304" t="n">
        <v>166590</v>
      </c>
      <c r="BV304" t="n">
        <v>6.472027972027972</v>
      </c>
      <c r="BY304" t="n">
        <v>166590</v>
      </c>
      <c r="BZ304" t="n">
        <v>6.472027972027972</v>
      </c>
      <c r="CP304" t="inlineStr">
        <is>
          <t>风险管理和内部控制</t>
        </is>
      </c>
      <c r="CQ304" t="inlineStr">
        <is>
          <t>3,3</t>
        </is>
      </c>
      <c r="CR304" t="n">
        <v>8</v>
      </c>
      <c r="CS304" t="inlineStr">
        <is>
          <t>T2</t>
        </is>
      </c>
      <c r="CT304" t="inlineStr">
        <is>
          <t>N</t>
        </is>
      </c>
    </row>
    <row r="305">
      <c r="A305" t="inlineStr">
        <is>
          <t>ronaldShi(施威)</t>
        </is>
      </c>
      <c r="C305" t="n">
        <v>16551433</v>
      </c>
      <c r="D305" t="inlineStr">
        <is>
          <t>CDG财务管理</t>
        </is>
      </c>
      <c r="E305" t="inlineStr">
        <is>
          <t>子公司财务管理组</t>
        </is>
      </c>
      <c r="G305" t="inlineStr">
        <is>
          <t>S2职能系统－财经线/CDG财务管理/子公司财务管理组</t>
        </is>
      </c>
      <c r="H305" s="188" t="n">
        <v>41432</v>
      </c>
      <c r="I305" t="inlineStr">
        <is>
          <t>社会招聘</t>
        </is>
      </c>
      <c r="J305" t="inlineStr">
        <is>
          <t>财经类－FN</t>
        </is>
      </c>
      <c r="K305" t="inlineStr">
        <is>
          <t>财务管理</t>
        </is>
      </c>
      <c r="L305" t="inlineStr">
        <is>
          <t>S10</t>
        </is>
      </c>
      <c r="N305" t="inlineStr">
        <is>
          <t>T1</t>
        </is>
      </c>
      <c r="Q305" t="inlineStr">
        <is>
          <t>U,O</t>
        </is>
      </c>
      <c r="U305" t="n">
        <v>48285.05</v>
      </c>
      <c r="V305" t="n">
        <v>0.083333</v>
      </c>
      <c r="W305" t="inlineStr">
        <is>
          <t>CNY</t>
        </is>
      </c>
      <c r="X305" t="n">
        <v>1</v>
      </c>
      <c r="Y305" t="n">
        <v>46723.44</v>
      </c>
      <c r="Z305" t="n">
        <v>0</v>
      </c>
      <c r="AA305" t="n">
        <v>96570.10000000001</v>
      </c>
      <c r="AB305" t="n">
        <v>115350</v>
      </c>
      <c r="AC305" t="n">
        <v>0</v>
      </c>
      <c r="AF305" t="n">
        <v>0</v>
      </c>
      <c r="AG305" t="n">
        <v>211920.1</v>
      </c>
      <c r="AH305" t="n">
        <v>4.535627085676911</v>
      </c>
      <c r="AI305" t="n">
        <v>211920.1</v>
      </c>
      <c r="AJ305" t="n">
        <v>4.535627085676911</v>
      </c>
      <c r="AK305" t="n">
        <v>4.535627085676911</v>
      </c>
      <c r="AQ305" t="n">
        <v>211920.1</v>
      </c>
      <c r="AR305" t="n">
        <v>4.535627085676911</v>
      </c>
      <c r="AS305" t="n">
        <v>0.7875143069490895</v>
      </c>
      <c r="BL305" t="n">
        <v>1</v>
      </c>
      <c r="BM305" t="n">
        <v>42965</v>
      </c>
      <c r="BN305" t="n">
        <v>0</v>
      </c>
      <c r="BO305" t="n">
        <v>43320</v>
      </c>
      <c r="BP305" t="inlineStr">
        <is>
          <t>O,G</t>
        </is>
      </c>
      <c r="BQ305" t="inlineStr">
        <is>
          <t>T1</t>
        </is>
      </c>
      <c r="BR305" t="n">
        <v>182640</v>
      </c>
      <c r="BS305" t="n">
        <v>4.250901896892819</v>
      </c>
      <c r="BT305" t="n">
        <v>86460</v>
      </c>
      <c r="BU305" t="n">
        <v>269100</v>
      </c>
      <c r="BV305" t="n">
        <v>6.263237518910741</v>
      </c>
      <c r="BY305" t="n">
        <v>269100</v>
      </c>
      <c r="BZ305" t="n">
        <v>6.263237518910741</v>
      </c>
      <c r="CP305" t="inlineStr">
        <is>
          <t>CDG财务管理</t>
        </is>
      </c>
      <c r="CQ305" t="inlineStr">
        <is>
          <t>5,1</t>
        </is>
      </c>
      <c r="CR305" t="n">
        <v>10</v>
      </c>
      <c r="CS305" t="inlineStr">
        <is>
          <t>T1</t>
        </is>
      </c>
      <c r="CT305" t="inlineStr">
        <is>
          <t>N</t>
        </is>
      </c>
    </row>
    <row r="306">
      <c r="A306" t="inlineStr">
        <is>
          <t>bradleyLai(赖卓志)</t>
        </is>
      </c>
      <c r="C306" t="n">
        <v>58172151</v>
      </c>
      <c r="D306" t="inlineStr">
        <is>
          <t>财会及报告管理部</t>
        </is>
      </c>
      <c r="E306" t="inlineStr">
        <is>
          <t>应收管理中心</t>
        </is>
      </c>
      <c r="G306" t="inlineStr">
        <is>
          <t>S2职能系统－财经线/财会及报告管理部/应收管理中心</t>
        </is>
      </c>
      <c r="H306" s="188" t="n">
        <v>36250</v>
      </c>
      <c r="I306" t="inlineStr">
        <is>
          <t>高校招聘</t>
        </is>
      </c>
      <c r="J306" t="inlineStr">
        <is>
          <t>财经类－FN</t>
        </is>
      </c>
      <c r="K306" t="inlineStr">
        <is>
          <t>会计</t>
        </is>
      </c>
      <c r="L306" t="inlineStr">
        <is>
          <t>S10</t>
        </is>
      </c>
      <c r="N306" t="inlineStr">
        <is>
          <t>T1</t>
        </is>
      </c>
      <c r="Q306" t="inlineStr">
        <is>
          <t>G,G</t>
        </is>
      </c>
      <c r="U306" t="n">
        <v>36572.55</v>
      </c>
      <c r="V306" t="n">
        <v>0.083333</v>
      </c>
      <c r="W306" t="inlineStr">
        <is>
          <t>CNY</t>
        </is>
      </c>
      <c r="X306" t="n">
        <v>1</v>
      </c>
      <c r="Y306" t="n">
        <v>35696.68</v>
      </c>
      <c r="Z306" t="n">
        <v>0</v>
      </c>
      <c r="AA306" t="n">
        <v>73145.10000000001</v>
      </c>
      <c r="AB306" t="n">
        <v>89345</v>
      </c>
      <c r="AC306" t="n">
        <v>43520</v>
      </c>
      <c r="AF306" t="n">
        <v>0</v>
      </c>
      <c r="AG306" t="n">
        <v>206010.1</v>
      </c>
      <c r="AH306" t="n">
        <v>5.771127735128309</v>
      </c>
      <c r="AI306" t="n">
        <v>206010.1</v>
      </c>
      <c r="AJ306" t="n">
        <v>5.771127735128309</v>
      </c>
      <c r="AK306" t="n">
        <v>4.551966737522929</v>
      </c>
      <c r="AQ306" t="n">
        <v>206010.1</v>
      </c>
      <c r="AR306" t="n">
        <v>5.771127735128309</v>
      </c>
      <c r="AS306" t="n">
        <v>1.186181661148697</v>
      </c>
      <c r="BL306" t="n">
        <v>1</v>
      </c>
      <c r="BM306" t="n">
        <v>30980</v>
      </c>
      <c r="BN306" t="n">
        <v>0</v>
      </c>
      <c r="BO306" t="n">
        <v>32685</v>
      </c>
      <c r="BP306" t="inlineStr">
        <is>
          <t>O,G</t>
        </is>
      </c>
      <c r="BQ306" t="inlineStr">
        <is>
          <t>T1</t>
        </is>
      </c>
      <c r="BR306" t="n">
        <v>132660</v>
      </c>
      <c r="BS306" t="n">
        <v>4.282117495158166</v>
      </c>
      <c r="BT306" t="n">
        <v>41015</v>
      </c>
      <c r="BU306" t="n">
        <v>173675</v>
      </c>
      <c r="BV306" t="n">
        <v>5.606036152356359</v>
      </c>
      <c r="BY306" t="n">
        <v>173675</v>
      </c>
      <c r="BZ306" t="n">
        <v>5.606036152356359</v>
      </c>
      <c r="CP306" t="inlineStr">
        <is>
          <t>财会及报告管理部</t>
        </is>
      </c>
      <c r="CQ306" t="inlineStr">
        <is>
          <t>3,3</t>
        </is>
      </c>
      <c r="CR306" t="n">
        <v>10</v>
      </c>
      <c r="CS306" t="inlineStr">
        <is>
          <t>T1</t>
        </is>
      </c>
      <c r="CT306" t="inlineStr">
        <is>
          <t>N</t>
        </is>
      </c>
    </row>
    <row r="307">
      <c r="A307" t="inlineStr">
        <is>
          <t>adamYao(姚然文)</t>
        </is>
      </c>
      <c r="C307" t="n">
        <v>87852187</v>
      </c>
      <c r="D307" t="inlineStr">
        <is>
          <t>预算及职能系统财务管理部</t>
        </is>
      </c>
      <c r="E307" t="inlineStr">
        <is>
          <t>预算管理中心</t>
        </is>
      </c>
      <c r="G307" t="inlineStr">
        <is>
          <t>S2职能系统－财经线/预算及职能系统财务管理部/预算管理中心</t>
        </is>
      </c>
      <c r="H307" s="188" t="n">
        <v>42253</v>
      </c>
      <c r="I307" t="inlineStr">
        <is>
          <t>社会招聘</t>
        </is>
      </c>
      <c r="J307" t="inlineStr">
        <is>
          <t>财经类－FN</t>
        </is>
      </c>
      <c r="K307" t="inlineStr">
        <is>
          <t>预算管理</t>
        </is>
      </c>
      <c r="L307" t="inlineStr">
        <is>
          <t>S6</t>
        </is>
      </c>
      <c r="N307" t="inlineStr">
        <is>
          <t>T1#</t>
        </is>
      </c>
      <c r="Q307" t="inlineStr">
        <is>
          <t>G,G</t>
        </is>
      </c>
      <c r="U307" t="n">
        <v>38492.95</v>
      </c>
      <c r="V307" t="n">
        <v>0.083333</v>
      </c>
      <c r="W307" t="inlineStr">
        <is>
          <t>CNY</t>
        </is>
      </c>
      <c r="X307" t="n">
        <v>1</v>
      </c>
      <c r="Y307" t="n">
        <v>34808.03</v>
      </c>
      <c r="Z307" t="n">
        <v>0</v>
      </c>
      <c r="AA307" t="n">
        <v>76985.89999999999</v>
      </c>
      <c r="AB307" t="n">
        <v>126345</v>
      </c>
      <c r="AC307" t="n">
        <v>53720</v>
      </c>
      <c r="AF307" t="n">
        <v>0</v>
      </c>
      <c r="AG307" t="n">
        <v>257050.9</v>
      </c>
      <c r="AH307" t="n">
        <v>7.384816089850531</v>
      </c>
      <c r="AI307" t="n">
        <v>257050.9</v>
      </c>
      <c r="AJ307" t="n">
        <v>7.384816089850531</v>
      </c>
      <c r="AK307" t="n">
        <v>5.841494046057763</v>
      </c>
      <c r="AQ307" t="n">
        <v>257050.9</v>
      </c>
      <c r="AR307" t="n">
        <v>7.384816089850531</v>
      </c>
      <c r="AS307" t="n">
        <v>1.218972851215175</v>
      </c>
      <c r="BL307" t="n">
        <v>1</v>
      </c>
      <c r="BM307" t="n">
        <v>31180</v>
      </c>
      <c r="BN307" t="n">
        <v>0</v>
      </c>
      <c r="BO307" t="n">
        <v>31295</v>
      </c>
      <c r="BP307" t="inlineStr">
        <is>
          <t>G,G</t>
        </is>
      </c>
      <c r="BQ307" t="inlineStr">
        <is>
          <t>T1#</t>
        </is>
      </c>
      <c r="BR307" t="n">
        <v>167770</v>
      </c>
      <c r="BS307" t="n">
        <v>5.380692751763951</v>
      </c>
      <c r="BT307" t="n">
        <v>43105</v>
      </c>
      <c r="BU307" t="n">
        <v>210875</v>
      </c>
      <c r="BV307" t="n">
        <v>6.763149454778704</v>
      </c>
      <c r="BY307" t="n">
        <v>210875</v>
      </c>
      <c r="BZ307" t="n">
        <v>6.763149454778704</v>
      </c>
      <c r="CP307" t="inlineStr">
        <is>
          <t>预算及职能系统财务管理部</t>
        </is>
      </c>
      <c r="CQ307" t="inlineStr">
        <is>
          <t>3,3</t>
        </is>
      </c>
      <c r="CR307" t="n">
        <v>6</v>
      </c>
      <c r="CS307" t="inlineStr">
        <is>
          <t>T1#</t>
        </is>
      </c>
      <c r="CT307" t="inlineStr">
        <is>
          <t>N</t>
        </is>
      </c>
    </row>
    <row r="308">
      <c r="A308" t="inlineStr">
        <is>
          <t>paulZhou(周平)</t>
        </is>
      </c>
      <c r="C308" t="n">
        <v>44931573</v>
      </c>
      <c r="D308" t="inlineStr">
        <is>
          <t>董事会办公室</t>
        </is>
      </c>
      <c r="E308" t="inlineStr">
        <is>
          <t>公司治理财经办公室</t>
        </is>
      </c>
      <c r="G308" t="inlineStr">
        <is>
          <t>S2职能系统－财经线/董事会办公室/公司治理财经办公室</t>
        </is>
      </c>
      <c r="H308" s="188" t="n">
        <v>42957</v>
      </c>
      <c r="I308" t="inlineStr">
        <is>
          <t>社会招聘</t>
        </is>
      </c>
      <c r="J308" t="inlineStr">
        <is>
          <t>财经类－FN</t>
        </is>
      </c>
      <c r="K308" t="inlineStr">
        <is>
          <t>公司秘书</t>
        </is>
      </c>
      <c r="L308" t="inlineStr">
        <is>
          <t>S8</t>
        </is>
      </c>
      <c r="N308" t="inlineStr">
        <is>
          <t>T1#</t>
        </is>
      </c>
      <c r="Q308" t="inlineStr">
        <is>
          <t>O,G</t>
        </is>
      </c>
      <c r="U308" t="n">
        <v>42158.05</v>
      </c>
      <c r="V308" t="n">
        <v>0.083333</v>
      </c>
      <c r="W308" t="inlineStr">
        <is>
          <t>CNY</t>
        </is>
      </c>
      <c r="X308" t="n">
        <v>1</v>
      </c>
      <c r="Y308" t="n">
        <v>41670.84</v>
      </c>
      <c r="Z308" t="n">
        <v>0</v>
      </c>
      <c r="AA308" t="n">
        <v>126474.15</v>
      </c>
      <c r="AB308" t="n">
        <v>127345</v>
      </c>
      <c r="AC308" t="n">
        <v>82695</v>
      </c>
      <c r="AF308" t="n">
        <v>0</v>
      </c>
      <c r="AG308" t="n">
        <v>336514.15</v>
      </c>
      <c r="AH308" t="n">
        <v>8.075530754839596</v>
      </c>
      <c r="AI308" t="n">
        <v>336514.15</v>
      </c>
      <c r="AJ308" t="n">
        <v>8.075530754839596</v>
      </c>
      <c r="AK308" t="n">
        <v>6.091049520480029</v>
      </c>
      <c r="AQ308" t="n">
        <v>336514.15</v>
      </c>
      <c r="AR308" t="n">
        <v>8.075530754839596</v>
      </c>
      <c r="AS308" t="n">
        <v>1.155552255206634</v>
      </c>
      <c r="BL308" t="n">
        <v>1</v>
      </c>
      <c r="BM308" t="n">
        <v>37675</v>
      </c>
      <c r="BN308" t="n">
        <v>0</v>
      </c>
      <c r="BO308" t="n">
        <v>40720</v>
      </c>
      <c r="BP308" t="inlineStr">
        <is>
          <t>G,G</t>
        </is>
      </c>
      <c r="BQ308" t="inlineStr">
        <is>
          <t>T1#</t>
        </is>
      </c>
      <c r="BR308" t="n">
        <v>219910</v>
      </c>
      <c r="BS308" t="n">
        <v>5.837027206370272</v>
      </c>
      <c r="BT308" t="n">
        <v>71305</v>
      </c>
      <c r="BU308" t="n">
        <v>291215</v>
      </c>
      <c r="BV308" t="n">
        <v>7.729661579296616</v>
      </c>
      <c r="BY308" t="n">
        <v>291215</v>
      </c>
      <c r="BZ308" t="n">
        <v>7.729661579296616</v>
      </c>
      <c r="CP308" t="inlineStr">
        <is>
          <t>董事会办公室</t>
        </is>
      </c>
      <c r="CQ308" t="inlineStr">
        <is>
          <t>5,3</t>
        </is>
      </c>
      <c r="CR308" t="n">
        <v>8</v>
      </c>
      <c r="CS308" t="inlineStr">
        <is>
          <t>T1#</t>
        </is>
      </c>
      <c r="CT308" t="inlineStr">
        <is>
          <t>N</t>
        </is>
      </c>
    </row>
    <row r="309">
      <c r="A309" t="inlineStr">
        <is>
          <t>gregoryLi(李刚彤)</t>
        </is>
      </c>
      <c r="C309" t="n">
        <v>45334496</v>
      </c>
      <c r="D309" t="inlineStr">
        <is>
          <t>财会及报告管理部</t>
        </is>
      </c>
      <c r="E309" t="inlineStr">
        <is>
          <t>资产管理组</t>
        </is>
      </c>
      <c r="G309" t="inlineStr">
        <is>
          <t>S2职能系统－财经线/财会及报告管理部/资产管理组</t>
        </is>
      </c>
      <c r="H309" s="188" t="n">
        <v>44405</v>
      </c>
      <c r="I309" t="inlineStr">
        <is>
          <t>高校招聘</t>
        </is>
      </c>
      <c r="J309" t="inlineStr">
        <is>
          <t>财经类－FN</t>
        </is>
      </c>
      <c r="K309" t="inlineStr">
        <is>
          <t>会计</t>
        </is>
      </c>
      <c r="L309" t="inlineStr">
        <is>
          <t>S5</t>
        </is>
      </c>
      <c r="N309" t="inlineStr">
        <is>
          <t>T1</t>
        </is>
      </c>
      <c r="Q309" t="inlineStr">
        <is>
          <t>G,G</t>
        </is>
      </c>
      <c r="U309" t="n">
        <v>28585.1</v>
      </c>
      <c r="V309" t="n">
        <v>0.083333</v>
      </c>
      <c r="W309" t="inlineStr">
        <is>
          <t>CNY</t>
        </is>
      </c>
      <c r="X309" t="n">
        <v>1</v>
      </c>
      <c r="Y309" t="n">
        <v>26165.26</v>
      </c>
      <c r="Z309" t="n">
        <v>0</v>
      </c>
      <c r="AA309" t="n">
        <v>57170.2</v>
      </c>
      <c r="AB309" t="n">
        <v>70815</v>
      </c>
      <c r="AC309" t="n">
        <v>48770</v>
      </c>
      <c r="AF309" t="n">
        <v>0</v>
      </c>
      <c r="AG309" t="n">
        <v>176755.2</v>
      </c>
      <c r="AH309" t="n">
        <v>6.755338949431422</v>
      </c>
      <c r="AI309" t="n">
        <v>176755.2</v>
      </c>
      <c r="AJ309" t="n">
        <v>6.755338949431422</v>
      </c>
      <c r="AK309" t="n">
        <v>4.891417092740527</v>
      </c>
      <c r="AQ309" t="n">
        <v>176755.2</v>
      </c>
      <c r="AR309" t="n">
        <v>6.755338949431422</v>
      </c>
      <c r="AS309" t="n">
        <v>1.605333091140275</v>
      </c>
      <c r="BL309" t="n">
        <v>1</v>
      </c>
      <c r="BM309" t="n">
        <v>23070</v>
      </c>
      <c r="BN309" t="n">
        <v>0</v>
      </c>
      <c r="BO309" t="n">
        <v>24845</v>
      </c>
      <c r="BP309" t="inlineStr">
        <is>
          <t>G,G</t>
        </is>
      </c>
      <c r="BQ309" t="inlineStr">
        <is>
          <t>T1</t>
        </is>
      </c>
      <c r="BR309" t="n">
        <v>77845</v>
      </c>
      <c r="BS309" t="n">
        <v>3.374295622019939</v>
      </c>
      <c r="BT309" t="n">
        <v>32260</v>
      </c>
      <c r="BU309" t="n">
        <v>110105</v>
      </c>
      <c r="BV309" t="n">
        <v>4.772648461205028</v>
      </c>
      <c r="BY309" t="n">
        <v>110105</v>
      </c>
      <c r="BZ309" t="n">
        <v>4.772648461205028</v>
      </c>
      <c r="CP309" t="inlineStr">
        <is>
          <t>财会及报告管理部</t>
        </is>
      </c>
      <c r="CQ309" t="inlineStr">
        <is>
          <t>3,3</t>
        </is>
      </c>
      <c r="CR309" t="n">
        <v>5</v>
      </c>
      <c r="CS309" t="inlineStr">
        <is>
          <t>T1</t>
        </is>
      </c>
      <c r="CT309" t="inlineStr">
        <is>
          <t>N</t>
        </is>
      </c>
    </row>
    <row r="310">
      <c r="A310" t="inlineStr">
        <is>
          <t>sharonRen(任欢)</t>
        </is>
      </c>
      <c r="C310" t="n">
        <v>38646471</v>
      </c>
      <c r="D310" t="inlineStr">
        <is>
          <t>财经IT管理部</t>
        </is>
      </c>
      <c r="E310" t="inlineStr">
        <is>
          <t>财经IT管理部</t>
        </is>
      </c>
      <c r="G310" t="inlineStr">
        <is>
          <t>S2职能系统－财经线/财经IT管理部</t>
        </is>
      </c>
      <c r="H310" s="188" t="n">
        <v>41946</v>
      </c>
      <c r="I310" t="inlineStr">
        <is>
          <t>高校招聘</t>
        </is>
      </c>
      <c r="J310" t="inlineStr">
        <is>
          <t>技术研发类－TRD</t>
        </is>
      </c>
      <c r="K310" t="inlineStr">
        <is>
          <t>应用开发</t>
        </is>
      </c>
      <c r="L310" t="inlineStr">
        <is>
          <t>T6</t>
        </is>
      </c>
      <c r="N310" t="inlineStr">
        <is>
          <t>T1</t>
        </is>
      </c>
      <c r="Q310" t="inlineStr">
        <is>
          <t>G,G</t>
        </is>
      </c>
      <c r="U310" t="n">
        <v>25758.05</v>
      </c>
      <c r="V310" t="n">
        <v>0.083333</v>
      </c>
      <c r="W310" t="inlineStr">
        <is>
          <t>CNY</t>
        </is>
      </c>
      <c r="X310" t="n">
        <v>1</v>
      </c>
      <c r="Y310" t="n">
        <v>24666.9</v>
      </c>
      <c r="Z310" t="n">
        <v>0</v>
      </c>
      <c r="AA310" t="n">
        <v>51516.1</v>
      </c>
      <c r="AB310" t="n">
        <v>54870</v>
      </c>
      <c r="AC310" t="n">
        <v>47075</v>
      </c>
      <c r="AF310" t="n">
        <v>0</v>
      </c>
      <c r="AG310" t="n">
        <v>153461.1</v>
      </c>
      <c r="AH310" t="n">
        <v>6.221337095459908</v>
      </c>
      <c r="AI310" t="n">
        <v>153461.1</v>
      </c>
      <c r="AJ310" t="n">
        <v>6.221337095459908</v>
      </c>
      <c r="AK310" t="n">
        <v>4.31290920221025</v>
      </c>
      <c r="AQ310" t="n">
        <v>153461.1</v>
      </c>
      <c r="AR310" t="n">
        <v>6.221337095459908</v>
      </c>
      <c r="AS310" t="n">
        <v>1.2707415227922</v>
      </c>
      <c r="BL310" t="n">
        <v>1</v>
      </c>
      <c r="BM310" t="n">
        <v>23135</v>
      </c>
      <c r="BN310" t="n">
        <v>0</v>
      </c>
      <c r="BO310" t="n">
        <v>24210</v>
      </c>
      <c r="BP310" t="inlineStr">
        <is>
          <t>G,G</t>
        </is>
      </c>
      <c r="BQ310" t="inlineStr">
        <is>
          <t>T1</t>
        </is>
      </c>
      <c r="BR310" t="n">
        <v>81195</v>
      </c>
      <c r="BS310" t="n">
        <v>3.509617462718824</v>
      </c>
      <c r="BT310" t="n">
        <v>39570</v>
      </c>
      <c r="BU310" t="n">
        <v>120765</v>
      </c>
      <c r="BV310" t="n">
        <v>5.220012967365464</v>
      </c>
      <c r="BY310" t="n">
        <v>120765</v>
      </c>
      <c r="BZ310" t="n">
        <v>5.220012967365464</v>
      </c>
      <c r="CP310" t="inlineStr">
        <is>
          <t>财经IT管理部</t>
        </is>
      </c>
      <c r="CQ310" t="inlineStr">
        <is>
          <t>3,3</t>
        </is>
      </c>
      <c r="CR310" t="n">
        <v>6</v>
      </c>
      <c r="CS310" t="inlineStr">
        <is>
          <t>T1</t>
        </is>
      </c>
      <c r="CT310" t="inlineStr">
        <is>
          <t>N</t>
        </is>
      </c>
    </row>
    <row r="311">
      <c r="A311" t="inlineStr">
        <is>
          <t>judithHuang(黄畅珊)</t>
        </is>
      </c>
      <c r="C311" t="n">
        <v>78247898</v>
      </c>
      <c r="D311" t="inlineStr">
        <is>
          <t>预算及职能系统财务管理部</t>
        </is>
      </c>
      <c r="E311" t="inlineStr">
        <is>
          <t>预算管理中心</t>
        </is>
      </c>
      <c r="G311" t="inlineStr">
        <is>
          <t>S2职能系统－财经线/预算及职能系统财务管理部/预算管理中心</t>
        </is>
      </c>
      <c r="H311" s="188" t="n">
        <v>41334</v>
      </c>
      <c r="I311" t="inlineStr">
        <is>
          <t>高校招聘</t>
        </is>
      </c>
      <c r="J311" t="inlineStr">
        <is>
          <t>财经类－FN</t>
        </is>
      </c>
      <c r="K311" t="inlineStr">
        <is>
          <t>预算管理</t>
        </is>
      </c>
      <c r="L311" t="inlineStr">
        <is>
          <t>S10</t>
        </is>
      </c>
      <c r="N311" t="inlineStr">
        <is>
          <t>T1</t>
        </is>
      </c>
      <c r="Q311" t="inlineStr">
        <is>
          <t>U,O</t>
        </is>
      </c>
      <c r="U311" t="n">
        <v>41100.25</v>
      </c>
      <c r="V311" t="n">
        <v>0.083333</v>
      </c>
      <c r="W311" t="inlineStr">
        <is>
          <t>CNY</t>
        </is>
      </c>
      <c r="X311" t="n">
        <v>1</v>
      </c>
      <c r="Y311" t="n">
        <v>39889.11</v>
      </c>
      <c r="Z311" t="n">
        <v>0</v>
      </c>
      <c r="AA311" t="n">
        <v>82200.5</v>
      </c>
      <c r="AB311" t="n">
        <v>83710</v>
      </c>
      <c r="AC311" t="n">
        <v>0</v>
      </c>
      <c r="AF311" t="n">
        <v>0</v>
      </c>
      <c r="AG311" t="n">
        <v>165910.5</v>
      </c>
      <c r="AH311" t="n">
        <v>4.159293100297299</v>
      </c>
      <c r="AI311" t="n">
        <v>165910.5</v>
      </c>
      <c r="AJ311" t="n">
        <v>4.159293100297299</v>
      </c>
      <c r="AK311" t="n">
        <v>4.159293100297299</v>
      </c>
      <c r="AQ311" t="n">
        <v>165910.5</v>
      </c>
      <c r="AR311" t="n">
        <v>4.159293100297299</v>
      </c>
      <c r="AS311" t="n">
        <v>1.431929400595521</v>
      </c>
      <c r="BL311" t="n">
        <v>1</v>
      </c>
      <c r="BM311" t="n">
        <v>33120</v>
      </c>
      <c r="BN311" t="n">
        <v>0</v>
      </c>
      <c r="BO311" t="n">
        <v>35520</v>
      </c>
      <c r="BP311" t="inlineStr">
        <is>
          <t>O,U</t>
        </is>
      </c>
      <c r="BQ311" t="inlineStr">
        <is>
          <t>T1</t>
        </is>
      </c>
      <c r="BR311" t="n">
        <v>115865</v>
      </c>
      <c r="BS311" t="n">
        <v>3.498339371980676</v>
      </c>
      <c r="BT311" t="n">
        <v>0</v>
      </c>
      <c r="BU311" t="n">
        <v>115865</v>
      </c>
      <c r="BV311" t="n">
        <v>3.498339371980676</v>
      </c>
      <c r="BY311" t="n">
        <v>115865</v>
      </c>
      <c r="BZ311" t="n">
        <v>3.498339371980676</v>
      </c>
      <c r="CP311" t="inlineStr">
        <is>
          <t>预算及职能系统财务管理部</t>
        </is>
      </c>
      <c r="CQ311" t="inlineStr">
        <is>
          <t>5,1</t>
        </is>
      </c>
      <c r="CR311" t="n">
        <v>10</v>
      </c>
      <c r="CS311" t="inlineStr">
        <is>
          <t>T1</t>
        </is>
      </c>
      <c r="CT311" t="inlineStr">
        <is>
          <t>N</t>
        </is>
      </c>
    </row>
    <row r="312">
      <c r="A312" t="inlineStr">
        <is>
          <t>terryTan(谭宁)</t>
        </is>
      </c>
      <c r="C312" t="n">
        <v>96374157</v>
      </c>
      <c r="D312" t="inlineStr">
        <is>
          <t>财会及报告管理部</t>
        </is>
      </c>
      <c r="E312" t="inlineStr">
        <is>
          <t>员工报销服务中心</t>
        </is>
      </c>
      <c r="G312" t="inlineStr">
        <is>
          <t>S2职能系统－财经线/财会及报告管理部/员工报销服务中心</t>
        </is>
      </c>
      <c r="H312" s="188" t="n">
        <v>41100</v>
      </c>
      <c r="I312" t="inlineStr">
        <is>
          <t>社会招聘</t>
        </is>
      </c>
      <c r="J312" t="inlineStr">
        <is>
          <t>财经类－FN</t>
        </is>
      </c>
      <c r="K312" t="inlineStr">
        <is>
          <t>会计</t>
        </is>
      </c>
      <c r="L312" t="inlineStr">
        <is>
          <t>S8</t>
        </is>
      </c>
      <c r="N312" t="inlineStr">
        <is>
          <t>Others</t>
        </is>
      </c>
      <c r="Q312" t="inlineStr">
        <is>
          <t>G,G</t>
        </is>
      </c>
      <c r="U312" t="n">
        <v>46971.65</v>
      </c>
      <c r="V312" t="n">
        <v>0.083333</v>
      </c>
      <c r="W312" t="inlineStr">
        <is>
          <t>CNY</t>
        </is>
      </c>
      <c r="X312" t="n">
        <v>1</v>
      </c>
      <c r="Y312" t="n">
        <v>46403.55</v>
      </c>
      <c r="Z312" t="n">
        <v>0</v>
      </c>
      <c r="AA312" t="n">
        <v>93943.3</v>
      </c>
      <c r="AB312" t="n">
        <v>43480</v>
      </c>
      <c r="AC312" t="n">
        <v>0</v>
      </c>
      <c r="AF312" t="n">
        <v>0</v>
      </c>
      <c r="AG312" t="n">
        <v>137423.3</v>
      </c>
      <c r="AH312" t="n">
        <v>2.961482472784948</v>
      </c>
      <c r="AI312" t="n">
        <v>137423.3</v>
      </c>
      <c r="AJ312" t="n">
        <v>2.961482472784948</v>
      </c>
      <c r="AK312" t="n">
        <v>2.961482472784948</v>
      </c>
      <c r="AQ312" t="n">
        <v>137423.3</v>
      </c>
      <c r="AR312" t="n">
        <v>2.961482472784948</v>
      </c>
      <c r="AS312" t="n">
        <v>1.554826045143407</v>
      </c>
      <c r="BL312" t="n">
        <v>1</v>
      </c>
      <c r="BM312" t="n">
        <v>38350</v>
      </c>
      <c r="BN312" t="n">
        <v>0</v>
      </c>
      <c r="BO312" t="n">
        <v>39880</v>
      </c>
      <c r="BP312" t="inlineStr">
        <is>
          <t>U,G</t>
        </is>
      </c>
      <c r="BQ312" t="inlineStr">
        <is>
          <t>Others</t>
        </is>
      </c>
      <c r="BR312" t="n">
        <v>88385</v>
      </c>
      <c r="BS312" t="n">
        <v>2.304693611473272</v>
      </c>
      <c r="BT312" t="n">
        <v>0</v>
      </c>
      <c r="BU312" t="n">
        <v>88385</v>
      </c>
      <c r="BV312" t="n">
        <v>2.304693611473272</v>
      </c>
      <c r="BY312" t="n">
        <v>88385</v>
      </c>
      <c r="BZ312" t="n">
        <v>2.304693611473272</v>
      </c>
      <c r="CP312" t="inlineStr">
        <is>
          <t>财会及报告管理部</t>
        </is>
      </c>
      <c r="CQ312" t="inlineStr">
        <is>
          <t>3,3</t>
        </is>
      </c>
      <c r="CR312" t="n">
        <v>8</v>
      </c>
      <c r="CS312" t="inlineStr">
        <is>
          <t>Others</t>
        </is>
      </c>
      <c r="CT312" t="inlineStr">
        <is>
          <t>N</t>
        </is>
      </c>
    </row>
    <row r="313">
      <c r="A313" t="inlineStr">
        <is>
          <t>ryanYe(叶力)</t>
        </is>
      </c>
      <c r="C313" t="n">
        <v>27454011</v>
      </c>
      <c r="D313" t="inlineStr">
        <is>
          <t>PCG财务管理</t>
        </is>
      </c>
      <c r="E313" t="inlineStr">
        <is>
          <t>新闻财务管理组</t>
        </is>
      </c>
      <c r="G313" t="inlineStr">
        <is>
          <t>S2职能系统－财经线/PCG财务管理/新闻财务管理组</t>
        </is>
      </c>
      <c r="H313" s="188" t="n">
        <v>42547</v>
      </c>
      <c r="I313" t="inlineStr">
        <is>
          <t>社会招聘</t>
        </is>
      </c>
      <c r="J313" t="inlineStr">
        <is>
          <t>财经类－FN</t>
        </is>
      </c>
      <c r="K313" t="inlineStr">
        <is>
          <t>财务管理</t>
        </is>
      </c>
      <c r="L313" t="inlineStr">
        <is>
          <t>S8</t>
        </is>
      </c>
      <c r="N313" t="inlineStr">
        <is>
          <t>T2</t>
        </is>
      </c>
      <c r="Q313" t="inlineStr">
        <is>
          <t>G,G</t>
        </is>
      </c>
      <c r="U313" t="n">
        <v>50988.1</v>
      </c>
      <c r="V313" t="n">
        <v>0.083333</v>
      </c>
      <c r="W313" t="inlineStr">
        <is>
          <t>CNY</t>
        </is>
      </c>
      <c r="X313" t="n">
        <v>1</v>
      </c>
      <c r="Y313" t="n">
        <v>49630</v>
      </c>
      <c r="Z313" t="n">
        <v>0</v>
      </c>
      <c r="AA313" t="n">
        <v>101976.2</v>
      </c>
      <c r="AB313" t="n">
        <v>73390</v>
      </c>
      <c r="AC313" t="n">
        <v>0</v>
      </c>
      <c r="AF313" t="n">
        <v>0</v>
      </c>
      <c r="AG313" t="n">
        <v>175366.2</v>
      </c>
      <c r="AH313" t="n">
        <v>3.533471690509773</v>
      </c>
      <c r="AI313" t="n">
        <v>175366.2</v>
      </c>
      <c r="AJ313" t="n">
        <v>3.533471690509773</v>
      </c>
      <c r="AK313" t="n">
        <v>3.533471690509773</v>
      </c>
      <c r="AQ313" t="n">
        <v>175366.2</v>
      </c>
      <c r="AR313" t="n">
        <v>3.533471690509773</v>
      </c>
      <c r="AS313" t="n">
        <v>0.8834346741895671</v>
      </c>
      <c r="BL313" t="n">
        <v>1</v>
      </c>
      <c r="BM313" t="n">
        <v>43700</v>
      </c>
      <c r="BN313" t="n">
        <v>0</v>
      </c>
      <c r="BO313" t="n">
        <v>45675</v>
      </c>
      <c r="BP313" t="inlineStr">
        <is>
          <t>O,G</t>
        </is>
      </c>
      <c r="BQ313" t="inlineStr">
        <is>
          <t>T2</t>
        </is>
      </c>
      <c r="BR313" t="n">
        <v>198505</v>
      </c>
      <c r="BS313" t="n">
        <v>4.542448512585812</v>
      </c>
      <c r="BT313" t="n">
        <v>0</v>
      </c>
      <c r="BU313" t="n">
        <v>198505</v>
      </c>
      <c r="BV313" t="n">
        <v>4.542448512585812</v>
      </c>
      <c r="BY313" t="n">
        <v>198505</v>
      </c>
      <c r="BZ313" t="n">
        <v>4.542448512585812</v>
      </c>
      <c r="CP313" t="inlineStr">
        <is>
          <t>PCG财务管理</t>
        </is>
      </c>
      <c r="CQ313" t="inlineStr">
        <is>
          <t>3,3</t>
        </is>
      </c>
      <c r="CR313" t="n">
        <v>8</v>
      </c>
      <c r="CS313" t="inlineStr">
        <is>
          <t>T2</t>
        </is>
      </c>
      <c r="CT313" t="inlineStr">
        <is>
          <t>N</t>
        </is>
      </c>
    </row>
    <row r="314">
      <c r="A314" t="inlineStr">
        <is>
          <t>lukeXu(许建)</t>
        </is>
      </c>
      <c r="C314" t="n">
        <v>1877968</v>
      </c>
      <c r="D314" t="inlineStr">
        <is>
          <t>风险管理和内部控制</t>
        </is>
      </c>
      <c r="E314" t="inlineStr">
        <is>
          <t>SSV风控组</t>
        </is>
      </c>
      <c r="G314" t="inlineStr">
        <is>
          <t>S2职能系统－财经线/风险管理和内部控制/SSV风控组</t>
        </is>
      </c>
      <c r="H314" s="188" t="n">
        <v>42802</v>
      </c>
      <c r="I314" t="inlineStr">
        <is>
          <t>社会招聘</t>
        </is>
      </c>
      <c r="J314" t="inlineStr">
        <is>
          <t>财经类－FN</t>
        </is>
      </c>
      <c r="K314" t="inlineStr">
        <is>
          <t>风险管理</t>
        </is>
      </c>
      <c r="L314" t="inlineStr">
        <is>
          <t>S7</t>
        </is>
      </c>
      <c r="N314" t="inlineStr">
        <is>
          <t>T1</t>
        </is>
      </c>
      <c r="Q314" t="inlineStr">
        <is>
          <t>G,U</t>
        </is>
      </c>
      <c r="U314" t="n">
        <v>32120.3</v>
      </c>
      <c r="V314" t="n">
        <v>0.083333</v>
      </c>
      <c r="W314" t="inlineStr">
        <is>
          <t>CNY</t>
        </is>
      </c>
      <c r="X314" t="n">
        <v>1</v>
      </c>
      <c r="Y314" t="n">
        <v>29815.25</v>
      </c>
      <c r="Z314" t="n">
        <v>0</v>
      </c>
      <c r="AA314" t="n">
        <v>32120.3</v>
      </c>
      <c r="AB314" t="n">
        <v>69385</v>
      </c>
      <c r="AC314" t="n">
        <v>0</v>
      </c>
      <c r="AF314" t="n">
        <v>0</v>
      </c>
      <c r="AG314" t="n">
        <v>101505.3</v>
      </c>
      <c r="AH314" t="n">
        <v>3.404475897401498</v>
      </c>
      <c r="AI314" t="n">
        <v>101505.3</v>
      </c>
      <c r="AJ314" t="n">
        <v>3.404475897401498</v>
      </c>
      <c r="AK314" t="n">
        <v>3.404475897401498</v>
      </c>
      <c r="AQ314" t="n">
        <v>101505.3</v>
      </c>
      <c r="AR314" t="n">
        <v>3.404475897401498</v>
      </c>
      <c r="AS314" t="n">
        <v>0.7294667624865253</v>
      </c>
      <c r="BL314" t="n">
        <v>1</v>
      </c>
      <c r="BM314" t="n">
        <v>28640</v>
      </c>
      <c r="BN314" t="n">
        <v>0</v>
      </c>
      <c r="BO314" t="n">
        <v>29945</v>
      </c>
      <c r="BP314" t="inlineStr">
        <is>
          <t>G,G</t>
        </is>
      </c>
      <c r="BQ314" t="inlineStr">
        <is>
          <t>T1</t>
        </is>
      </c>
      <c r="BR314" t="n">
        <v>101670</v>
      </c>
      <c r="BS314" t="n">
        <v>3.549930167597765</v>
      </c>
      <c r="BT314" t="n">
        <v>37480</v>
      </c>
      <c r="BU314" t="n">
        <v>139150</v>
      </c>
      <c r="BV314" t="n">
        <v>4.85858938547486</v>
      </c>
      <c r="BY314" t="n">
        <v>139150</v>
      </c>
      <c r="BZ314" t="n">
        <v>4.85858938547486</v>
      </c>
      <c r="CP314" t="inlineStr">
        <is>
          <t>风险管理和内部控制</t>
        </is>
      </c>
      <c r="CQ314" t="inlineStr">
        <is>
          <t>3,1</t>
        </is>
      </c>
      <c r="CR314" t="n">
        <v>7</v>
      </c>
      <c r="CS314" t="inlineStr">
        <is>
          <t>T1</t>
        </is>
      </c>
      <c r="CT314" t="inlineStr">
        <is>
          <t>N</t>
        </is>
      </c>
    </row>
    <row r="315">
      <c r="A315" t="inlineStr">
        <is>
          <t>edwardFeng(冯海坚)</t>
        </is>
      </c>
      <c r="C315" t="n">
        <v>26891087</v>
      </c>
      <c r="D315" t="inlineStr">
        <is>
          <t>PCG财务管理</t>
        </is>
      </c>
      <c r="E315" t="inlineStr">
        <is>
          <t>PCG财务管理</t>
        </is>
      </c>
      <c r="G315" t="inlineStr">
        <is>
          <t>S2职能系统－财经线/PCG财务管理</t>
        </is>
      </c>
      <c r="H315" s="188" t="n">
        <v>42794</v>
      </c>
      <c r="I315" t="inlineStr">
        <is>
          <t>高校招聘</t>
        </is>
      </c>
      <c r="J315" t="inlineStr">
        <is>
          <t>财经类－FN</t>
        </is>
      </c>
      <c r="K315" t="inlineStr">
        <is>
          <t>财务管理</t>
        </is>
      </c>
      <c r="L315" t="inlineStr">
        <is>
          <t>S10</t>
        </is>
      </c>
      <c r="N315" t="inlineStr">
        <is>
          <t>T1#</t>
        </is>
      </c>
      <c r="Q315" t="inlineStr">
        <is>
          <t>O,U</t>
        </is>
      </c>
      <c r="U315" t="n">
        <v>48494.25</v>
      </c>
      <c r="V315" t="n">
        <v>0.083333</v>
      </c>
      <c r="W315" t="inlineStr">
        <is>
          <t>CNY</t>
        </is>
      </c>
      <c r="X315" t="n">
        <v>1</v>
      </c>
      <c r="Y315" t="n">
        <v>44076.12</v>
      </c>
      <c r="Z315" t="n">
        <v>0</v>
      </c>
      <c r="AA315" t="n">
        <v>96988.5</v>
      </c>
      <c r="AB315" t="n">
        <v>150235</v>
      </c>
      <c r="AC315" t="n">
        <v>0</v>
      </c>
      <c r="AF315" t="n">
        <v>0</v>
      </c>
      <c r="AG315" t="n">
        <v>247223.5</v>
      </c>
      <c r="AH315" t="n">
        <v>5.609012317781147</v>
      </c>
      <c r="AI315" t="n">
        <v>247223.5</v>
      </c>
      <c r="AJ315" t="n">
        <v>5.609012317781147</v>
      </c>
      <c r="AK315" t="n">
        <v>5.609012317781147</v>
      </c>
      <c r="AQ315" t="n">
        <v>247223.5</v>
      </c>
      <c r="AR315" t="n">
        <v>5.609012317781147</v>
      </c>
      <c r="AS315" t="n">
        <v>0.7187043039667428</v>
      </c>
      <c r="BL315" t="n">
        <v>1</v>
      </c>
      <c r="BM315" t="n">
        <v>42575</v>
      </c>
      <c r="BN315" t="n">
        <v>0</v>
      </c>
      <c r="BO315" t="n">
        <v>46690</v>
      </c>
      <c r="BP315" t="inlineStr">
        <is>
          <t>G,G</t>
        </is>
      </c>
      <c r="BQ315" t="inlineStr">
        <is>
          <t>T1#</t>
        </is>
      </c>
      <c r="BR315" t="n">
        <v>256260</v>
      </c>
      <c r="BS315" t="n">
        <v>6.019025249559601</v>
      </c>
      <c r="BT315" t="n">
        <v>87725</v>
      </c>
      <c r="BU315" t="n">
        <v>343985</v>
      </c>
      <c r="BV315" t="n">
        <v>8.079506752789195</v>
      </c>
      <c r="BY315" t="n">
        <v>343985</v>
      </c>
      <c r="BZ315" t="n">
        <v>8.079506752789195</v>
      </c>
      <c r="CP315" t="inlineStr">
        <is>
          <t>PCG财务管理</t>
        </is>
      </c>
      <c r="CQ315" t="inlineStr">
        <is>
          <t>5,1</t>
        </is>
      </c>
      <c r="CR315" t="n">
        <v>10</v>
      </c>
      <c r="CS315" t="inlineStr">
        <is>
          <t>T1#</t>
        </is>
      </c>
      <c r="CT315" t="inlineStr">
        <is>
          <t>N</t>
        </is>
      </c>
    </row>
    <row r="316">
      <c r="A316" t="inlineStr">
        <is>
          <t>skylarLong(龙敏涵)</t>
        </is>
      </c>
      <c r="C316" t="n">
        <v>19432524</v>
      </c>
      <c r="D316" t="inlineStr">
        <is>
          <t>资金管理</t>
        </is>
      </c>
      <c r="E316" t="inlineStr">
        <is>
          <t>资金管理</t>
        </is>
      </c>
      <c r="G316" t="inlineStr">
        <is>
          <t>S2职能系统－财经线/资金管理</t>
        </is>
      </c>
      <c r="H316" s="188" t="n">
        <v>41021</v>
      </c>
      <c r="I316" t="inlineStr">
        <is>
          <t>高校招聘</t>
        </is>
      </c>
      <c r="J316" t="inlineStr">
        <is>
          <t>财经类－FN</t>
        </is>
      </c>
      <c r="K316" t="inlineStr">
        <is>
          <t>资金管理</t>
        </is>
      </c>
      <c r="L316" t="inlineStr">
        <is>
          <t>S9</t>
        </is>
      </c>
      <c r="N316" t="inlineStr">
        <is>
          <t>T2</t>
        </is>
      </c>
      <c r="Q316" t="inlineStr">
        <is>
          <t>G,O</t>
        </is>
      </c>
      <c r="U316" t="n">
        <v>56970.7</v>
      </c>
      <c r="V316" t="n">
        <v>0.083333</v>
      </c>
      <c r="W316" t="inlineStr">
        <is>
          <t>CNY</t>
        </is>
      </c>
      <c r="X316" t="n">
        <v>1</v>
      </c>
      <c r="Y316" t="n">
        <v>56342.47</v>
      </c>
      <c r="Z316" t="n">
        <v>0</v>
      </c>
      <c r="AA316" t="n">
        <v>170912.1</v>
      </c>
      <c r="AB316" t="n">
        <v>81125</v>
      </c>
      <c r="AC316" t="n">
        <v>0</v>
      </c>
      <c r="AF316" t="n">
        <v>0</v>
      </c>
      <c r="AG316" t="n">
        <v>252037.1</v>
      </c>
      <c r="AH316" t="n">
        <v>4.473305838384437</v>
      </c>
      <c r="AI316" t="n">
        <v>252037.1</v>
      </c>
      <c r="AJ316" t="n">
        <v>4.473305838384437</v>
      </c>
      <c r="AK316" t="n">
        <v>4.473305838384437</v>
      </c>
      <c r="AQ316" t="n">
        <v>252037.1</v>
      </c>
      <c r="AR316" t="n">
        <v>4.473305838384437</v>
      </c>
      <c r="AS316" t="n">
        <v>2.054426964460385</v>
      </c>
      <c r="BL316" t="n">
        <v>1</v>
      </c>
      <c r="BM316" t="n">
        <v>49315</v>
      </c>
      <c r="BN316" t="n">
        <v>0</v>
      </c>
      <c r="BO316" t="n">
        <v>52480</v>
      </c>
      <c r="BP316" t="inlineStr">
        <is>
          <t>G,U</t>
        </is>
      </c>
      <c r="BQ316" t="inlineStr">
        <is>
          <t>T2</t>
        </is>
      </c>
      <c r="BR316" t="n">
        <v>122680</v>
      </c>
      <c r="BS316" t="n">
        <v>2.487681232890601</v>
      </c>
      <c r="BT316" t="n">
        <v>0</v>
      </c>
      <c r="BU316" t="n">
        <v>122680</v>
      </c>
      <c r="BV316" t="n">
        <v>2.487681232890601</v>
      </c>
      <c r="BY316" t="n">
        <v>122680</v>
      </c>
      <c r="BZ316" t="n">
        <v>2.487681232890601</v>
      </c>
      <c r="CP316" t="inlineStr">
        <is>
          <t>资金管理</t>
        </is>
      </c>
      <c r="CQ316" t="inlineStr">
        <is>
          <t>5,3</t>
        </is>
      </c>
      <c r="CR316" t="n">
        <v>9</v>
      </c>
      <c r="CS316" t="inlineStr">
        <is>
          <t>T2</t>
        </is>
      </c>
      <c r="CT316" t="inlineStr">
        <is>
          <t>N</t>
        </is>
      </c>
    </row>
    <row r="317">
      <c r="A317" t="inlineStr">
        <is>
          <t>oscarHao(郝亮)</t>
        </is>
      </c>
      <c r="C317" t="n">
        <v>12721466</v>
      </c>
      <c r="D317" t="inlineStr">
        <is>
          <t>税务部</t>
        </is>
      </c>
      <c r="E317" t="inlineStr">
        <is>
          <t>印章及文档管理组</t>
        </is>
      </c>
      <c r="G317" t="inlineStr">
        <is>
          <t>S2职能系统－财经线/税务部/印章及文档管理组</t>
        </is>
      </c>
      <c r="H317" s="188" t="n">
        <v>43747</v>
      </c>
      <c r="I317" t="inlineStr">
        <is>
          <t>社会招聘</t>
        </is>
      </c>
      <c r="J317" t="inlineStr">
        <is>
          <t>财经类－FN</t>
        </is>
      </c>
      <c r="K317" t="inlineStr">
        <is>
          <t>税务</t>
        </is>
      </c>
      <c r="L317" t="inlineStr">
        <is>
          <t>S8</t>
        </is>
      </c>
      <c r="N317" t="inlineStr">
        <is>
          <t>T2</t>
        </is>
      </c>
      <c r="Q317" t="inlineStr">
        <is>
          <t>O,G</t>
        </is>
      </c>
      <c r="U317" t="n">
        <v>35466.2</v>
      </c>
      <c r="V317" t="n">
        <v>0.083333</v>
      </c>
      <c r="W317" t="inlineStr">
        <is>
          <t>CNY</t>
        </is>
      </c>
      <c r="X317" t="n">
        <v>1</v>
      </c>
      <c r="Y317" t="n">
        <v>33268.87</v>
      </c>
      <c r="Z317" t="n">
        <v>0</v>
      </c>
      <c r="AA317" t="n">
        <v>106398.6</v>
      </c>
      <c r="AB317" t="n">
        <v>40285</v>
      </c>
      <c r="AC317" t="n">
        <v>0</v>
      </c>
      <c r="AF317" t="n">
        <v>0</v>
      </c>
      <c r="AG317" t="n">
        <v>146683.6</v>
      </c>
      <c r="AH317" t="n">
        <v>4.409034632074969</v>
      </c>
      <c r="AI317" t="n">
        <v>146683.6</v>
      </c>
      <c r="AJ317" t="n">
        <v>4.409034632074969</v>
      </c>
      <c r="AK317" t="n">
        <v>4.409034632074969</v>
      </c>
      <c r="AQ317" t="n">
        <v>146683.6</v>
      </c>
      <c r="AR317" t="n">
        <v>4.409034632074969</v>
      </c>
      <c r="AS317" t="n">
        <v>1.415318409880355</v>
      </c>
      <c r="BL317" t="n">
        <v>1</v>
      </c>
      <c r="BM317" t="n">
        <v>30205</v>
      </c>
      <c r="BN317" t="n">
        <v>0</v>
      </c>
      <c r="BO317" t="n">
        <v>30720</v>
      </c>
      <c r="BP317" t="inlineStr">
        <is>
          <t>G,G</t>
        </is>
      </c>
      <c r="BQ317" t="inlineStr">
        <is>
          <t>T2</t>
        </is>
      </c>
      <c r="BR317" t="n">
        <v>103640</v>
      </c>
      <c r="BS317" t="n">
        <v>3.43121999668929</v>
      </c>
      <c r="BT317" t="n">
        <v>0</v>
      </c>
      <c r="BU317" t="n">
        <v>103640</v>
      </c>
      <c r="BV317" t="n">
        <v>3.43121999668929</v>
      </c>
      <c r="BY317" t="n">
        <v>103640</v>
      </c>
      <c r="BZ317" t="n">
        <v>3.43121999668929</v>
      </c>
      <c r="CP317" t="inlineStr">
        <is>
          <t>税务部</t>
        </is>
      </c>
      <c r="CQ317" t="inlineStr">
        <is>
          <t>5,3</t>
        </is>
      </c>
      <c r="CR317" t="n">
        <v>8</v>
      </c>
      <c r="CS317" t="inlineStr">
        <is>
          <t>T2</t>
        </is>
      </c>
      <c r="CT317" t="inlineStr">
        <is>
          <t>N</t>
        </is>
      </c>
    </row>
    <row r="318">
      <c r="A318" t="inlineStr">
        <is>
          <t>larryDai(戴浩)</t>
        </is>
      </c>
      <c r="C318" t="n">
        <v>33305735</v>
      </c>
      <c r="D318" t="inlineStr">
        <is>
          <t>IEG财务管理</t>
        </is>
      </c>
      <c r="E318" t="inlineStr">
        <is>
          <t>自研财务管理组</t>
        </is>
      </c>
      <c r="G318" t="inlineStr">
        <is>
          <t>S2职能系统－财经线/IEG财务管理/自研财务管理组</t>
        </is>
      </c>
      <c r="H318" s="188" t="n">
        <v>45396</v>
      </c>
      <c r="I318" t="inlineStr">
        <is>
          <t>高校招聘</t>
        </is>
      </c>
      <c r="J318" t="inlineStr">
        <is>
          <t>财经类－FN</t>
        </is>
      </c>
      <c r="K318" t="inlineStr">
        <is>
          <t>财务管理</t>
        </is>
      </c>
      <c r="L318" t="inlineStr">
        <is>
          <t>S6</t>
        </is>
      </c>
      <c r="N318" t="inlineStr">
        <is>
          <t>T1#</t>
        </is>
      </c>
      <c r="Q318" t="inlineStr">
        <is>
          <t>G,G</t>
        </is>
      </c>
      <c r="U318" t="n">
        <v>27824.45</v>
      </c>
      <c r="V318" t="n">
        <v>0.083333</v>
      </c>
      <c r="W318" t="inlineStr">
        <is>
          <t>CNY</t>
        </is>
      </c>
      <c r="X318" t="n">
        <v>0.715068</v>
      </c>
      <c r="Y318" t="n">
        <v>27024.8</v>
      </c>
      <c r="Z318" t="n">
        <v>0</v>
      </c>
      <c r="AA318" t="n">
        <v>19896.37</v>
      </c>
      <c r="AB318" t="n">
        <v>0</v>
      </c>
      <c r="AC318" t="n">
        <v>0</v>
      </c>
      <c r="AF318" t="n">
        <v>0</v>
      </c>
      <c r="AG318" t="n">
        <v>19896.37</v>
      </c>
      <c r="AH318" t="n">
        <v>0.7362263550516562</v>
      </c>
      <c r="AI318" t="n">
        <v>19896.37</v>
      </c>
      <c r="AJ318" t="n">
        <v>0.7362263550516562</v>
      </c>
      <c r="AK318" t="n">
        <v>0.7362263550516562</v>
      </c>
      <c r="AQ318" t="n">
        <v>19896.37</v>
      </c>
      <c r="AR318" t="n">
        <v>0.7362263550516562</v>
      </c>
      <c r="BM318" t="n">
        <v>0</v>
      </c>
      <c r="BN318" t="n">
        <v>0</v>
      </c>
      <c r="BO318" t="n">
        <v>0</v>
      </c>
      <c r="BR318" t="n">
        <v>0</v>
      </c>
      <c r="BT318" t="n">
        <v>0</v>
      </c>
      <c r="BU318" t="n">
        <v>0</v>
      </c>
      <c r="BY318" t="n">
        <v>0</v>
      </c>
      <c r="CP318" t="inlineStr">
        <is>
          <t>IEG财务管理</t>
        </is>
      </c>
      <c r="CQ318" t="inlineStr">
        <is>
          <t>3,3</t>
        </is>
      </c>
      <c r="CR318" t="n">
        <v>6</v>
      </c>
      <c r="CS318" t="inlineStr">
        <is>
          <t>T1#</t>
        </is>
      </c>
      <c r="CT318" t="inlineStr">
        <is>
          <t>N</t>
        </is>
      </c>
    </row>
    <row r="319">
      <c r="A319" t="inlineStr">
        <is>
          <t>samuelFan(范嘉旭)</t>
        </is>
      </c>
      <c r="C319" t="n">
        <v>35869871</v>
      </c>
      <c r="D319" t="inlineStr">
        <is>
          <t>董事会办公室</t>
        </is>
      </c>
      <c r="E319" t="inlineStr">
        <is>
          <t>董事会办公室</t>
        </is>
      </c>
      <c r="G319" t="inlineStr">
        <is>
          <t>S2职能系统－财经线/董事会办公室</t>
        </is>
      </c>
      <c r="H319" s="188" t="n">
        <v>37699</v>
      </c>
      <c r="I319" t="inlineStr">
        <is>
          <t>社会招聘</t>
        </is>
      </c>
      <c r="J319" t="inlineStr">
        <is>
          <t>财经类－FN</t>
        </is>
      </c>
      <c r="K319" t="inlineStr">
        <is>
          <t>公司秘书</t>
        </is>
      </c>
      <c r="L319" t="inlineStr">
        <is>
          <t>S5</t>
        </is>
      </c>
      <c r="N319" t="inlineStr">
        <is>
          <t>T1</t>
        </is>
      </c>
      <c r="Q319" t="inlineStr">
        <is>
          <t>G,G</t>
        </is>
      </c>
      <c r="U319" t="n">
        <v>32468.8</v>
      </c>
      <c r="V319" t="n">
        <v>0.083333</v>
      </c>
      <c r="W319" t="inlineStr">
        <is>
          <t>CNY</t>
        </is>
      </c>
      <c r="X319" t="n">
        <v>1</v>
      </c>
      <c r="Y319" t="n">
        <v>29944.65</v>
      </c>
      <c r="Z319" t="n">
        <v>0</v>
      </c>
      <c r="AA319" t="n">
        <v>64937.6</v>
      </c>
      <c r="AB319" t="n">
        <v>72380</v>
      </c>
      <c r="AC319" t="n">
        <v>61695</v>
      </c>
      <c r="AF319" t="n">
        <v>0</v>
      </c>
      <c r="AG319" t="n">
        <v>199012.6</v>
      </c>
      <c r="AH319" t="n">
        <v>6.646015231435332</v>
      </c>
      <c r="AI319" t="n">
        <v>199012.6</v>
      </c>
      <c r="AJ319" t="n">
        <v>6.646015231435332</v>
      </c>
      <c r="AK319" t="n">
        <v>4.585713975618349</v>
      </c>
      <c r="AQ319" t="n">
        <v>199012.6</v>
      </c>
      <c r="AR319" t="n">
        <v>6.646015231435332</v>
      </c>
      <c r="AS319" t="n">
        <v>1.607013888888889</v>
      </c>
      <c r="BL319" t="n">
        <v>1</v>
      </c>
      <c r="BM319" t="n">
        <v>26585</v>
      </c>
      <c r="BN319" t="n">
        <v>0</v>
      </c>
      <c r="BO319" t="n">
        <v>26700</v>
      </c>
      <c r="BP319" t="inlineStr">
        <is>
          <t>G,G</t>
        </is>
      </c>
      <c r="BQ319" t="inlineStr">
        <is>
          <t>T1</t>
        </is>
      </c>
      <c r="BR319" t="n">
        <v>88995</v>
      </c>
      <c r="BS319" t="n">
        <v>3.347564416024074</v>
      </c>
      <c r="BT319" t="n">
        <v>34845</v>
      </c>
      <c r="BU319" t="n">
        <v>123840</v>
      </c>
      <c r="BV319" t="n">
        <v>4.658265939439533</v>
      </c>
      <c r="BY319" t="n">
        <v>123840</v>
      </c>
      <c r="BZ319" t="n">
        <v>4.658265939439533</v>
      </c>
      <c r="CP319" t="inlineStr">
        <is>
          <t>董事会办公室</t>
        </is>
      </c>
      <c r="CQ319" t="inlineStr">
        <is>
          <t>3,3</t>
        </is>
      </c>
      <c r="CR319" t="n">
        <v>5</v>
      </c>
      <c r="CS319" t="inlineStr">
        <is>
          <t>T1</t>
        </is>
      </c>
      <c r="CT319" t="inlineStr">
        <is>
          <t>N</t>
        </is>
      </c>
    </row>
    <row r="320">
      <c r="A320" t="inlineStr">
        <is>
          <t>susanHan(韩洁)</t>
        </is>
      </c>
      <c r="C320" t="n">
        <v>39092376</v>
      </c>
      <c r="D320" t="inlineStr">
        <is>
          <t>CSIG财务管理</t>
        </is>
      </c>
      <c r="E320" t="inlineStr">
        <is>
          <t>综合财务管理中心</t>
        </is>
      </c>
      <c r="G320" t="inlineStr">
        <is>
          <t>S2职能系统－财经线/CSIG财务管理/综合财务管理中心</t>
        </is>
      </c>
      <c r="H320" s="188" t="n">
        <v>36815</v>
      </c>
      <c r="I320" t="inlineStr">
        <is>
          <t>高校招聘</t>
        </is>
      </c>
      <c r="J320" t="inlineStr">
        <is>
          <t>财经类－FN</t>
        </is>
      </c>
      <c r="K320" t="inlineStr">
        <is>
          <t>财务管理</t>
        </is>
      </c>
      <c r="L320" t="inlineStr">
        <is>
          <t>S8</t>
        </is>
      </c>
      <c r="N320" t="inlineStr">
        <is>
          <t>Others</t>
        </is>
      </c>
      <c r="Q320" t="inlineStr">
        <is>
          <t>G,G</t>
        </is>
      </c>
      <c r="U320" t="n">
        <v>29787.2</v>
      </c>
      <c r="V320" t="n">
        <v>0.083333</v>
      </c>
      <c r="W320" t="inlineStr">
        <is>
          <t>CNY</t>
        </is>
      </c>
      <c r="X320" t="n">
        <v>1</v>
      </c>
      <c r="Y320" t="n">
        <v>26815.62</v>
      </c>
      <c r="Z320" t="n">
        <v>0</v>
      </c>
      <c r="AA320" t="n">
        <v>59574.4</v>
      </c>
      <c r="AB320" t="n">
        <v>18170</v>
      </c>
      <c r="AC320" t="n">
        <v>0</v>
      </c>
      <c r="AF320" t="n">
        <v>0</v>
      </c>
      <c r="AG320" t="n">
        <v>77744.39999999999</v>
      </c>
      <c r="AH320" t="n">
        <v>2.899220678097318</v>
      </c>
      <c r="AI320" t="n">
        <v>77744.39999999999</v>
      </c>
      <c r="AJ320" t="n">
        <v>2.899220678097318</v>
      </c>
      <c r="AK320" t="n">
        <v>2.899220678097318</v>
      </c>
      <c r="AQ320" t="n">
        <v>77744.39999999999</v>
      </c>
      <c r="AR320" t="n">
        <v>2.899220678097318</v>
      </c>
      <c r="AS320" t="n">
        <v>1.352900026102845</v>
      </c>
      <c r="BL320" t="n">
        <v>1</v>
      </c>
      <c r="BM320" t="n">
        <v>25770</v>
      </c>
      <c r="BN320" t="n">
        <v>0</v>
      </c>
      <c r="BO320" t="n">
        <v>26720</v>
      </c>
      <c r="BP320" t="inlineStr">
        <is>
          <t>U,G</t>
        </is>
      </c>
      <c r="BQ320" t="inlineStr">
        <is>
          <t>Others</t>
        </is>
      </c>
      <c r="BR320" t="n">
        <v>57465</v>
      </c>
      <c r="BS320" t="n">
        <v>2.229918509895227</v>
      </c>
      <c r="BT320" t="n">
        <v>0</v>
      </c>
      <c r="BU320" t="n">
        <v>57465</v>
      </c>
      <c r="BV320" t="n">
        <v>2.229918509895227</v>
      </c>
      <c r="BY320" t="n">
        <v>57465</v>
      </c>
      <c r="BZ320" t="n">
        <v>2.229918509895227</v>
      </c>
      <c r="CP320" t="inlineStr">
        <is>
          <t>CSIG财务管理</t>
        </is>
      </c>
      <c r="CQ320" t="inlineStr">
        <is>
          <t>3,3</t>
        </is>
      </c>
      <c r="CR320" t="n">
        <v>8</v>
      </c>
      <c r="CS320" t="inlineStr">
        <is>
          <t>Others</t>
        </is>
      </c>
      <c r="CT320" t="inlineStr">
        <is>
          <t>N</t>
        </is>
      </c>
    </row>
    <row r="321">
      <c r="A321" t="inlineStr">
        <is>
          <t>blakeGu(顾彪)</t>
        </is>
      </c>
      <c r="C321" t="n">
        <v>60040885</v>
      </c>
      <c r="D321" t="inlineStr">
        <is>
          <t>PCG财务管理</t>
        </is>
      </c>
      <c r="E321" t="inlineStr">
        <is>
          <t>在线视频财务管理中心</t>
        </is>
      </c>
      <c r="G321" t="inlineStr">
        <is>
          <t>S2职能系统－财经线/PCG财务管理/在线视频财务管理中心</t>
        </is>
      </c>
      <c r="H321" s="188" t="n">
        <v>37644</v>
      </c>
      <c r="I321" t="inlineStr">
        <is>
          <t>社会招聘</t>
        </is>
      </c>
      <c r="J321" t="inlineStr">
        <is>
          <t>财经类－FN</t>
        </is>
      </c>
      <c r="K321" t="inlineStr">
        <is>
          <t>财务管理</t>
        </is>
      </c>
      <c r="L321" t="inlineStr">
        <is>
          <t>S8</t>
        </is>
      </c>
      <c r="N321" t="inlineStr">
        <is>
          <t>T1</t>
        </is>
      </c>
      <c r="Q321" t="inlineStr">
        <is>
          <t>G,O</t>
        </is>
      </c>
      <c r="U321" t="n">
        <v>40054.9</v>
      </c>
      <c r="V321" t="n">
        <v>0.083333</v>
      </c>
      <c r="W321" t="inlineStr">
        <is>
          <t>CNY</t>
        </is>
      </c>
      <c r="X321" t="n">
        <v>1</v>
      </c>
      <c r="Y321" t="n">
        <v>37428.78</v>
      </c>
      <c r="Z321" t="n">
        <v>0</v>
      </c>
      <c r="AA321" t="n">
        <v>120164.7</v>
      </c>
      <c r="AB321" t="n">
        <v>95450</v>
      </c>
      <c r="AC321" t="n">
        <v>76635</v>
      </c>
      <c r="AF321" t="n">
        <v>0</v>
      </c>
      <c r="AG321" t="n">
        <v>292249.7</v>
      </c>
      <c r="AH321" t="n">
        <v>7.808154580512643</v>
      </c>
      <c r="AI321" t="n">
        <v>292249.7</v>
      </c>
      <c r="AJ321" t="n">
        <v>7.808154580512643</v>
      </c>
      <c r="AK321" t="n">
        <v>5.760665990181887</v>
      </c>
      <c r="AQ321" t="n">
        <v>292249.7</v>
      </c>
      <c r="AR321" t="n">
        <v>7.808154580512643</v>
      </c>
      <c r="AS321" t="n">
        <v>1.623744756507487</v>
      </c>
      <c r="BL321" t="n">
        <v>1</v>
      </c>
      <c r="BM321" t="n">
        <v>33470</v>
      </c>
      <c r="BN321" t="n">
        <v>0</v>
      </c>
      <c r="BO321" t="n">
        <v>35490</v>
      </c>
      <c r="BP321" t="inlineStr">
        <is>
          <t>G,G</t>
        </is>
      </c>
      <c r="BQ321" t="inlineStr">
        <is>
          <t>T1</t>
        </is>
      </c>
      <c r="BR321" t="n">
        <v>122375</v>
      </c>
      <c r="BS321" t="n">
        <v>3.65625933671945</v>
      </c>
      <c r="BT321" t="n">
        <v>57610</v>
      </c>
      <c r="BU321" t="n">
        <v>179985</v>
      </c>
      <c r="BV321" t="n">
        <v>5.377502240812668</v>
      </c>
      <c r="BY321" t="n">
        <v>179985</v>
      </c>
      <c r="BZ321" t="n">
        <v>5.377502240812668</v>
      </c>
      <c r="CP321" t="inlineStr">
        <is>
          <t>PCG财务管理</t>
        </is>
      </c>
      <c r="CQ321" t="inlineStr">
        <is>
          <t>5,3</t>
        </is>
      </c>
      <c r="CR321" t="n">
        <v>8</v>
      </c>
      <c r="CS321" t="inlineStr">
        <is>
          <t>T1</t>
        </is>
      </c>
      <c r="CT321" t="inlineStr">
        <is>
          <t>N</t>
        </is>
      </c>
    </row>
    <row r="322">
      <c r="A322" t="inlineStr">
        <is>
          <t>markDuan(段鹏)</t>
        </is>
      </c>
      <c r="C322" t="n">
        <v>97851109</v>
      </c>
      <c r="D322" t="inlineStr">
        <is>
          <t>风险管理和内部控制</t>
        </is>
      </c>
      <c r="E322" t="inlineStr">
        <is>
          <t>WXG风控中心</t>
        </is>
      </c>
      <c r="G322" t="inlineStr">
        <is>
          <t>S2职能系统－财经线/风险管理和内部控制/WXG风控中心</t>
        </is>
      </c>
      <c r="H322" s="188" t="n">
        <v>44367</v>
      </c>
      <c r="I322" t="inlineStr">
        <is>
          <t>社会招聘</t>
        </is>
      </c>
      <c r="J322" t="inlineStr">
        <is>
          <t>财经类－FN</t>
        </is>
      </c>
      <c r="K322" t="inlineStr">
        <is>
          <t>风险管理</t>
        </is>
      </c>
      <c r="L322" t="inlineStr">
        <is>
          <t>S11</t>
        </is>
      </c>
      <c r="N322" t="inlineStr">
        <is>
          <t>T1#</t>
        </is>
      </c>
      <c r="Q322" t="inlineStr">
        <is>
          <t>G,G</t>
        </is>
      </c>
      <c r="U322" t="n">
        <v>50547.6</v>
      </c>
      <c r="V322" t="n">
        <v>0.083333</v>
      </c>
      <c r="W322" t="inlineStr">
        <is>
          <t>CNY</t>
        </is>
      </c>
      <c r="X322" t="n">
        <v>1</v>
      </c>
      <c r="Y322" t="n">
        <v>45771.13</v>
      </c>
      <c r="Z322" t="n">
        <v>0</v>
      </c>
      <c r="AA322" t="n">
        <v>101095.2</v>
      </c>
      <c r="AB322" t="n">
        <v>169025</v>
      </c>
      <c r="AC322" t="n">
        <v>73395</v>
      </c>
      <c r="AF322" t="n">
        <v>0</v>
      </c>
      <c r="AG322" t="n">
        <v>343515.2</v>
      </c>
      <c r="AH322" t="n">
        <v>7.50506268907934</v>
      </c>
      <c r="AI322" t="n">
        <v>343515.2</v>
      </c>
      <c r="AJ322" t="n">
        <v>7.50506268907934</v>
      </c>
      <c r="AK322" t="n">
        <v>5.901540993198115</v>
      </c>
      <c r="AQ322" t="n">
        <v>343515.2</v>
      </c>
      <c r="AR322" t="n">
        <v>7.50506268907934</v>
      </c>
      <c r="AS322" t="n">
        <v>1.0296909565061</v>
      </c>
      <c r="BL322" t="n">
        <v>1</v>
      </c>
      <c r="BM322" t="n">
        <v>44645</v>
      </c>
      <c r="BN322" t="n">
        <v>0</v>
      </c>
      <c r="BO322" t="n">
        <v>47195</v>
      </c>
      <c r="BP322" t="inlineStr">
        <is>
          <t>G,G</t>
        </is>
      </c>
      <c r="BQ322" t="inlineStr">
        <is>
          <t>T1#</t>
        </is>
      </c>
      <c r="BR322" t="n">
        <v>242640</v>
      </c>
      <c r="BS322" t="n">
        <v>5.434875125993952</v>
      </c>
      <c r="BT322" t="n">
        <v>90970</v>
      </c>
      <c r="BU322" t="n">
        <v>333610</v>
      </c>
      <c r="BV322" t="n">
        <v>7.472505319744652</v>
      </c>
      <c r="BY322" t="n">
        <v>333610</v>
      </c>
      <c r="BZ322" t="n">
        <v>7.472505319744652</v>
      </c>
      <c r="CP322" t="inlineStr">
        <is>
          <t>风险管理和内部控制</t>
        </is>
      </c>
      <c r="CQ322" t="inlineStr">
        <is>
          <t>3,3</t>
        </is>
      </c>
      <c r="CR322" t="n">
        <v>11</v>
      </c>
      <c r="CS322" t="inlineStr">
        <is>
          <t>T1#</t>
        </is>
      </c>
      <c r="CT322" t="inlineStr">
        <is>
          <t>N</t>
        </is>
      </c>
    </row>
    <row r="323">
      <c r="A323" t="inlineStr">
        <is>
          <t>davidCao(曹胜轩)</t>
        </is>
      </c>
      <c r="C323" t="n">
        <v>91466340</v>
      </c>
      <c r="D323" t="inlineStr">
        <is>
          <t>基建财务管理</t>
        </is>
      </c>
      <c r="E323" t="inlineStr">
        <is>
          <t>基建财务管理</t>
        </is>
      </c>
      <c r="G323" t="inlineStr">
        <is>
          <t>S2职能系统－财经线/基建财务管理</t>
        </is>
      </c>
      <c r="H323" s="188" t="n">
        <v>43741</v>
      </c>
      <c r="I323" t="inlineStr">
        <is>
          <t>社会招聘</t>
        </is>
      </c>
      <c r="J323" t="inlineStr">
        <is>
          <t>财经类－FN</t>
        </is>
      </c>
      <c r="K323" t="inlineStr">
        <is>
          <t>财务管理</t>
        </is>
      </c>
      <c r="L323" t="inlineStr">
        <is>
          <t>S6</t>
        </is>
      </c>
      <c r="N323" t="inlineStr">
        <is>
          <t>T1</t>
        </is>
      </c>
      <c r="Q323" t="inlineStr">
        <is>
          <t>G,G</t>
        </is>
      </c>
      <c r="U323" t="n">
        <v>33531.05</v>
      </c>
      <c r="V323" t="n">
        <v>0.083333</v>
      </c>
      <c r="W323" t="inlineStr">
        <is>
          <t>CNY</t>
        </is>
      </c>
      <c r="X323" t="n">
        <v>1</v>
      </c>
      <c r="Y323" t="n">
        <v>31470.69</v>
      </c>
      <c r="Z323" t="n">
        <v>0</v>
      </c>
      <c r="AA323" t="n">
        <v>67062.10000000001</v>
      </c>
      <c r="AB323" t="n">
        <v>77165</v>
      </c>
      <c r="AC323" t="n">
        <v>61535</v>
      </c>
      <c r="AF323" t="n">
        <v>0</v>
      </c>
      <c r="AG323" t="n">
        <v>205762.1</v>
      </c>
      <c r="AH323" t="n">
        <v>6.538213811009546</v>
      </c>
      <c r="AI323" t="n">
        <v>205762.1</v>
      </c>
      <c r="AJ323" t="n">
        <v>6.538213811009546</v>
      </c>
      <c r="AK323" t="n">
        <v>4.582902376782969</v>
      </c>
      <c r="AQ323" t="n">
        <v>205762.1</v>
      </c>
      <c r="AR323" t="n">
        <v>6.538213811009546</v>
      </c>
      <c r="AS323" t="n">
        <v>2.135015304798963</v>
      </c>
      <c r="BL323" t="n">
        <v>1</v>
      </c>
      <c r="BM323" t="n">
        <v>28160</v>
      </c>
      <c r="BN323" t="n">
        <v>0</v>
      </c>
      <c r="BO323" t="n">
        <v>30625</v>
      </c>
      <c r="BP323" t="inlineStr">
        <is>
          <t>G,G</t>
        </is>
      </c>
      <c r="BQ323" t="inlineStr">
        <is>
          <t>T2</t>
        </is>
      </c>
      <c r="BR323" t="n">
        <v>96375</v>
      </c>
      <c r="BS323" t="n">
        <v>3.422407670454545</v>
      </c>
      <c r="BT323" t="n">
        <v>0</v>
      </c>
      <c r="BU323" t="n">
        <v>96375</v>
      </c>
      <c r="BV323" t="n">
        <v>3.422407670454545</v>
      </c>
      <c r="BY323" t="n">
        <v>96375</v>
      </c>
      <c r="BZ323" t="n">
        <v>3.422407670454545</v>
      </c>
      <c r="CP323" t="inlineStr">
        <is>
          <t>基建财务管理</t>
        </is>
      </c>
      <c r="CQ323" t="inlineStr">
        <is>
          <t>3,3</t>
        </is>
      </c>
      <c r="CR323" t="n">
        <v>6</v>
      </c>
      <c r="CS323" t="inlineStr">
        <is>
          <t>T1</t>
        </is>
      </c>
      <c r="CT323" t="inlineStr">
        <is>
          <t>N</t>
        </is>
      </c>
    </row>
    <row r="324">
      <c r="A324" t="inlineStr">
        <is>
          <t>avaHan(韩姗姗)</t>
        </is>
      </c>
      <c r="C324" t="n">
        <v>4260493</v>
      </c>
      <c r="D324" t="inlineStr">
        <is>
          <t>FiT财务管理</t>
        </is>
      </c>
      <c r="E324" t="inlineStr">
        <is>
          <t>业务支持与分析中心</t>
        </is>
      </c>
      <c r="G324" t="inlineStr">
        <is>
          <t>S2职能系统－财经线/FiT财务管理/业务支持与分析中心</t>
        </is>
      </c>
      <c r="H324" s="188" t="n">
        <v>43914</v>
      </c>
      <c r="I324" t="inlineStr">
        <is>
          <t>社会招聘</t>
        </is>
      </c>
      <c r="J324" t="inlineStr">
        <is>
          <t>财经类－FN</t>
        </is>
      </c>
      <c r="K324" t="inlineStr">
        <is>
          <t>财务管理</t>
        </is>
      </c>
      <c r="L324" t="inlineStr">
        <is>
          <t>S5</t>
        </is>
      </c>
      <c r="N324" t="inlineStr">
        <is>
          <t>T1</t>
        </is>
      </c>
      <c r="Q324" t="inlineStr">
        <is>
          <t>O,G</t>
        </is>
      </c>
      <c r="U324" t="n">
        <v>24763.55</v>
      </c>
      <c r="V324" t="n">
        <v>0.083333</v>
      </c>
      <c r="W324" t="inlineStr">
        <is>
          <t>CNY</t>
        </is>
      </c>
      <c r="X324" t="n">
        <v>1</v>
      </c>
      <c r="Y324" t="n">
        <v>23317.64</v>
      </c>
      <c r="Z324" t="n">
        <v>0</v>
      </c>
      <c r="AA324" t="n">
        <v>74290.64999999999</v>
      </c>
      <c r="AB324" t="n">
        <v>49565</v>
      </c>
      <c r="AC324" t="n">
        <v>27985</v>
      </c>
      <c r="AF324" t="n">
        <v>0</v>
      </c>
      <c r="AG324" t="n">
        <v>151840.65</v>
      </c>
      <c r="AH324" t="n">
        <v>6.51183610348217</v>
      </c>
      <c r="AI324" t="n">
        <v>151840.65</v>
      </c>
      <c r="AJ324" t="n">
        <v>6.51183610348217</v>
      </c>
      <c r="AK324" t="n">
        <v>5.311671764380958</v>
      </c>
      <c r="AQ324" t="n">
        <v>151840.65</v>
      </c>
      <c r="AR324" t="n">
        <v>6.51183610348217</v>
      </c>
      <c r="AS324" t="n">
        <v>1.300061218374074</v>
      </c>
      <c r="BL324" t="n">
        <v>1</v>
      </c>
      <c r="BM324" t="n">
        <v>22225</v>
      </c>
      <c r="BN324" t="n">
        <v>0</v>
      </c>
      <c r="BO324" t="n">
        <v>23320</v>
      </c>
      <c r="BP324" t="inlineStr">
        <is>
          <t>G,G</t>
        </is>
      </c>
      <c r="BQ324" t="inlineStr">
        <is>
          <t>T1</t>
        </is>
      </c>
      <c r="BR324" t="n">
        <v>71700</v>
      </c>
      <c r="BS324" t="n">
        <v>3.226096737907762</v>
      </c>
      <c r="BT324" t="n">
        <v>45095</v>
      </c>
      <c r="BU324" t="n">
        <v>116795</v>
      </c>
      <c r="BV324" t="n">
        <v>5.255118110236221</v>
      </c>
      <c r="BY324" t="n">
        <v>116795</v>
      </c>
      <c r="BZ324" t="n">
        <v>5.255118110236221</v>
      </c>
      <c r="CP324" t="inlineStr">
        <is>
          <t>FiT财务管理</t>
        </is>
      </c>
      <c r="CQ324" t="inlineStr">
        <is>
          <t>5,3</t>
        </is>
      </c>
      <c r="CR324" t="n">
        <v>5</v>
      </c>
      <c r="CS324" t="inlineStr">
        <is>
          <t>T1</t>
        </is>
      </c>
      <c r="CT324" t="inlineStr">
        <is>
          <t>N</t>
        </is>
      </c>
    </row>
    <row r="325">
      <c r="A325" t="inlineStr">
        <is>
          <t>oliviaYan(阎艳)</t>
        </is>
      </c>
      <c r="C325" t="n">
        <v>93041506</v>
      </c>
      <c r="D325" t="inlineStr">
        <is>
          <t>CSIG财务管理</t>
        </is>
      </c>
      <c r="E325" t="inlineStr">
        <is>
          <t>行业财务管理1中心</t>
        </is>
      </c>
      <c r="G325" t="inlineStr">
        <is>
          <t>S2职能系统－财经线/CSIG财务管理/行业财务管理1中心</t>
        </is>
      </c>
      <c r="H325" s="188" t="n">
        <v>36898</v>
      </c>
      <c r="I325" t="inlineStr">
        <is>
          <t>社会招聘</t>
        </is>
      </c>
      <c r="J325" t="inlineStr">
        <is>
          <t>财经类－FN</t>
        </is>
      </c>
      <c r="K325" t="inlineStr">
        <is>
          <t>财务管理</t>
        </is>
      </c>
      <c r="L325" t="inlineStr">
        <is>
          <t>S11</t>
        </is>
      </c>
      <c r="N325" t="inlineStr">
        <is>
          <t>T1#</t>
        </is>
      </c>
      <c r="Q325" t="inlineStr">
        <is>
          <t>O,G</t>
        </is>
      </c>
      <c r="U325" t="n">
        <v>68673.45</v>
      </c>
      <c r="V325" t="n">
        <v>0.083333</v>
      </c>
      <c r="W325" t="inlineStr">
        <is>
          <t>CNY</t>
        </is>
      </c>
      <c r="X325" t="n">
        <v>1</v>
      </c>
      <c r="Y325" t="n">
        <v>63810.8</v>
      </c>
      <c r="Z325" t="n">
        <v>0</v>
      </c>
      <c r="AA325" t="n">
        <v>206020.35</v>
      </c>
      <c r="AB325" t="n">
        <v>228835</v>
      </c>
      <c r="AC325" t="n">
        <v>113865</v>
      </c>
      <c r="AF325" t="n">
        <v>0</v>
      </c>
      <c r="AG325" t="n">
        <v>548720.35</v>
      </c>
      <c r="AH325" t="n">
        <v>8.599176785121013</v>
      </c>
      <c r="AI325" t="n">
        <v>548720.35</v>
      </c>
      <c r="AJ325" t="n">
        <v>8.599176785121013</v>
      </c>
      <c r="AK325" t="n">
        <v>6.814760980899784</v>
      </c>
      <c r="AQ325" t="n">
        <v>548720.35</v>
      </c>
      <c r="AR325" t="n">
        <v>8.599176785121013</v>
      </c>
      <c r="AS325" t="n">
        <v>1.378209549404732</v>
      </c>
      <c r="BL325" t="n">
        <v>1</v>
      </c>
      <c r="BM325" t="n">
        <v>56870</v>
      </c>
      <c r="BN325" t="n">
        <v>0</v>
      </c>
      <c r="BO325" t="n">
        <v>60225</v>
      </c>
      <c r="BP325" t="inlineStr">
        <is>
          <t>G,G</t>
        </is>
      </c>
      <c r="BQ325" t="inlineStr">
        <is>
          <t>T1#</t>
        </is>
      </c>
      <c r="BR325" t="n">
        <v>303370</v>
      </c>
      <c r="BS325" t="n">
        <v>5.334446984350272</v>
      </c>
      <c r="BT325" t="n">
        <v>94770</v>
      </c>
      <c r="BU325" t="n">
        <v>398140</v>
      </c>
      <c r="BV325" t="n">
        <v>7.000879198171268</v>
      </c>
      <c r="BY325" t="n">
        <v>398140</v>
      </c>
      <c r="BZ325" t="n">
        <v>7.000879198171268</v>
      </c>
      <c r="CP325" t="inlineStr">
        <is>
          <t>CSIG财务管理</t>
        </is>
      </c>
      <c r="CQ325" t="inlineStr">
        <is>
          <t>5,3</t>
        </is>
      </c>
      <c r="CR325" t="n">
        <v>11</v>
      </c>
      <c r="CS325" t="inlineStr">
        <is>
          <t>T1#</t>
        </is>
      </c>
      <c r="CT325" t="inlineStr">
        <is>
          <t>N</t>
        </is>
      </c>
    </row>
    <row r="326">
      <c r="A326" t="inlineStr">
        <is>
          <t>nancyYuan(袁冰)</t>
        </is>
      </c>
      <c r="C326" t="n">
        <v>45195110</v>
      </c>
      <c r="D326" t="inlineStr">
        <is>
          <t>风险管理和内部控制</t>
        </is>
      </c>
      <c r="E326" t="inlineStr">
        <is>
          <t>CDG-AMS风控组</t>
        </is>
      </c>
      <c r="G326" t="inlineStr">
        <is>
          <t>S2职能系统－财经线/风险管理和内部控制/CDG-AMS风控组</t>
        </is>
      </c>
      <c r="H326" s="188" t="n">
        <v>38365</v>
      </c>
      <c r="I326" t="inlineStr">
        <is>
          <t>社会招聘</t>
        </is>
      </c>
      <c r="J326" t="inlineStr">
        <is>
          <t>财经类－FN</t>
        </is>
      </c>
      <c r="K326" t="inlineStr">
        <is>
          <t>风险管理</t>
        </is>
      </c>
      <c r="L326" t="inlineStr">
        <is>
          <t>S8</t>
        </is>
      </c>
      <c r="N326" t="inlineStr">
        <is>
          <t>T2</t>
        </is>
      </c>
      <c r="Q326" t="inlineStr">
        <is>
          <t>O,O</t>
        </is>
      </c>
      <c r="U326" t="n">
        <v>40860.45</v>
      </c>
      <c r="V326" t="n">
        <v>0.083333</v>
      </c>
      <c r="W326" t="inlineStr">
        <is>
          <t>CNY</t>
        </is>
      </c>
      <c r="X326" t="n">
        <v>1</v>
      </c>
      <c r="Y326" t="n">
        <v>37175.87</v>
      </c>
      <c r="Z326" t="n">
        <v>0</v>
      </c>
      <c r="AA326" t="n">
        <v>163441.8</v>
      </c>
      <c r="AB326" t="n">
        <v>42275</v>
      </c>
      <c r="AC326" t="n">
        <v>0</v>
      </c>
      <c r="AF326" t="n">
        <v>0</v>
      </c>
      <c r="AG326" t="n">
        <v>205716.8</v>
      </c>
      <c r="AH326" t="n">
        <v>5.533610914821899</v>
      </c>
      <c r="AI326" t="n">
        <v>205716.8</v>
      </c>
      <c r="AJ326" t="n">
        <v>5.533610914821899</v>
      </c>
      <c r="AK326" t="n">
        <v>5.533610914821899</v>
      </c>
      <c r="AQ326" t="n">
        <v>205716.8</v>
      </c>
      <c r="AR326" t="n">
        <v>5.533610914821899</v>
      </c>
      <c r="AS326" t="n">
        <v>1.696423535232755</v>
      </c>
      <c r="BL326" t="n">
        <v>1</v>
      </c>
      <c r="BM326" t="n">
        <v>35865</v>
      </c>
      <c r="BN326" t="n">
        <v>0</v>
      </c>
      <c r="BO326" t="n">
        <v>38240</v>
      </c>
      <c r="BP326" t="inlineStr">
        <is>
          <t>G,G</t>
        </is>
      </c>
      <c r="BQ326" t="inlineStr">
        <is>
          <t>T2</t>
        </is>
      </c>
      <c r="BR326" t="n">
        <v>121265</v>
      </c>
      <c r="BS326" t="n">
        <v>3.381151540499094</v>
      </c>
      <c r="BT326" t="n">
        <v>0</v>
      </c>
      <c r="BU326" t="n">
        <v>121265</v>
      </c>
      <c r="BV326" t="n">
        <v>3.381151540499094</v>
      </c>
      <c r="BY326" t="n">
        <v>121265</v>
      </c>
      <c r="BZ326" t="n">
        <v>3.381151540499094</v>
      </c>
      <c r="CP326" t="inlineStr">
        <is>
          <t>风险管理和内部控制</t>
        </is>
      </c>
      <c r="CQ326" t="inlineStr">
        <is>
          <t>5,5</t>
        </is>
      </c>
      <c r="CR326" t="n">
        <v>8</v>
      </c>
      <c r="CS326" t="inlineStr">
        <is>
          <t>T2</t>
        </is>
      </c>
      <c r="CT326" t="inlineStr">
        <is>
          <t>N</t>
        </is>
      </c>
    </row>
    <row r="327">
      <c r="A327" t="inlineStr">
        <is>
          <t>marcusHuang(黄哲翔)</t>
        </is>
      </c>
      <c r="C327" t="n">
        <v>75773032</v>
      </c>
      <c r="D327" t="inlineStr">
        <is>
          <t>资金管理</t>
        </is>
      </c>
      <c r="E327" t="inlineStr">
        <is>
          <t>资金管理</t>
        </is>
      </c>
      <c r="G327" t="inlineStr">
        <is>
          <t>S2职能系统－财经线/资金管理</t>
        </is>
      </c>
      <c r="H327" s="188" t="n">
        <v>41264</v>
      </c>
      <c r="I327" t="inlineStr">
        <is>
          <t>社会招聘</t>
        </is>
      </c>
      <c r="J327" t="inlineStr">
        <is>
          <t>财经类－FN</t>
        </is>
      </c>
      <c r="K327" t="inlineStr">
        <is>
          <t>资金管理</t>
        </is>
      </c>
      <c r="L327" t="inlineStr">
        <is>
          <t>S5</t>
        </is>
      </c>
      <c r="N327" t="inlineStr">
        <is>
          <t>T1</t>
        </is>
      </c>
      <c r="Q327" t="inlineStr">
        <is>
          <t>O,U</t>
        </is>
      </c>
      <c r="U327" t="n">
        <v>20901.4</v>
      </c>
      <c r="V327" t="n">
        <v>0.083333</v>
      </c>
      <c r="W327" t="inlineStr">
        <is>
          <t>CNY</t>
        </is>
      </c>
      <c r="X327" t="n">
        <v>1</v>
      </c>
      <c r="Y327" t="n">
        <v>20188.2</v>
      </c>
      <c r="Z327" t="n">
        <v>0</v>
      </c>
      <c r="AA327" t="n">
        <v>41802.8</v>
      </c>
      <c r="AB327" t="n">
        <v>51105</v>
      </c>
      <c r="AC327" t="n">
        <v>0</v>
      </c>
      <c r="AF327" t="n">
        <v>0</v>
      </c>
      <c r="AG327" t="n">
        <v>92907.8</v>
      </c>
      <c r="AH327" t="n">
        <v>4.602084385928413</v>
      </c>
      <c r="AI327" t="n">
        <v>92907.8</v>
      </c>
      <c r="AJ327" t="n">
        <v>4.602084385928413</v>
      </c>
      <c r="AK327" t="n">
        <v>4.602084385928413</v>
      </c>
      <c r="AQ327" t="n">
        <v>92907.8</v>
      </c>
      <c r="AR327" t="n">
        <v>4.602084385928413</v>
      </c>
      <c r="AS327" t="n">
        <v>1.946732320586695</v>
      </c>
      <c r="BL327" t="n">
        <v>1</v>
      </c>
      <c r="BM327" t="n">
        <v>18120</v>
      </c>
      <c r="BN327" t="n">
        <v>0</v>
      </c>
      <c r="BO327" t="n">
        <v>19840</v>
      </c>
      <c r="BP327" t="inlineStr">
        <is>
          <t>G,U</t>
        </is>
      </c>
      <c r="BQ327" t="inlineStr">
        <is>
          <t>T1</t>
        </is>
      </c>
      <c r="BR327" t="n">
        <v>47725</v>
      </c>
      <c r="BS327" t="n">
        <v>2.633830022075055</v>
      </c>
      <c r="BT327" t="n">
        <v>0</v>
      </c>
      <c r="BU327" t="n">
        <v>47725</v>
      </c>
      <c r="BV327" t="n">
        <v>2.633830022075055</v>
      </c>
      <c r="BY327" t="n">
        <v>47725</v>
      </c>
      <c r="BZ327" t="n">
        <v>2.633830022075055</v>
      </c>
      <c r="CP327" t="inlineStr">
        <is>
          <t>资金管理</t>
        </is>
      </c>
      <c r="CQ327" t="inlineStr">
        <is>
          <t>5,1</t>
        </is>
      </c>
      <c r="CR327" t="n">
        <v>5</v>
      </c>
      <c r="CS327" t="inlineStr">
        <is>
          <t>T1</t>
        </is>
      </c>
      <c r="CT327" t="inlineStr">
        <is>
          <t>N</t>
        </is>
      </c>
    </row>
    <row r="328">
      <c r="A328" t="inlineStr">
        <is>
          <t>laylaXie(谢洁婧)</t>
        </is>
      </c>
      <c r="C328" t="n">
        <v>27686556</v>
      </c>
      <c r="D328" t="inlineStr">
        <is>
          <t>税务部</t>
        </is>
      </c>
      <c r="E328" t="inlineStr">
        <is>
          <t>BG税务组</t>
        </is>
      </c>
      <c r="G328" t="inlineStr">
        <is>
          <t>S2职能系统－财经线/税务部/BG税务组</t>
        </is>
      </c>
      <c r="H328" s="188" t="n">
        <v>44229</v>
      </c>
      <c r="I328" t="inlineStr">
        <is>
          <t>社会招聘</t>
        </is>
      </c>
      <c r="J328" t="inlineStr">
        <is>
          <t>财经类－FN</t>
        </is>
      </c>
      <c r="K328" t="inlineStr">
        <is>
          <t>税务</t>
        </is>
      </c>
      <c r="L328" t="inlineStr">
        <is>
          <t>S8</t>
        </is>
      </c>
      <c r="N328" t="inlineStr">
        <is>
          <t>T1</t>
        </is>
      </c>
      <c r="Q328" t="inlineStr">
        <is>
          <t>G,G</t>
        </is>
      </c>
      <c r="U328" t="n">
        <v>49978.15</v>
      </c>
      <c r="V328" t="n">
        <v>0.083333</v>
      </c>
      <c r="W328" t="inlineStr">
        <is>
          <t>CNY</t>
        </is>
      </c>
      <c r="X328" t="n">
        <v>1</v>
      </c>
      <c r="Y328" t="n">
        <v>48654.68</v>
      </c>
      <c r="Z328" t="n">
        <v>0</v>
      </c>
      <c r="AA328" t="n">
        <v>99956.3</v>
      </c>
      <c r="AB328" t="n">
        <v>106945</v>
      </c>
      <c r="AC328" t="n">
        <v>71960</v>
      </c>
      <c r="AF328" t="n">
        <v>0</v>
      </c>
      <c r="AG328" t="n">
        <v>278861.3</v>
      </c>
      <c r="AH328" t="n">
        <v>5.731438373451433</v>
      </c>
      <c r="AI328" t="n">
        <v>278861.3</v>
      </c>
      <c r="AJ328" t="n">
        <v>5.731438373451433</v>
      </c>
      <c r="AK328" t="n">
        <v>4.252443958114615</v>
      </c>
      <c r="AQ328" t="n">
        <v>278861.3</v>
      </c>
      <c r="AR328" t="n">
        <v>5.731438373451433</v>
      </c>
      <c r="AS328" t="n">
        <v>2.054832363127256</v>
      </c>
      <c r="BL328" t="n">
        <v>1</v>
      </c>
      <c r="BM328" t="n">
        <v>41915</v>
      </c>
      <c r="BN328" t="n">
        <v>0</v>
      </c>
      <c r="BO328" t="n">
        <v>43520</v>
      </c>
      <c r="BP328" t="inlineStr">
        <is>
          <t>U,O</t>
        </is>
      </c>
      <c r="BQ328" t="inlineStr">
        <is>
          <t>T1</t>
        </is>
      </c>
      <c r="BR328" t="n">
        <v>135710</v>
      </c>
      <c r="BS328" t="n">
        <v>3.237743051413575</v>
      </c>
      <c r="BT328" t="n">
        <v>0</v>
      </c>
      <c r="BU328" t="n">
        <v>135710</v>
      </c>
      <c r="BV328" t="n">
        <v>3.237743051413575</v>
      </c>
      <c r="BY328" t="n">
        <v>135710</v>
      </c>
      <c r="BZ328" t="n">
        <v>3.237743051413575</v>
      </c>
      <c r="CP328" t="inlineStr">
        <is>
          <t>税务部</t>
        </is>
      </c>
      <c r="CQ328" t="inlineStr">
        <is>
          <t>3,3</t>
        </is>
      </c>
      <c r="CR328" t="n">
        <v>8</v>
      </c>
      <c r="CS328" t="inlineStr">
        <is>
          <t>T1</t>
        </is>
      </c>
      <c r="CT328" t="inlineStr">
        <is>
          <t>N</t>
        </is>
      </c>
    </row>
    <row r="329">
      <c r="A329" t="inlineStr">
        <is>
          <t>mayaXu(徐婷)</t>
        </is>
      </c>
      <c r="C329" t="n">
        <v>5272002</v>
      </c>
      <c r="D329" t="inlineStr">
        <is>
          <t>CDG财务管理</t>
        </is>
      </c>
      <c r="E329" t="inlineStr">
        <is>
          <t>CDG财务管理</t>
        </is>
      </c>
      <c r="G329" t="inlineStr">
        <is>
          <t>S2职能系统－财经线/CDG财务管理</t>
        </is>
      </c>
      <c r="H329" s="188" t="n">
        <v>44605</v>
      </c>
      <c r="I329" t="inlineStr">
        <is>
          <t>社会招聘</t>
        </is>
      </c>
      <c r="J329" t="inlineStr">
        <is>
          <t>财经类－FN</t>
        </is>
      </c>
      <c r="K329" t="inlineStr">
        <is>
          <t>财务管理</t>
        </is>
      </c>
      <c r="L329" t="inlineStr">
        <is>
          <t>S12</t>
        </is>
      </c>
      <c r="M329" t="inlineStr">
        <is>
          <t>L1-1</t>
        </is>
      </c>
      <c r="N329" t="inlineStr">
        <is>
          <t>T2</t>
        </is>
      </c>
      <c r="Q329" t="inlineStr">
        <is>
          <t>G,G</t>
        </is>
      </c>
      <c r="U329" t="n">
        <v>64706.45</v>
      </c>
      <c r="V329" t="n">
        <v>0.083333</v>
      </c>
      <c r="W329" t="inlineStr">
        <is>
          <t>CNY</t>
        </is>
      </c>
      <c r="X329" t="n">
        <v>1</v>
      </c>
      <c r="Y329" t="n">
        <v>61614.83</v>
      </c>
      <c r="Z329" t="n">
        <v>0</v>
      </c>
      <c r="AA329" t="n">
        <v>129412.9</v>
      </c>
      <c r="AB329" t="n">
        <v>88630</v>
      </c>
      <c r="AC329" t="n">
        <v>0</v>
      </c>
      <c r="AF329" t="n">
        <v>29875</v>
      </c>
      <c r="AG329" t="n">
        <v>218042.9</v>
      </c>
      <c r="AH329" t="n">
        <v>3.538805511595179</v>
      </c>
      <c r="AI329" t="n">
        <v>247917.9</v>
      </c>
      <c r="AJ329" t="n">
        <v>4.023672547664256</v>
      </c>
      <c r="AK329" t="n">
        <v>4.023672547664256</v>
      </c>
      <c r="AQ329" t="n">
        <v>247917.9</v>
      </c>
      <c r="AR329" t="n">
        <v>4.023672547664256</v>
      </c>
      <c r="AS329" t="n">
        <v>1.096763476298967</v>
      </c>
      <c r="BL329" t="n">
        <v>1</v>
      </c>
      <c r="BM329" t="n">
        <v>51910</v>
      </c>
      <c r="BN329" t="n">
        <v>0</v>
      </c>
      <c r="BO329" t="n">
        <v>52885</v>
      </c>
      <c r="BP329" t="inlineStr">
        <is>
          <t>G,O</t>
        </is>
      </c>
      <c r="BQ329" t="inlineStr">
        <is>
          <t>T2</t>
        </is>
      </c>
      <c r="BR329" t="n">
        <v>226045</v>
      </c>
      <c r="BS329" t="n">
        <v>4.354555962242342</v>
      </c>
      <c r="BT329" t="n">
        <v>0</v>
      </c>
      <c r="BU329" t="n">
        <v>226045</v>
      </c>
      <c r="BV329" t="n">
        <v>4.354555962242342</v>
      </c>
      <c r="BY329" t="n">
        <v>226045</v>
      </c>
      <c r="BZ329" t="n">
        <v>4.354555962242342</v>
      </c>
      <c r="CP329" t="inlineStr">
        <is>
          <t>CDG财务管理</t>
        </is>
      </c>
      <c r="CQ329" t="inlineStr">
        <is>
          <t>3,3</t>
        </is>
      </c>
      <c r="CR329" t="n">
        <v>12</v>
      </c>
      <c r="CS329" t="inlineStr">
        <is>
          <t>T2</t>
        </is>
      </c>
      <c r="CT329" t="inlineStr">
        <is>
          <t>N</t>
        </is>
      </c>
    </row>
    <row r="330">
      <c r="A330" t="inlineStr">
        <is>
          <t>alexanderZhong(钟轩)</t>
        </is>
      </c>
      <c r="C330" t="n">
        <v>85328137</v>
      </c>
      <c r="D330" t="inlineStr">
        <is>
          <t>行政支持中心</t>
        </is>
      </c>
      <c r="E330" t="inlineStr">
        <is>
          <t>组织建设组</t>
        </is>
      </c>
      <c r="G330" t="inlineStr">
        <is>
          <t>S2职能系统－财经线/行政支持中心/组织建设组</t>
        </is>
      </c>
      <c r="H330" s="188" t="n">
        <v>42847</v>
      </c>
      <c r="I330" t="inlineStr">
        <is>
          <t>社会招聘</t>
        </is>
      </c>
      <c r="J330" t="inlineStr">
        <is>
          <t>财经类－FN</t>
        </is>
      </c>
      <c r="K330" t="inlineStr">
        <is>
          <t>公司秘书</t>
        </is>
      </c>
      <c r="L330" t="inlineStr">
        <is>
          <t>S11</t>
        </is>
      </c>
      <c r="N330" t="inlineStr">
        <is>
          <t>T2</t>
        </is>
      </c>
      <c r="Q330" t="inlineStr">
        <is>
          <t>G,G</t>
        </is>
      </c>
      <c r="U330" t="n">
        <v>51967.95</v>
      </c>
      <c r="V330" t="n">
        <v>0.083333</v>
      </c>
      <c r="W330" t="inlineStr">
        <is>
          <t>CNY</t>
        </is>
      </c>
      <c r="X330" t="n">
        <v>1</v>
      </c>
      <c r="Y330" t="n">
        <v>51225.07</v>
      </c>
      <c r="Z330" t="n">
        <v>0</v>
      </c>
      <c r="AA330" t="n">
        <v>103935.9</v>
      </c>
      <c r="AB330" t="n">
        <v>53180</v>
      </c>
      <c r="AC330" t="n">
        <v>0</v>
      </c>
      <c r="AF330" t="n">
        <v>0</v>
      </c>
      <c r="AG330" t="n">
        <v>157115.9</v>
      </c>
      <c r="AH330" t="n">
        <v>3.067168087813252</v>
      </c>
      <c r="AI330" t="n">
        <v>157115.9</v>
      </c>
      <c r="AJ330" t="n">
        <v>3.067168087813252</v>
      </c>
      <c r="AK330" t="n">
        <v>3.067168087813252</v>
      </c>
      <c r="AQ330" t="n">
        <v>157115.9</v>
      </c>
      <c r="AR330" t="n">
        <v>3.067168087813252</v>
      </c>
      <c r="AS330" t="n">
        <v>0.9405603280553144</v>
      </c>
      <c r="BL330" t="n">
        <v>1</v>
      </c>
      <c r="BM330" t="n">
        <v>44935</v>
      </c>
      <c r="BN330" t="n">
        <v>0</v>
      </c>
      <c r="BO330" t="n">
        <v>48490</v>
      </c>
      <c r="BP330" t="inlineStr">
        <is>
          <t>G,G</t>
        </is>
      </c>
      <c r="BQ330" t="inlineStr">
        <is>
          <t>T2</t>
        </is>
      </c>
      <c r="BR330" t="n">
        <v>167045</v>
      </c>
      <c r="BS330" t="n">
        <v>3.717480805608101</v>
      </c>
      <c r="BT330" t="n">
        <v>0</v>
      </c>
      <c r="BU330" t="n">
        <v>167045</v>
      </c>
      <c r="BV330" t="n">
        <v>3.717480805608101</v>
      </c>
      <c r="BY330" t="n">
        <v>167045</v>
      </c>
      <c r="BZ330" t="n">
        <v>3.717480805608101</v>
      </c>
      <c r="CP330" t="inlineStr">
        <is>
          <t>行政支持中心</t>
        </is>
      </c>
      <c r="CQ330" t="inlineStr">
        <is>
          <t>3,3</t>
        </is>
      </c>
      <c r="CR330" t="n">
        <v>11</v>
      </c>
      <c r="CS330" t="inlineStr">
        <is>
          <t>T2</t>
        </is>
      </c>
      <c r="CT330" t="inlineStr">
        <is>
          <t>N</t>
        </is>
      </c>
    </row>
    <row r="331">
      <c r="A331" t="inlineStr">
        <is>
          <t>lawrenceYan(严松安)</t>
        </is>
      </c>
      <c r="C331" t="n">
        <v>8495966</v>
      </c>
      <c r="D331" t="inlineStr">
        <is>
          <t>税务部</t>
        </is>
      </c>
      <c r="E331" t="inlineStr">
        <is>
          <t>国内主体税务中心</t>
        </is>
      </c>
      <c r="G331" t="inlineStr">
        <is>
          <t>S2职能系统－财经线/税务部/国内主体税务中心</t>
        </is>
      </c>
      <c r="H331" s="188" t="n">
        <v>42925</v>
      </c>
      <c r="I331" t="inlineStr">
        <is>
          <t>社会招聘</t>
        </is>
      </c>
      <c r="J331" t="inlineStr">
        <is>
          <t>财经类－FN</t>
        </is>
      </c>
      <c r="K331" t="inlineStr">
        <is>
          <t>税务</t>
        </is>
      </c>
      <c r="L331" t="inlineStr">
        <is>
          <t>S6</t>
        </is>
      </c>
      <c r="N331" t="inlineStr">
        <is>
          <t>T2</t>
        </is>
      </c>
      <c r="Q331" t="inlineStr">
        <is>
          <t>G,O</t>
        </is>
      </c>
      <c r="U331" t="n">
        <v>33884.95</v>
      </c>
      <c r="V331" t="n">
        <v>0.083333</v>
      </c>
      <c r="W331" t="inlineStr">
        <is>
          <t>CNY</t>
        </is>
      </c>
      <c r="X331" t="n">
        <v>1</v>
      </c>
      <c r="Y331" t="n">
        <v>32354.43</v>
      </c>
      <c r="Z331" t="n">
        <v>0</v>
      </c>
      <c r="AA331" t="n">
        <v>101654.85</v>
      </c>
      <c r="AB331" t="n">
        <v>37850</v>
      </c>
      <c r="AC331" t="n">
        <v>0</v>
      </c>
      <c r="AF331" t="n">
        <v>0</v>
      </c>
      <c r="AG331" t="n">
        <v>139504.85</v>
      </c>
      <c r="AH331" t="n">
        <v>4.311769671108408</v>
      </c>
      <c r="AI331" t="n">
        <v>139504.85</v>
      </c>
      <c r="AJ331" t="n">
        <v>4.311769671108408</v>
      </c>
      <c r="AK331" t="n">
        <v>4.311769671108408</v>
      </c>
      <c r="AQ331" t="n">
        <v>139504.85</v>
      </c>
      <c r="AR331" t="n">
        <v>4.311769671108408</v>
      </c>
      <c r="AS331" t="n">
        <v>1.423373635343332</v>
      </c>
      <c r="BL331" t="n">
        <v>1</v>
      </c>
      <c r="BM331" t="n">
        <v>29245</v>
      </c>
      <c r="BN331" t="n">
        <v>0</v>
      </c>
      <c r="BO331" t="n">
        <v>31930</v>
      </c>
      <c r="BP331" t="inlineStr">
        <is>
          <t>G,G</t>
        </is>
      </c>
      <c r="BQ331" t="inlineStr">
        <is>
          <t>T2</t>
        </is>
      </c>
      <c r="BR331" t="n">
        <v>98010</v>
      </c>
      <c r="BS331" t="n">
        <v>3.351342109762352</v>
      </c>
      <c r="BT331" t="n">
        <v>0</v>
      </c>
      <c r="BU331" t="n">
        <v>98010</v>
      </c>
      <c r="BV331" t="n">
        <v>3.351342109762352</v>
      </c>
      <c r="BY331" t="n">
        <v>98010</v>
      </c>
      <c r="BZ331" t="n">
        <v>3.351342109762352</v>
      </c>
      <c r="CP331" t="inlineStr">
        <is>
          <t>税务部</t>
        </is>
      </c>
      <c r="CQ331" t="inlineStr">
        <is>
          <t>5,3</t>
        </is>
      </c>
      <c r="CR331" t="n">
        <v>6</v>
      </c>
      <c r="CS331" t="inlineStr">
        <is>
          <t>T2</t>
        </is>
      </c>
      <c r="CT331" t="inlineStr">
        <is>
          <t>N</t>
        </is>
      </c>
    </row>
    <row r="332">
      <c r="A332" t="inlineStr">
        <is>
          <t>barbaraKang(康月沁)</t>
        </is>
      </c>
      <c r="C332" t="n">
        <v>71190349</v>
      </c>
      <c r="D332" t="inlineStr">
        <is>
          <t>财经投资并购及管理部</t>
        </is>
      </c>
      <c r="E332" t="inlineStr">
        <is>
          <t>运营支持中心</t>
        </is>
      </c>
      <c r="G332" t="inlineStr">
        <is>
          <t>S2职能系统－财经线/财经投资并购及管理部/运营支持中心</t>
        </is>
      </c>
      <c r="H332" s="188" t="n">
        <v>39302</v>
      </c>
      <c r="I332" t="inlineStr">
        <is>
          <t>社会招聘</t>
        </is>
      </c>
      <c r="J332" t="inlineStr">
        <is>
          <t>财经类－FN</t>
        </is>
      </c>
      <c r="K332" t="inlineStr">
        <is>
          <t>投资并购</t>
        </is>
      </c>
      <c r="L332" t="inlineStr">
        <is>
          <t>S9</t>
        </is>
      </c>
      <c r="N332" t="inlineStr">
        <is>
          <t>T2</t>
        </is>
      </c>
      <c r="Q332" t="inlineStr">
        <is>
          <t>G,U</t>
        </is>
      </c>
      <c r="U332" t="n">
        <v>42673.55</v>
      </c>
      <c r="V332" t="n">
        <v>0.083333</v>
      </c>
      <c r="W332" t="inlineStr">
        <is>
          <t>CNY</t>
        </is>
      </c>
      <c r="X332" t="n">
        <v>1</v>
      </c>
      <c r="Y332" t="n">
        <v>40454.84</v>
      </c>
      <c r="Z332" t="n">
        <v>0</v>
      </c>
      <c r="AA332" t="n">
        <v>42673.55</v>
      </c>
      <c r="AB332" t="n">
        <v>59105</v>
      </c>
      <c r="AC332" t="n">
        <v>0</v>
      </c>
      <c r="AF332" t="n">
        <v>0</v>
      </c>
      <c r="AG332" t="n">
        <v>101778.55</v>
      </c>
      <c r="AH332" t="n">
        <v>2.515855951970148</v>
      </c>
      <c r="AI332" t="n">
        <v>101778.55</v>
      </c>
      <c r="AJ332" t="n">
        <v>2.515855951970148</v>
      </c>
      <c r="AK332" t="n">
        <v>2.515855951970148</v>
      </c>
      <c r="AQ332" t="n">
        <v>101778.55</v>
      </c>
      <c r="AR332" t="n">
        <v>2.515855951970148</v>
      </c>
      <c r="AS332" t="n">
        <v>0.6742757295703733</v>
      </c>
      <c r="BL332" t="n">
        <v>1</v>
      </c>
      <c r="BM332" t="n">
        <v>34250</v>
      </c>
      <c r="BN332" t="n">
        <v>0</v>
      </c>
      <c r="BO332" t="n">
        <v>34925</v>
      </c>
      <c r="BP332" t="inlineStr">
        <is>
          <t>U,G</t>
        </is>
      </c>
      <c r="BQ332" t="inlineStr">
        <is>
          <t>T1#</t>
        </is>
      </c>
      <c r="BR332" t="n">
        <v>150945</v>
      </c>
      <c r="BS332" t="n">
        <v>4.407153284671533</v>
      </c>
      <c r="BT332" t="n">
        <v>0</v>
      </c>
      <c r="BU332" t="n">
        <v>150945</v>
      </c>
      <c r="BV332" t="n">
        <v>4.407153284671533</v>
      </c>
      <c r="BY332" t="n">
        <v>150945</v>
      </c>
      <c r="BZ332" t="n">
        <v>4.407153284671533</v>
      </c>
      <c r="CP332" t="inlineStr">
        <is>
          <t>财经投资并购及管理部</t>
        </is>
      </c>
      <c r="CQ332" t="inlineStr">
        <is>
          <t>3,1</t>
        </is>
      </c>
      <c r="CR332" t="n">
        <v>9</v>
      </c>
      <c r="CS332" t="inlineStr">
        <is>
          <t>T2</t>
        </is>
      </c>
      <c r="CT332" t="inlineStr">
        <is>
          <t>N</t>
        </is>
      </c>
    </row>
    <row r="333">
      <c r="A333" t="inlineStr">
        <is>
          <t>bobbyRen(任宇毅)</t>
        </is>
      </c>
      <c r="C333" t="n">
        <v>84632919</v>
      </c>
      <c r="D333" t="inlineStr">
        <is>
          <t>财会及报告管理部</t>
        </is>
      </c>
      <c r="E333" t="inlineStr">
        <is>
          <t>应收管理中心</t>
        </is>
      </c>
      <c r="G333" t="inlineStr">
        <is>
          <t>S2职能系统－财经线/财会及报告管理部/应收管理中心</t>
        </is>
      </c>
      <c r="H333" s="188" t="n">
        <v>42523</v>
      </c>
      <c r="I333" t="inlineStr">
        <is>
          <t>社会招聘</t>
        </is>
      </c>
      <c r="J333" t="inlineStr">
        <is>
          <t>财经类－FN</t>
        </is>
      </c>
      <c r="K333" t="inlineStr">
        <is>
          <t>会计</t>
        </is>
      </c>
      <c r="L333" t="inlineStr">
        <is>
          <t>S7</t>
        </is>
      </c>
      <c r="N333" t="inlineStr">
        <is>
          <t>T1#</t>
        </is>
      </c>
      <c r="Q333" t="inlineStr">
        <is>
          <t>G,G</t>
        </is>
      </c>
      <c r="U333" t="n">
        <v>26189.25</v>
      </c>
      <c r="V333" t="n">
        <v>0.083333</v>
      </c>
      <c r="W333" t="inlineStr">
        <is>
          <t>CNY</t>
        </is>
      </c>
      <c r="X333" t="n">
        <v>1</v>
      </c>
      <c r="Y333" t="n">
        <v>25086.67</v>
      </c>
      <c r="Z333" t="n">
        <v>0</v>
      </c>
      <c r="AA333" t="n">
        <v>52378.5</v>
      </c>
      <c r="AB333" t="n">
        <v>85880</v>
      </c>
      <c r="AC333" t="n">
        <v>42890</v>
      </c>
      <c r="AF333" t="n">
        <v>0</v>
      </c>
      <c r="AG333" t="n">
        <v>181148.5</v>
      </c>
      <c r="AH333" t="n">
        <v>7.220906561133861</v>
      </c>
      <c r="AI333" t="n">
        <v>181148.5</v>
      </c>
      <c r="AJ333" t="n">
        <v>7.220906561133861</v>
      </c>
      <c r="AK333" t="n">
        <v>5.511233655164276</v>
      </c>
      <c r="AQ333" t="n">
        <v>181148.5</v>
      </c>
      <c r="AR333" t="n">
        <v>7.220906561133861</v>
      </c>
      <c r="AS333" t="n">
        <v>1.032861989337743</v>
      </c>
      <c r="BL333" t="n">
        <v>1</v>
      </c>
      <c r="BM333" t="n">
        <v>22975</v>
      </c>
      <c r="BN333" t="n">
        <v>0</v>
      </c>
      <c r="BO333" t="n">
        <v>23060</v>
      </c>
      <c r="BP333" t="inlineStr">
        <is>
          <t>O,G</t>
        </is>
      </c>
      <c r="BQ333" t="inlineStr">
        <is>
          <t>T1#</t>
        </is>
      </c>
      <c r="BR333" t="n">
        <v>147650</v>
      </c>
      <c r="BS333" t="n">
        <v>6.426550598476605</v>
      </c>
      <c r="BT333" t="n">
        <v>27735</v>
      </c>
      <c r="BU333" t="n">
        <v>175385</v>
      </c>
      <c r="BV333" t="n">
        <v>7.63373231773667</v>
      </c>
      <c r="BY333" t="n">
        <v>175385</v>
      </c>
      <c r="BZ333" t="n">
        <v>7.63373231773667</v>
      </c>
      <c r="CP333" t="inlineStr">
        <is>
          <t>财会及报告管理部</t>
        </is>
      </c>
      <c r="CQ333" t="inlineStr">
        <is>
          <t>3,3</t>
        </is>
      </c>
      <c r="CR333" t="n">
        <v>7</v>
      </c>
      <c r="CS333" t="inlineStr">
        <is>
          <t>T1#</t>
        </is>
      </c>
      <c r="CT333" t="inlineStr">
        <is>
          <t>N</t>
        </is>
      </c>
    </row>
    <row r="334">
      <c r="A334" t="inlineStr">
        <is>
          <t>russellCai(蔡涛)</t>
        </is>
      </c>
      <c r="C334" t="n">
        <v>52114387</v>
      </c>
      <c r="D334" t="inlineStr">
        <is>
          <t>财会及报告管理部</t>
        </is>
      </c>
      <c r="E334" t="inlineStr">
        <is>
          <t>专业支持中心</t>
        </is>
      </c>
      <c r="G334" t="inlineStr">
        <is>
          <t>S2职能系统－财经线/财会及报告管理部/专业支持中心</t>
        </is>
      </c>
      <c r="H334" s="188" t="n">
        <v>43291</v>
      </c>
      <c r="I334" t="inlineStr">
        <is>
          <t>高校招聘</t>
        </is>
      </c>
      <c r="J334" t="inlineStr">
        <is>
          <t>财经类－FN</t>
        </is>
      </c>
      <c r="K334" t="inlineStr">
        <is>
          <t>会计</t>
        </is>
      </c>
      <c r="L334" t="inlineStr">
        <is>
          <t>S8</t>
        </is>
      </c>
      <c r="N334" t="inlineStr">
        <is>
          <t>T2</t>
        </is>
      </c>
      <c r="Q334" t="inlineStr">
        <is>
          <t>G,G</t>
        </is>
      </c>
      <c r="U334" t="n">
        <v>44270.85</v>
      </c>
      <c r="V334" t="n">
        <v>0.083333</v>
      </c>
      <c r="W334" t="inlineStr">
        <is>
          <t>CNY</t>
        </is>
      </c>
      <c r="X334" t="n">
        <v>1</v>
      </c>
      <c r="Y334" t="n">
        <v>40759.93</v>
      </c>
      <c r="Z334" t="n">
        <v>0</v>
      </c>
      <c r="AA334" t="n">
        <v>88541.7</v>
      </c>
      <c r="AB334" t="n">
        <v>66030</v>
      </c>
      <c r="AC334" t="n">
        <v>0</v>
      </c>
      <c r="AF334" t="n">
        <v>0</v>
      </c>
      <c r="AG334" t="n">
        <v>154571.7</v>
      </c>
      <c r="AH334" t="n">
        <v>3.792246453808925</v>
      </c>
      <c r="AI334" t="n">
        <v>154571.7</v>
      </c>
      <c r="AJ334" t="n">
        <v>3.792246453808925</v>
      </c>
      <c r="AK334" t="n">
        <v>3.792246453808925</v>
      </c>
      <c r="AQ334" t="n">
        <v>154571.7</v>
      </c>
      <c r="AR334" t="n">
        <v>3.792246453808925</v>
      </c>
      <c r="AS334" t="n">
        <v>1.225300832342449</v>
      </c>
      <c r="BL334" t="n">
        <v>1</v>
      </c>
      <c r="BM334" t="n">
        <v>38330</v>
      </c>
      <c r="BN334" t="n">
        <v>0</v>
      </c>
      <c r="BO334" t="n">
        <v>41560</v>
      </c>
      <c r="BP334" t="inlineStr">
        <is>
          <t>U,O</t>
        </is>
      </c>
      <c r="BQ334" t="inlineStr">
        <is>
          <t>T2</t>
        </is>
      </c>
      <c r="BR334" t="n">
        <v>126150</v>
      </c>
      <c r="BS334" t="n">
        <v>3.291155752674146</v>
      </c>
      <c r="BT334" t="n">
        <v>0</v>
      </c>
      <c r="BU334" t="n">
        <v>126150</v>
      </c>
      <c r="BV334" t="n">
        <v>3.291155752674146</v>
      </c>
      <c r="BY334" t="n">
        <v>126150</v>
      </c>
      <c r="BZ334" t="n">
        <v>3.291155752674146</v>
      </c>
      <c r="CP334" t="inlineStr">
        <is>
          <t>财会及报告管理部</t>
        </is>
      </c>
      <c r="CQ334" t="inlineStr">
        <is>
          <t>3,3</t>
        </is>
      </c>
      <c r="CR334" t="n">
        <v>8</v>
      </c>
      <c r="CS334" t="inlineStr">
        <is>
          <t>T2</t>
        </is>
      </c>
      <c r="CT334" t="inlineStr">
        <is>
          <t>N</t>
        </is>
      </c>
    </row>
    <row r="335">
      <c r="A335" t="inlineStr">
        <is>
          <t>graceLu(卢玲)</t>
        </is>
      </c>
      <c r="C335" t="n">
        <v>78127468</v>
      </c>
      <c r="D335" t="inlineStr">
        <is>
          <t>财会及报告管理部</t>
        </is>
      </c>
      <c r="E335" t="inlineStr">
        <is>
          <t>数据分析组</t>
        </is>
      </c>
      <c r="G335" t="inlineStr">
        <is>
          <t>S2职能系统－财经线/财会及报告管理部/数据分析组</t>
        </is>
      </c>
      <c r="H335" s="188" t="n">
        <v>40426</v>
      </c>
      <c r="I335" t="inlineStr">
        <is>
          <t>高校招聘</t>
        </is>
      </c>
      <c r="J335" t="inlineStr">
        <is>
          <t>财经类－FN</t>
        </is>
      </c>
      <c r="K335" t="inlineStr">
        <is>
          <t>会计</t>
        </is>
      </c>
      <c r="L335" t="inlineStr">
        <is>
          <t>S8</t>
        </is>
      </c>
      <c r="N335" t="inlineStr">
        <is>
          <t>T1</t>
        </is>
      </c>
      <c r="Q335" t="inlineStr">
        <is>
          <t>U,G</t>
        </is>
      </c>
      <c r="U335" t="n">
        <v>39984</v>
      </c>
      <c r="V335" t="n">
        <v>0.083333</v>
      </c>
      <c r="W335" t="inlineStr">
        <is>
          <t>CNY</t>
        </is>
      </c>
      <c r="X335" t="n">
        <v>1</v>
      </c>
      <c r="Y335" t="n">
        <v>38588.49</v>
      </c>
      <c r="Z335" t="n">
        <v>0</v>
      </c>
      <c r="AA335" t="n">
        <v>39984</v>
      </c>
      <c r="AB335" t="n">
        <v>87205</v>
      </c>
      <c r="AC335" t="n">
        <v>0</v>
      </c>
      <c r="AF335" t="n">
        <v>0</v>
      </c>
      <c r="AG335" t="n">
        <v>127189</v>
      </c>
      <c r="AH335" t="n">
        <v>3.29603464660058</v>
      </c>
      <c r="AI335" t="n">
        <v>127189</v>
      </c>
      <c r="AJ335" t="n">
        <v>3.29603464660058</v>
      </c>
      <c r="AK335" t="n">
        <v>3.29603464660058</v>
      </c>
      <c r="AQ335" t="n">
        <v>127189</v>
      </c>
      <c r="AR335" t="n">
        <v>3.29603464660058</v>
      </c>
      <c r="AS335" t="n">
        <v>0.698744677928856</v>
      </c>
      <c r="BL335" t="n">
        <v>1</v>
      </c>
      <c r="BM335" t="n">
        <v>32405</v>
      </c>
      <c r="BN335" t="n">
        <v>0</v>
      </c>
      <c r="BO335" t="n">
        <v>34500</v>
      </c>
      <c r="BP335" t="inlineStr">
        <is>
          <t>O,G</t>
        </is>
      </c>
      <c r="BQ335" t="inlineStr">
        <is>
          <t>T1</t>
        </is>
      </c>
      <c r="BR335" t="n">
        <v>141820</v>
      </c>
      <c r="BS335" t="n">
        <v>4.376485110322481</v>
      </c>
      <c r="BT335" t="n">
        <v>40205</v>
      </c>
      <c r="BU335" t="n">
        <v>182025</v>
      </c>
      <c r="BV335" t="n">
        <v>5.61718870544669</v>
      </c>
      <c r="BY335" t="n">
        <v>182025</v>
      </c>
      <c r="BZ335" t="n">
        <v>5.61718870544669</v>
      </c>
      <c r="CP335" t="inlineStr">
        <is>
          <t>财会及报告管理部</t>
        </is>
      </c>
      <c r="CQ335" t="inlineStr">
        <is>
          <t>3,1</t>
        </is>
      </c>
      <c r="CR335" t="n">
        <v>8</v>
      </c>
      <c r="CS335" t="inlineStr">
        <is>
          <t>T1</t>
        </is>
      </c>
      <c r="CT335" t="inlineStr">
        <is>
          <t>N</t>
        </is>
      </c>
    </row>
    <row r="336">
      <c r="A336" t="inlineStr">
        <is>
          <t>annaHuang(黄娇)</t>
        </is>
      </c>
      <c r="C336" t="n">
        <v>72050316</v>
      </c>
      <c r="D336" t="inlineStr">
        <is>
          <t>财经IT管理部</t>
        </is>
      </c>
      <c r="E336" t="inlineStr">
        <is>
          <t>公共支持中心</t>
        </is>
      </c>
      <c r="G336" t="inlineStr">
        <is>
          <t>S2职能系统－财经线/财经IT管理部/公共支持中心</t>
        </is>
      </c>
      <c r="H336" s="188" t="n">
        <v>43252</v>
      </c>
      <c r="I336" t="inlineStr">
        <is>
          <t>社会招聘</t>
        </is>
      </c>
      <c r="J336" t="inlineStr">
        <is>
          <t>技术研发类－TRD</t>
        </is>
      </c>
      <c r="K336" t="inlineStr">
        <is>
          <t>应用开发</t>
        </is>
      </c>
      <c r="L336" t="inlineStr">
        <is>
          <t>T7</t>
        </is>
      </c>
      <c r="N336" t="inlineStr">
        <is>
          <t>T1</t>
        </is>
      </c>
      <c r="Q336" t="inlineStr">
        <is>
          <t>G,O</t>
        </is>
      </c>
      <c r="U336" t="n">
        <v>29396.3</v>
      </c>
      <c r="V336" t="n">
        <v>0.083333</v>
      </c>
      <c r="W336" t="inlineStr">
        <is>
          <t>CNY</t>
        </is>
      </c>
      <c r="X336" t="n">
        <v>1</v>
      </c>
      <c r="Y336" t="n">
        <v>28098.73</v>
      </c>
      <c r="Z336" t="n">
        <v>0</v>
      </c>
      <c r="AA336" t="n">
        <v>88188.89999999999</v>
      </c>
      <c r="AB336" t="n">
        <v>70495</v>
      </c>
      <c r="AC336" t="n">
        <v>54480</v>
      </c>
      <c r="AF336" t="n">
        <v>0</v>
      </c>
      <c r="AG336" t="n">
        <v>213163.9</v>
      </c>
      <c r="AH336" t="n">
        <v>7.586246780548445</v>
      </c>
      <c r="AI336" t="n">
        <v>213163.9</v>
      </c>
      <c r="AJ336" t="n">
        <v>7.586246780548445</v>
      </c>
      <c r="AK336" t="n">
        <v>5.647369115970721</v>
      </c>
      <c r="AQ336" t="n">
        <v>213163.9</v>
      </c>
      <c r="AR336" t="n">
        <v>7.586246780548445</v>
      </c>
      <c r="AS336" t="n">
        <v>1.273646819824934</v>
      </c>
      <c r="BL336" t="n">
        <v>1</v>
      </c>
      <c r="BM336" t="n">
        <v>24085</v>
      </c>
      <c r="BN336" t="n">
        <v>0</v>
      </c>
      <c r="BO336" t="n">
        <v>25705</v>
      </c>
      <c r="BP336" t="inlineStr">
        <is>
          <t>G,G</t>
        </is>
      </c>
      <c r="BQ336" t="inlineStr">
        <is>
          <t>T1#</t>
        </is>
      </c>
      <c r="BR336" t="n">
        <v>132535</v>
      </c>
      <c r="BS336" t="n">
        <v>5.502802574216317</v>
      </c>
      <c r="BT336" t="n">
        <v>34830</v>
      </c>
      <c r="BU336" t="n">
        <v>167365</v>
      </c>
      <c r="BV336" t="n">
        <v>6.948930869835998</v>
      </c>
      <c r="BY336" t="n">
        <v>167365</v>
      </c>
      <c r="BZ336" t="n">
        <v>6.948930869835998</v>
      </c>
      <c r="CP336" t="inlineStr">
        <is>
          <t>财经IT管理部</t>
        </is>
      </c>
      <c r="CQ336" t="inlineStr">
        <is>
          <t>5,3</t>
        </is>
      </c>
      <c r="CR336" t="n">
        <v>7</v>
      </c>
      <c r="CS336" t="inlineStr">
        <is>
          <t>T1</t>
        </is>
      </c>
      <c r="CT336" t="inlineStr">
        <is>
          <t>N</t>
        </is>
      </c>
    </row>
    <row r="337">
      <c r="A337" t="inlineStr">
        <is>
          <t>royFang(方博磊)</t>
        </is>
      </c>
      <c r="C337" t="n">
        <v>54299800</v>
      </c>
      <c r="D337" t="inlineStr">
        <is>
          <t>FiT财务管理</t>
        </is>
      </c>
      <c r="E337" t="inlineStr">
        <is>
          <t>结算支持中心</t>
        </is>
      </c>
      <c r="G337" t="inlineStr">
        <is>
          <t>S2职能系统－财经线/FiT财务管理/结算支持中心</t>
        </is>
      </c>
      <c r="H337" s="188" t="n">
        <v>42453</v>
      </c>
      <c r="I337" t="inlineStr">
        <is>
          <t>高校招聘</t>
        </is>
      </c>
      <c r="J337" t="inlineStr">
        <is>
          <t>财经类－FN</t>
        </is>
      </c>
      <c r="K337" t="inlineStr">
        <is>
          <t>财务管理</t>
        </is>
      </c>
      <c r="L337" t="inlineStr">
        <is>
          <t>S11</t>
        </is>
      </c>
      <c r="N337" t="inlineStr">
        <is>
          <t>T1</t>
        </is>
      </c>
      <c r="Q337" t="inlineStr">
        <is>
          <t>U,G</t>
        </is>
      </c>
      <c r="U337" t="n">
        <v>63043.8</v>
      </c>
      <c r="V337" t="n">
        <v>0.083333</v>
      </c>
      <c r="W337" t="inlineStr">
        <is>
          <t>CNY</t>
        </is>
      </c>
      <c r="X337" t="n">
        <v>1</v>
      </c>
      <c r="Y337" t="n">
        <v>61478.19</v>
      </c>
      <c r="Z337" t="n">
        <v>0</v>
      </c>
      <c r="AA337" t="n">
        <v>63043.8</v>
      </c>
      <c r="AB337" t="n">
        <v>131240</v>
      </c>
      <c r="AC337" t="n">
        <v>0</v>
      </c>
      <c r="AF337" t="n">
        <v>0</v>
      </c>
      <c r="AG337" t="n">
        <v>194283.8</v>
      </c>
      <c r="AH337" t="n">
        <v>3.160206896136662</v>
      </c>
      <c r="AI337" t="n">
        <v>194283.8</v>
      </c>
      <c r="AJ337" t="n">
        <v>3.160206896136662</v>
      </c>
      <c r="AK337" t="n">
        <v>3.160206896136662</v>
      </c>
      <c r="AQ337" t="n">
        <v>194283.8</v>
      </c>
      <c r="AR337" t="n">
        <v>3.160206896136662</v>
      </c>
      <c r="AS337" t="n">
        <v>0.6397227527164965</v>
      </c>
      <c r="BL337" t="n">
        <v>1</v>
      </c>
      <c r="BM337" t="n">
        <v>56170</v>
      </c>
      <c r="BN337" t="n">
        <v>0</v>
      </c>
      <c r="BO337" t="n">
        <v>58280</v>
      </c>
      <c r="BP337" t="inlineStr">
        <is>
          <t>G,G</t>
        </is>
      </c>
      <c r="BQ337" t="inlineStr">
        <is>
          <t>T1</t>
        </is>
      </c>
      <c r="BR337" t="n">
        <v>198520</v>
      </c>
      <c r="BS337" t="n">
        <v>3.534270963147588</v>
      </c>
      <c r="BT337" t="n">
        <v>105180</v>
      </c>
      <c r="BU337" t="n">
        <v>303700</v>
      </c>
      <c r="BV337" t="n">
        <v>5.4068007833363</v>
      </c>
      <c r="BY337" t="n">
        <v>303700</v>
      </c>
      <c r="BZ337" t="n">
        <v>5.4068007833363</v>
      </c>
      <c r="CP337" t="inlineStr">
        <is>
          <t>FiT财务管理</t>
        </is>
      </c>
      <c r="CQ337" t="inlineStr">
        <is>
          <t>3,1</t>
        </is>
      </c>
      <c r="CR337" t="n">
        <v>11</v>
      </c>
      <c r="CS337" t="inlineStr">
        <is>
          <t>T1</t>
        </is>
      </c>
      <c r="CT337" t="inlineStr">
        <is>
          <t>N</t>
        </is>
      </c>
    </row>
    <row r="338">
      <c r="A338" t="inlineStr">
        <is>
          <t>lindaZhou(周丹)</t>
        </is>
      </c>
      <c r="C338" t="n">
        <v>66957252</v>
      </c>
      <c r="D338" t="inlineStr">
        <is>
          <t>PCG财务管理</t>
        </is>
      </c>
      <c r="E338" t="inlineStr">
        <is>
          <t>财务规划及分析组</t>
        </is>
      </c>
      <c r="G338" t="inlineStr">
        <is>
          <t>S2职能系统－财经线/PCG财务管理/财务规划及分析组</t>
        </is>
      </c>
      <c r="H338" s="188" t="n">
        <v>38639</v>
      </c>
      <c r="I338" t="inlineStr">
        <is>
          <t>社会招聘</t>
        </is>
      </c>
      <c r="J338" t="inlineStr">
        <is>
          <t>财经类－FN</t>
        </is>
      </c>
      <c r="K338" t="inlineStr">
        <is>
          <t>财务管理</t>
        </is>
      </c>
      <c r="L338" t="inlineStr">
        <is>
          <t>S7</t>
        </is>
      </c>
      <c r="N338" t="inlineStr">
        <is>
          <t>T1</t>
        </is>
      </c>
      <c r="Q338" t="inlineStr">
        <is>
          <t>G,G</t>
        </is>
      </c>
      <c r="U338" t="n">
        <v>42707.8</v>
      </c>
      <c r="V338" t="n">
        <v>0.083333</v>
      </c>
      <c r="W338" t="inlineStr">
        <is>
          <t>CNY</t>
        </is>
      </c>
      <c r="X338" t="n">
        <v>1</v>
      </c>
      <c r="Y338" t="n">
        <v>39410.23</v>
      </c>
      <c r="Z338" t="n">
        <v>0</v>
      </c>
      <c r="AA338" t="n">
        <v>85415.60000000001</v>
      </c>
      <c r="AB338" t="n">
        <v>96065</v>
      </c>
      <c r="AC338" t="n">
        <v>44295</v>
      </c>
      <c r="AF338" t="n">
        <v>0</v>
      </c>
      <c r="AG338" t="n">
        <v>225775.6</v>
      </c>
      <c r="AH338" t="n">
        <v>5.728857710295017</v>
      </c>
      <c r="AI338" t="n">
        <v>225775.6</v>
      </c>
      <c r="AJ338" t="n">
        <v>5.728857710295017</v>
      </c>
      <c r="AK338" t="n">
        <v>4.604910958398365</v>
      </c>
      <c r="AQ338" t="n">
        <v>225775.6</v>
      </c>
      <c r="AR338" t="n">
        <v>5.728857710295017</v>
      </c>
      <c r="AS338" t="n">
        <v>1.707381555563958</v>
      </c>
      <c r="BL338" t="n">
        <v>1</v>
      </c>
      <c r="BM338" t="n">
        <v>36230</v>
      </c>
      <c r="BN338" t="n">
        <v>0</v>
      </c>
      <c r="BO338" t="n">
        <v>39100</v>
      </c>
      <c r="BP338" t="inlineStr">
        <is>
          <t>O,U</t>
        </is>
      </c>
      <c r="BQ338" t="inlineStr">
        <is>
          <t>Others</t>
        </is>
      </c>
      <c r="BR338" t="n">
        <v>132235</v>
      </c>
      <c r="BS338" t="n">
        <v>3.649875793541264</v>
      </c>
      <c r="BT338" t="n">
        <v>0</v>
      </c>
      <c r="BU338" t="n">
        <v>132235</v>
      </c>
      <c r="BV338" t="n">
        <v>3.649875793541264</v>
      </c>
      <c r="BY338" t="n">
        <v>132235</v>
      </c>
      <c r="BZ338" t="n">
        <v>3.649875793541264</v>
      </c>
      <c r="CP338" t="inlineStr">
        <is>
          <t>PCG财务管理</t>
        </is>
      </c>
      <c r="CQ338" t="inlineStr">
        <is>
          <t>3,3</t>
        </is>
      </c>
      <c r="CR338" t="n">
        <v>7</v>
      </c>
      <c r="CS338" t="inlineStr">
        <is>
          <t>T1</t>
        </is>
      </c>
      <c r="CT338" t="inlineStr">
        <is>
          <t>N</t>
        </is>
      </c>
    </row>
    <row r="339">
      <c r="A339" t="inlineStr">
        <is>
          <t>zacharyLong(龙炜)</t>
        </is>
      </c>
      <c r="C339" t="n">
        <v>25364324</v>
      </c>
      <c r="D339" t="inlineStr">
        <is>
          <t>风险管理和内部控制</t>
        </is>
      </c>
      <c r="E339" t="inlineStr">
        <is>
          <t>CSIG风控中心</t>
        </is>
      </c>
      <c r="G339" t="inlineStr">
        <is>
          <t>S2职能系统－财经线/风险管理和内部控制/CSIG风控中心</t>
        </is>
      </c>
      <c r="H339" s="188" t="n">
        <v>38783</v>
      </c>
      <c r="I339" t="inlineStr">
        <is>
          <t>高校招聘</t>
        </is>
      </c>
      <c r="J339" t="inlineStr">
        <is>
          <t>财经类－FN</t>
        </is>
      </c>
      <c r="K339" t="inlineStr">
        <is>
          <t>风险管理</t>
        </is>
      </c>
      <c r="L339" t="inlineStr">
        <is>
          <t>S9</t>
        </is>
      </c>
      <c r="N339" t="inlineStr">
        <is>
          <t>T1</t>
        </is>
      </c>
      <c r="Q339" t="inlineStr">
        <is>
          <t>G,G</t>
        </is>
      </c>
      <c r="U339" t="n">
        <v>42645.35</v>
      </c>
      <c r="V339" t="n">
        <v>0.083333</v>
      </c>
      <c r="W339" t="inlineStr">
        <is>
          <t>CNY</t>
        </is>
      </c>
      <c r="X339" t="n">
        <v>1</v>
      </c>
      <c r="Y339" t="n">
        <v>38525.72</v>
      </c>
      <c r="Z339" t="n">
        <v>0</v>
      </c>
      <c r="AA339" t="n">
        <v>85290.7</v>
      </c>
      <c r="AB339" t="n">
        <v>106170</v>
      </c>
      <c r="AC339" t="n">
        <v>54425</v>
      </c>
      <c r="AF339" t="n">
        <v>0</v>
      </c>
      <c r="AG339" t="n">
        <v>245885.7</v>
      </c>
      <c r="AH339" t="n">
        <v>6.382377798520054</v>
      </c>
      <c r="AI339" t="n">
        <v>245885.7</v>
      </c>
      <c r="AJ339" t="n">
        <v>6.382377798520054</v>
      </c>
      <c r="AK339" t="n">
        <v>4.969685186934858</v>
      </c>
      <c r="AQ339" t="n">
        <v>245885.7</v>
      </c>
      <c r="AR339" t="n">
        <v>6.382377798520054</v>
      </c>
      <c r="AS339" t="n">
        <v>2.850022602144306</v>
      </c>
      <c r="BL339" t="n">
        <v>1</v>
      </c>
      <c r="BM339" t="n">
        <v>35775</v>
      </c>
      <c r="BN339" t="n">
        <v>0</v>
      </c>
      <c r="BO339" t="n">
        <v>38155</v>
      </c>
      <c r="BP339" t="inlineStr">
        <is>
          <t>G,U</t>
        </is>
      </c>
      <c r="BQ339" t="inlineStr">
        <is>
          <t>T1</t>
        </is>
      </c>
      <c r="BR339" t="n">
        <v>86275</v>
      </c>
      <c r="BS339" t="n">
        <v>2.411600279524808</v>
      </c>
      <c r="BT339" t="n">
        <v>0</v>
      </c>
      <c r="BU339" t="n">
        <v>86275</v>
      </c>
      <c r="BV339" t="n">
        <v>2.411600279524808</v>
      </c>
      <c r="BY339" t="n">
        <v>86275</v>
      </c>
      <c r="BZ339" t="n">
        <v>2.411600279524808</v>
      </c>
      <c r="CP339" t="inlineStr">
        <is>
          <t>风险管理和内部控制</t>
        </is>
      </c>
      <c r="CQ339" t="inlineStr">
        <is>
          <t>3,3</t>
        </is>
      </c>
      <c r="CR339" t="n">
        <v>9</v>
      </c>
      <c r="CS339" t="inlineStr">
        <is>
          <t>T1</t>
        </is>
      </c>
      <c r="CT339" t="inlineStr">
        <is>
          <t>N</t>
        </is>
      </c>
    </row>
    <row r="340">
      <c r="A340" t="inlineStr">
        <is>
          <t>keithZou(邹旭)</t>
        </is>
      </c>
      <c r="C340" t="n">
        <v>63873289</v>
      </c>
      <c r="D340" t="inlineStr">
        <is>
          <t>CFO办公室</t>
        </is>
      </c>
      <c r="E340" t="inlineStr">
        <is>
          <t>集团个税及综合项目组</t>
        </is>
      </c>
      <c r="G340" t="inlineStr">
        <is>
          <t>S2职能系统－财经线/CFO办公室/集团个税及综合项目组</t>
        </is>
      </c>
      <c r="H340" s="188" t="n">
        <v>45273</v>
      </c>
      <c r="I340" t="inlineStr">
        <is>
          <t>社会招聘</t>
        </is>
      </c>
      <c r="J340" t="inlineStr">
        <is>
          <t>财经类－FN</t>
        </is>
      </c>
      <c r="K340" t="inlineStr">
        <is>
          <t>投资者关系</t>
        </is>
      </c>
      <c r="L340" t="inlineStr">
        <is>
          <t>S9</t>
        </is>
      </c>
      <c r="N340" t="inlineStr">
        <is>
          <t>T1</t>
        </is>
      </c>
      <c r="Q340" t="inlineStr">
        <is>
          <t>U,U</t>
        </is>
      </c>
      <c r="U340" t="n">
        <v>43205.75</v>
      </c>
      <c r="V340" t="n">
        <v>0.083333</v>
      </c>
      <c r="W340" t="inlineStr">
        <is>
          <t>CNY</t>
        </is>
      </c>
      <c r="X340" t="n">
        <v>1</v>
      </c>
      <c r="Y340" t="n">
        <v>38951.36</v>
      </c>
      <c r="Z340" t="n">
        <v>0</v>
      </c>
      <c r="AA340" t="n">
        <v>0</v>
      </c>
      <c r="AB340" t="n">
        <v>107165</v>
      </c>
      <c r="AC340" t="n">
        <v>0</v>
      </c>
      <c r="AF340" t="n">
        <v>0</v>
      </c>
      <c r="AG340" t="n">
        <v>107165</v>
      </c>
      <c r="AH340" t="n">
        <v>2.751251817651553</v>
      </c>
      <c r="AI340" t="n">
        <v>107165</v>
      </c>
      <c r="AJ340" t="n">
        <v>2.751251817651553</v>
      </c>
      <c r="AK340" t="n">
        <v>2.751251817651553</v>
      </c>
      <c r="AQ340" t="n">
        <v>107165</v>
      </c>
      <c r="AR340" t="n">
        <v>2.751251817651553</v>
      </c>
      <c r="AS340" t="n">
        <v>56.55145118733509</v>
      </c>
      <c r="BL340" t="n">
        <v>0.0493150684931506</v>
      </c>
      <c r="BM340" t="n">
        <v>38465</v>
      </c>
      <c r="BN340" t="n">
        <v>0</v>
      </c>
      <c r="BO340" t="n">
        <v>38465</v>
      </c>
      <c r="BP340" t="inlineStr">
        <is>
          <t>N,N</t>
        </is>
      </c>
      <c r="BQ340" t="inlineStr">
        <is>
          <t>T1</t>
        </is>
      </c>
      <c r="BR340" t="n">
        <v>1895</v>
      </c>
      <c r="BS340" t="n">
        <v>0.04926556609905108</v>
      </c>
      <c r="BT340" t="n">
        <v>0</v>
      </c>
      <c r="BU340" t="n">
        <v>1895</v>
      </c>
      <c r="BV340" t="n">
        <v>0.04926556609905108</v>
      </c>
      <c r="BY340" t="n">
        <v>1895</v>
      </c>
      <c r="BZ340" t="n">
        <v>0.04926556609905108</v>
      </c>
      <c r="CP340" t="inlineStr">
        <is>
          <t>CFO办公室</t>
        </is>
      </c>
      <c r="CQ340" t="inlineStr">
        <is>
          <t>1,1</t>
        </is>
      </c>
      <c r="CR340" t="n">
        <v>9</v>
      </c>
      <c r="CS340" t="inlineStr">
        <is>
          <t>T1</t>
        </is>
      </c>
      <c r="CT340" t="inlineStr">
        <is>
          <t>N</t>
        </is>
      </c>
    </row>
    <row r="341">
      <c r="A341" t="inlineStr">
        <is>
          <t>oscarXiao(萧杰)</t>
        </is>
      </c>
      <c r="C341" t="n">
        <v>30290151</v>
      </c>
      <c r="D341" t="inlineStr">
        <is>
          <t>WXG财务管理</t>
        </is>
      </c>
      <c r="E341" t="inlineStr">
        <is>
          <t>微信支付财务管理中心</t>
        </is>
      </c>
      <c r="G341" t="inlineStr">
        <is>
          <t>S2职能系统－财经线/WXG财务管理/微信支付财务管理中心</t>
        </is>
      </c>
      <c r="H341" s="188" t="n">
        <v>41727</v>
      </c>
      <c r="I341" t="inlineStr">
        <is>
          <t>高校招聘</t>
        </is>
      </c>
      <c r="J341" t="inlineStr">
        <is>
          <t>财经类－FN</t>
        </is>
      </c>
      <c r="K341" t="inlineStr">
        <is>
          <t>财务管理</t>
        </is>
      </c>
      <c r="L341" t="inlineStr">
        <is>
          <t>S8</t>
        </is>
      </c>
      <c r="N341" t="inlineStr">
        <is>
          <t>T1#</t>
        </is>
      </c>
      <c r="Q341" t="inlineStr">
        <is>
          <t>G,O</t>
        </is>
      </c>
      <c r="U341" t="n">
        <v>34550.5</v>
      </c>
      <c r="V341" t="n">
        <v>0.083333</v>
      </c>
      <c r="W341" t="inlineStr">
        <is>
          <t>CNY</t>
        </is>
      </c>
      <c r="X341" t="n">
        <v>1</v>
      </c>
      <c r="Y341" t="n">
        <v>31875.69</v>
      </c>
      <c r="Z341" t="n">
        <v>0</v>
      </c>
      <c r="AA341" t="n">
        <v>103651.5</v>
      </c>
      <c r="AB341" t="n">
        <v>118440</v>
      </c>
      <c r="AC341" t="n">
        <v>43850</v>
      </c>
      <c r="AF341" t="n">
        <v>0</v>
      </c>
      <c r="AG341" t="n">
        <v>265941.5</v>
      </c>
      <c r="AH341" t="n">
        <v>8.343082141908145</v>
      </c>
      <c r="AI341" t="n">
        <v>265941.5</v>
      </c>
      <c r="AJ341" t="n">
        <v>8.343082141908145</v>
      </c>
      <c r="AK341" t="n">
        <v>6.967425646315421</v>
      </c>
      <c r="AQ341" t="n">
        <v>265941.5</v>
      </c>
      <c r="AR341" t="n">
        <v>8.343082141908145</v>
      </c>
      <c r="AS341" t="n">
        <v>1.896263681414667</v>
      </c>
      <c r="BL341" t="n">
        <v>1</v>
      </c>
      <c r="BM341" t="n">
        <v>30445</v>
      </c>
      <c r="BN341" t="n">
        <v>0</v>
      </c>
      <c r="BO341" t="n">
        <v>33215</v>
      </c>
      <c r="BP341" t="inlineStr">
        <is>
          <t>G,U</t>
        </is>
      </c>
      <c r="BQ341" t="inlineStr">
        <is>
          <t>T1#</t>
        </is>
      </c>
      <c r="BR341" t="n">
        <v>140245</v>
      </c>
      <c r="BS341" t="n">
        <v>4.606503530957465</v>
      </c>
      <c r="BT341" t="n">
        <v>0</v>
      </c>
      <c r="BU341" t="n">
        <v>140245</v>
      </c>
      <c r="BV341" t="n">
        <v>4.606503530957465</v>
      </c>
      <c r="BY341" t="n">
        <v>140245</v>
      </c>
      <c r="BZ341" t="n">
        <v>4.606503530957465</v>
      </c>
      <c r="CP341" t="inlineStr">
        <is>
          <t>WXG财务管理</t>
        </is>
      </c>
      <c r="CQ341" t="inlineStr">
        <is>
          <t>5,3</t>
        </is>
      </c>
      <c r="CR341" t="n">
        <v>8</v>
      </c>
      <c r="CS341" t="inlineStr">
        <is>
          <t>T1#</t>
        </is>
      </c>
      <c r="CT341" t="inlineStr">
        <is>
          <t>N</t>
        </is>
      </c>
    </row>
    <row r="342">
      <c r="A342" t="inlineStr">
        <is>
          <t>jamesShi(石锋勋)</t>
        </is>
      </c>
      <c r="C342" t="n">
        <v>50969882</v>
      </c>
      <c r="D342" t="inlineStr">
        <is>
          <t>CSIG财务管理</t>
        </is>
      </c>
      <c r="E342" t="inlineStr">
        <is>
          <t>产品财务管理中心</t>
        </is>
      </c>
      <c r="G342" t="inlineStr">
        <is>
          <t>S2职能系统－财经线/CSIG财务管理/产品财务管理中心</t>
        </is>
      </c>
      <c r="H342" s="188" t="n">
        <v>44461</v>
      </c>
      <c r="I342" t="inlineStr">
        <is>
          <t>高校招聘</t>
        </is>
      </c>
      <c r="J342" t="inlineStr">
        <is>
          <t>财经类－FN</t>
        </is>
      </c>
      <c r="K342" t="inlineStr">
        <is>
          <t>财务管理</t>
        </is>
      </c>
      <c r="L342" t="inlineStr">
        <is>
          <t>S5</t>
        </is>
      </c>
      <c r="N342" t="inlineStr">
        <is>
          <t>T2</t>
        </is>
      </c>
      <c r="Q342" t="inlineStr">
        <is>
          <t>G,G</t>
        </is>
      </c>
      <c r="U342" t="n">
        <v>31883.75</v>
      </c>
      <c r="V342" t="n">
        <v>0.083333</v>
      </c>
      <c r="W342" t="inlineStr">
        <is>
          <t>CNY</t>
        </is>
      </c>
      <c r="X342" t="n">
        <v>1</v>
      </c>
      <c r="Y342" t="n">
        <v>29489.49</v>
      </c>
      <c r="Z342" t="n">
        <v>0</v>
      </c>
      <c r="AA342" t="n">
        <v>63767.5</v>
      </c>
      <c r="AB342" t="n">
        <v>36840</v>
      </c>
      <c r="AC342" t="n">
        <v>0</v>
      </c>
      <c r="AF342" t="n">
        <v>0</v>
      </c>
      <c r="AG342" t="n">
        <v>100607.5</v>
      </c>
      <c r="AH342" t="n">
        <v>3.411639197558181</v>
      </c>
      <c r="AI342" t="n">
        <v>100607.5</v>
      </c>
      <c r="AJ342" t="n">
        <v>3.411639197558181</v>
      </c>
      <c r="AK342" t="n">
        <v>3.411639197558181</v>
      </c>
      <c r="AQ342" t="n">
        <v>100607.5</v>
      </c>
      <c r="AR342" t="n">
        <v>3.411639197558181</v>
      </c>
      <c r="AS342" t="n">
        <v>0.7914683554261889</v>
      </c>
      <c r="BL342" t="n">
        <v>1</v>
      </c>
      <c r="BM342" t="n">
        <v>28535</v>
      </c>
      <c r="BN342" t="n">
        <v>0</v>
      </c>
      <c r="BO342" t="n">
        <v>29975</v>
      </c>
      <c r="BP342" t="inlineStr">
        <is>
          <t>O,G</t>
        </is>
      </c>
      <c r="BQ342" t="inlineStr">
        <is>
          <t>T2</t>
        </is>
      </c>
      <c r="BR342" t="n">
        <v>127115</v>
      </c>
      <c r="BS342" t="n">
        <v>4.454704748554406</v>
      </c>
      <c r="BT342" t="n">
        <v>0</v>
      </c>
      <c r="BU342" t="n">
        <v>127115</v>
      </c>
      <c r="BV342" t="n">
        <v>4.454704748554406</v>
      </c>
      <c r="BY342" t="n">
        <v>127115</v>
      </c>
      <c r="BZ342" t="n">
        <v>4.454704748554406</v>
      </c>
      <c r="CP342" t="inlineStr">
        <is>
          <t>CSIG财务管理</t>
        </is>
      </c>
      <c r="CQ342" t="inlineStr">
        <is>
          <t>3,3</t>
        </is>
      </c>
      <c r="CR342" t="n">
        <v>5</v>
      </c>
      <c r="CS342" t="inlineStr">
        <is>
          <t>T2</t>
        </is>
      </c>
      <c r="CT342" t="inlineStr">
        <is>
          <t>N</t>
        </is>
      </c>
    </row>
    <row r="343">
      <c r="A343" t="inlineStr">
        <is>
          <t>andrewWei(魏勇)</t>
        </is>
      </c>
      <c r="C343" t="n">
        <v>16555014</v>
      </c>
      <c r="D343" t="inlineStr">
        <is>
          <t>WXG财务管理</t>
        </is>
      </c>
      <c r="E343" t="inlineStr">
        <is>
          <t>微信支付财务管理中心</t>
        </is>
      </c>
      <c r="G343" t="inlineStr">
        <is>
          <t>S2职能系统－财经线/WXG财务管理/微信支付财务管理中心</t>
        </is>
      </c>
      <c r="H343" s="188" t="n">
        <v>42935</v>
      </c>
      <c r="I343" t="inlineStr">
        <is>
          <t>社会招聘</t>
        </is>
      </c>
      <c r="J343" t="inlineStr">
        <is>
          <t>财经类－FN</t>
        </is>
      </c>
      <c r="K343" t="inlineStr">
        <is>
          <t>财务管理</t>
        </is>
      </c>
      <c r="L343" t="inlineStr">
        <is>
          <t>S9</t>
        </is>
      </c>
      <c r="N343" t="inlineStr">
        <is>
          <t>T2</t>
        </is>
      </c>
      <c r="Q343" t="inlineStr">
        <is>
          <t>G,G</t>
        </is>
      </c>
      <c r="U343" t="n">
        <v>48179.95</v>
      </c>
      <c r="V343" t="n">
        <v>0.083333</v>
      </c>
      <c r="W343" t="inlineStr">
        <is>
          <t>CNY</t>
        </is>
      </c>
      <c r="X343" t="n">
        <v>1</v>
      </c>
      <c r="Y343" t="n">
        <v>45803.05</v>
      </c>
      <c r="Z343" t="n">
        <v>0</v>
      </c>
      <c r="AA343" t="n">
        <v>96359.89999999999</v>
      </c>
      <c r="AB343" t="n">
        <v>48255</v>
      </c>
      <c r="AC343" t="n">
        <v>0</v>
      </c>
      <c r="AF343" t="n">
        <v>0</v>
      </c>
      <c r="AG343" t="n">
        <v>144614.9</v>
      </c>
      <c r="AH343" t="n">
        <v>3.157320309455375</v>
      </c>
      <c r="AI343" t="n">
        <v>144614.9</v>
      </c>
      <c r="AJ343" t="n">
        <v>3.157320309455375</v>
      </c>
      <c r="AK343" t="n">
        <v>3.157320309455375</v>
      </c>
      <c r="AQ343" t="n">
        <v>144614.9</v>
      </c>
      <c r="AR343" t="n">
        <v>3.157320309455375</v>
      </c>
      <c r="AS343" t="n">
        <v>0.9989286454375906</v>
      </c>
      <c r="BL343" t="n">
        <v>1</v>
      </c>
      <c r="BM343" t="n">
        <v>40930</v>
      </c>
      <c r="BN343" t="n">
        <v>0</v>
      </c>
      <c r="BO343" t="n">
        <v>45005</v>
      </c>
      <c r="BP343" t="inlineStr">
        <is>
          <t>G,G</t>
        </is>
      </c>
      <c r="BQ343" t="inlineStr">
        <is>
          <t>T2</t>
        </is>
      </c>
      <c r="BR343" t="n">
        <v>144770</v>
      </c>
      <c r="BS343" t="n">
        <v>3.53701441485463</v>
      </c>
      <c r="BT343" t="n">
        <v>0</v>
      </c>
      <c r="BU343" t="n">
        <v>144770</v>
      </c>
      <c r="BV343" t="n">
        <v>3.53701441485463</v>
      </c>
      <c r="BY343" t="n">
        <v>144770</v>
      </c>
      <c r="BZ343" t="n">
        <v>3.53701441485463</v>
      </c>
      <c r="CP343" t="inlineStr">
        <is>
          <t>WXG财务管理</t>
        </is>
      </c>
      <c r="CQ343" t="inlineStr">
        <is>
          <t>3,3</t>
        </is>
      </c>
      <c r="CR343" t="n">
        <v>9</v>
      </c>
      <c r="CS343" t="inlineStr">
        <is>
          <t>T2</t>
        </is>
      </c>
      <c r="CT343" t="inlineStr">
        <is>
          <t>N</t>
        </is>
      </c>
    </row>
    <row r="344">
      <c r="A344" t="inlineStr">
        <is>
          <t>harryXiong(熊健)</t>
        </is>
      </c>
      <c r="C344" t="n">
        <v>44383</v>
      </c>
      <c r="D344" t="inlineStr">
        <is>
          <t>财会及报告管理部</t>
        </is>
      </c>
      <c r="E344" t="inlineStr">
        <is>
          <t>应收管理中心</t>
        </is>
      </c>
      <c r="G344" t="inlineStr">
        <is>
          <t>S2职能系统－财经线/财会及报告管理部/应收管理中心</t>
        </is>
      </c>
      <c r="H344" s="188" t="n">
        <v>36521</v>
      </c>
      <c r="I344" t="inlineStr">
        <is>
          <t>社会招聘</t>
        </is>
      </c>
      <c r="J344" t="inlineStr">
        <is>
          <t>财经类－FN</t>
        </is>
      </c>
      <c r="K344" t="inlineStr">
        <is>
          <t>会计</t>
        </is>
      </c>
      <c r="L344" t="inlineStr">
        <is>
          <t>S8</t>
        </is>
      </c>
      <c r="N344" t="inlineStr">
        <is>
          <t>T1</t>
        </is>
      </c>
      <c r="Q344" t="inlineStr">
        <is>
          <t>G,G</t>
        </is>
      </c>
      <c r="U344" t="n">
        <v>34159.95</v>
      </c>
      <c r="V344" t="n">
        <v>0.083333</v>
      </c>
      <c r="W344" t="inlineStr">
        <is>
          <t>CNY</t>
        </is>
      </c>
      <c r="X344" t="n">
        <v>1</v>
      </c>
      <c r="Y344" t="n">
        <v>33663.79</v>
      </c>
      <c r="Z344" t="n">
        <v>0</v>
      </c>
      <c r="AA344" t="n">
        <v>68319.89999999999</v>
      </c>
      <c r="AB344" t="n">
        <v>81950</v>
      </c>
      <c r="AC344" t="n">
        <v>48370</v>
      </c>
      <c r="AF344" t="n">
        <v>0</v>
      </c>
      <c r="AG344" t="n">
        <v>198639.9</v>
      </c>
      <c r="AH344" t="n">
        <v>5.90069923796459</v>
      </c>
      <c r="AI344" t="n">
        <v>198639.9</v>
      </c>
      <c r="AJ344" t="n">
        <v>5.90069923796459</v>
      </c>
      <c r="AK344" t="n">
        <v>4.46384379180122</v>
      </c>
      <c r="AQ344" t="n">
        <v>198639.9</v>
      </c>
      <c r="AR344" t="n">
        <v>5.90069923796459</v>
      </c>
      <c r="AS344" t="n">
        <v>1.454757772163023</v>
      </c>
      <c r="BL344" t="n">
        <v>1</v>
      </c>
      <c r="BM344" t="n">
        <v>29715</v>
      </c>
      <c r="BN344" t="n">
        <v>0</v>
      </c>
      <c r="BO344" t="n">
        <v>30010</v>
      </c>
      <c r="BP344" t="inlineStr">
        <is>
          <t>G,G</t>
        </is>
      </c>
      <c r="BQ344" t="inlineStr">
        <is>
          <t>T1</t>
        </is>
      </c>
      <c r="BR344" t="n">
        <v>103645</v>
      </c>
      <c r="BS344" t="n">
        <v>3.487969039205788</v>
      </c>
      <c r="BT344" t="n">
        <v>32900</v>
      </c>
      <c r="BU344" t="n">
        <v>136545</v>
      </c>
      <c r="BV344" t="n">
        <v>4.595153962645129</v>
      </c>
      <c r="BY344" t="n">
        <v>136545</v>
      </c>
      <c r="BZ344" t="n">
        <v>4.595153962645129</v>
      </c>
      <c r="CP344" t="inlineStr">
        <is>
          <t>财会及报告管理部</t>
        </is>
      </c>
      <c r="CQ344" t="inlineStr">
        <is>
          <t>3,3</t>
        </is>
      </c>
      <c r="CR344" t="n">
        <v>8</v>
      </c>
      <c r="CS344" t="inlineStr">
        <is>
          <t>T1</t>
        </is>
      </c>
      <c r="CT344" t="inlineStr">
        <is>
          <t>N</t>
        </is>
      </c>
    </row>
    <row r="345">
      <c r="A345" t="inlineStr">
        <is>
          <t>geraldLu(卢锋)</t>
        </is>
      </c>
      <c r="C345" t="n">
        <v>25627231</v>
      </c>
      <c r="D345" t="inlineStr">
        <is>
          <t>IEG财务管理</t>
        </is>
      </c>
      <c r="E345" t="inlineStr">
        <is>
          <t>自研财务管理组</t>
        </is>
      </c>
      <c r="G345" t="inlineStr">
        <is>
          <t>S2职能系统－财经线/IEG财务管理/自研财务管理组</t>
        </is>
      </c>
      <c r="H345" s="188" t="n">
        <v>40900</v>
      </c>
      <c r="I345" t="inlineStr">
        <is>
          <t>社会招聘</t>
        </is>
      </c>
      <c r="J345" t="inlineStr">
        <is>
          <t>财经类－FN</t>
        </is>
      </c>
      <c r="K345" t="inlineStr">
        <is>
          <t>财务管理</t>
        </is>
      </c>
      <c r="L345" t="inlineStr">
        <is>
          <t>S9</t>
        </is>
      </c>
      <c r="N345" t="inlineStr">
        <is>
          <t>T1#</t>
        </is>
      </c>
      <c r="Q345" t="inlineStr">
        <is>
          <t>G,G</t>
        </is>
      </c>
      <c r="U345" t="n">
        <v>46606.15</v>
      </c>
      <c r="V345" t="n">
        <v>0.083333</v>
      </c>
      <c r="W345" t="inlineStr">
        <is>
          <t>CNY</t>
        </is>
      </c>
      <c r="X345" t="n">
        <v>1</v>
      </c>
      <c r="Y345" t="n">
        <v>44988.75</v>
      </c>
      <c r="Z345" t="n">
        <v>0</v>
      </c>
      <c r="AA345" t="n">
        <v>93212.3</v>
      </c>
      <c r="AB345" t="n">
        <v>143160</v>
      </c>
      <c r="AC345" t="n">
        <v>79015</v>
      </c>
      <c r="AF345" t="n">
        <v>0</v>
      </c>
      <c r="AG345" t="n">
        <v>315387.3</v>
      </c>
      <c r="AH345" t="n">
        <v>7.010359256480786</v>
      </c>
      <c r="AI345" t="n">
        <v>315387.3</v>
      </c>
      <c r="AJ345" t="n">
        <v>7.010359256480786</v>
      </c>
      <c r="AK345" t="n">
        <v>5.254031285599178</v>
      </c>
      <c r="AQ345" t="n">
        <v>315387.3</v>
      </c>
      <c r="AR345" t="n">
        <v>7.010359256480786</v>
      </c>
      <c r="AS345" t="n">
        <v>0.997098686394461</v>
      </c>
      <c r="BL345" t="n">
        <v>1</v>
      </c>
      <c r="BM345" t="n">
        <v>38045</v>
      </c>
      <c r="BN345" t="n">
        <v>0</v>
      </c>
      <c r="BO345" t="n">
        <v>40425</v>
      </c>
      <c r="BP345" t="inlineStr">
        <is>
          <t>O,G</t>
        </is>
      </c>
      <c r="BQ345" t="inlineStr">
        <is>
          <t>T1#</t>
        </is>
      </c>
      <c r="BR345" t="n">
        <v>256515</v>
      </c>
      <c r="BS345" t="n">
        <v>6.742410303587857</v>
      </c>
      <c r="BT345" t="n">
        <v>59790</v>
      </c>
      <c r="BU345" t="n">
        <v>316305</v>
      </c>
      <c r="BV345" t="n">
        <v>8.313970298330924</v>
      </c>
      <c r="BY345" t="n">
        <v>316305</v>
      </c>
      <c r="BZ345" t="n">
        <v>8.313970298330924</v>
      </c>
      <c r="CP345" t="inlineStr">
        <is>
          <t>IEG财务管理</t>
        </is>
      </c>
      <c r="CQ345" t="inlineStr">
        <is>
          <t>3,3</t>
        </is>
      </c>
      <c r="CR345" t="n">
        <v>9</v>
      </c>
      <c r="CS345" t="inlineStr">
        <is>
          <t>T1#</t>
        </is>
      </c>
      <c r="CT345" t="inlineStr">
        <is>
          <t>N</t>
        </is>
      </c>
    </row>
    <row r="346">
      <c r="A346" t="inlineStr">
        <is>
          <t>jerrySong(宋睿)</t>
        </is>
      </c>
      <c r="C346" t="n">
        <v>6124988</v>
      </c>
      <c r="D346" t="inlineStr">
        <is>
          <t>财经IT管理部</t>
        </is>
      </c>
      <c r="E346" t="inlineStr">
        <is>
          <t>平台建设中心</t>
        </is>
      </c>
      <c r="G346" t="inlineStr">
        <is>
          <t>S2职能系统－财经线/财经IT管理部/平台建设中心</t>
        </is>
      </c>
      <c r="H346" s="188" t="n">
        <v>38219</v>
      </c>
      <c r="I346" t="inlineStr">
        <is>
          <t>社会招聘</t>
        </is>
      </c>
      <c r="J346" t="inlineStr">
        <is>
          <t>技术研发类－TRD</t>
        </is>
      </c>
      <c r="K346" t="inlineStr">
        <is>
          <t>应用开发</t>
        </is>
      </c>
      <c r="L346" t="inlineStr">
        <is>
          <t>T8</t>
        </is>
      </c>
      <c r="N346" t="inlineStr">
        <is>
          <t>T1</t>
        </is>
      </c>
      <c r="Q346" t="inlineStr">
        <is>
          <t>G,G</t>
        </is>
      </c>
      <c r="U346" t="n">
        <v>40797.5</v>
      </c>
      <c r="V346" t="n">
        <v>0.083333</v>
      </c>
      <c r="W346" t="inlineStr">
        <is>
          <t>CNY</t>
        </is>
      </c>
      <c r="X346" t="n">
        <v>1</v>
      </c>
      <c r="Y346" t="n">
        <v>39955.5</v>
      </c>
      <c r="Z346" t="n">
        <v>0</v>
      </c>
      <c r="AA346" t="n">
        <v>81595</v>
      </c>
      <c r="AB346" t="n">
        <v>85715</v>
      </c>
      <c r="AC346" t="n">
        <v>75325</v>
      </c>
      <c r="AF346" t="n">
        <v>0</v>
      </c>
      <c r="AG346" t="n">
        <v>242635</v>
      </c>
      <c r="AH346" t="n">
        <v>6.072630801766966</v>
      </c>
      <c r="AI346" t="n">
        <v>242635</v>
      </c>
      <c r="AJ346" t="n">
        <v>6.072630801766966</v>
      </c>
      <c r="AK346" t="n">
        <v>4.187408491947291</v>
      </c>
      <c r="AQ346" t="n">
        <v>242635</v>
      </c>
      <c r="AR346" t="n">
        <v>6.072630801766966</v>
      </c>
      <c r="AS346" t="n">
        <v>1.29956348249913</v>
      </c>
      <c r="BL346" t="n">
        <v>1</v>
      </c>
      <c r="BM346" t="n">
        <v>35630</v>
      </c>
      <c r="BN346" t="n">
        <v>0</v>
      </c>
      <c r="BO346" t="n">
        <v>36585</v>
      </c>
      <c r="BP346" t="inlineStr">
        <is>
          <t>G,G</t>
        </is>
      </c>
      <c r="BQ346" t="inlineStr">
        <is>
          <t>T1</t>
        </is>
      </c>
      <c r="BR346" t="n">
        <v>126990</v>
      </c>
      <c r="BS346" t="n">
        <v>3.564131349985967</v>
      </c>
      <c r="BT346" t="n">
        <v>59715</v>
      </c>
      <c r="BU346" t="n">
        <v>186705</v>
      </c>
      <c r="BV346" t="n">
        <v>5.240106651698007</v>
      </c>
      <c r="BY346" t="n">
        <v>186705</v>
      </c>
      <c r="BZ346" t="n">
        <v>5.240106651698007</v>
      </c>
      <c r="CP346" t="inlineStr">
        <is>
          <t>财经IT管理部</t>
        </is>
      </c>
      <c r="CQ346" t="inlineStr">
        <is>
          <t>3,3</t>
        </is>
      </c>
      <c r="CR346" t="n">
        <v>8</v>
      </c>
      <c r="CS346" t="inlineStr">
        <is>
          <t>T1</t>
        </is>
      </c>
      <c r="CT346" t="inlineStr">
        <is>
          <t>N</t>
        </is>
      </c>
    </row>
    <row r="347">
      <c r="A347" t="inlineStr">
        <is>
          <t>thomasLin(林鹏)</t>
        </is>
      </c>
      <c r="C347" t="n">
        <v>39112547</v>
      </c>
      <c r="D347" t="inlineStr">
        <is>
          <t>CSIG财务管理</t>
        </is>
      </c>
      <c r="E347" t="inlineStr">
        <is>
          <t>行业财务管理3中心</t>
        </is>
      </c>
      <c r="G347" t="inlineStr">
        <is>
          <t>S2职能系统－财经线/CSIG财务管理/行业财务管理3中心</t>
        </is>
      </c>
      <c r="H347" s="188" t="n">
        <v>39521</v>
      </c>
      <c r="I347" t="inlineStr">
        <is>
          <t>社会招聘</t>
        </is>
      </c>
      <c r="J347" t="inlineStr">
        <is>
          <t>财经类－FN</t>
        </is>
      </c>
      <c r="K347" t="inlineStr">
        <is>
          <t>财务管理</t>
        </is>
      </c>
      <c r="L347" t="inlineStr">
        <is>
          <t>S8</t>
        </is>
      </c>
      <c r="N347" t="inlineStr">
        <is>
          <t>T1</t>
        </is>
      </c>
      <c r="Q347" t="inlineStr">
        <is>
          <t>G,O</t>
        </is>
      </c>
      <c r="U347" t="n">
        <v>44710.7</v>
      </c>
      <c r="V347" t="n">
        <v>0.083333</v>
      </c>
      <c r="W347" t="inlineStr">
        <is>
          <t>CNY</t>
        </is>
      </c>
      <c r="X347" t="n">
        <v>1</v>
      </c>
      <c r="Y347" t="n">
        <v>40576.98</v>
      </c>
      <c r="Z347" t="n">
        <v>0</v>
      </c>
      <c r="AA347" t="n">
        <v>134132.1</v>
      </c>
      <c r="AB347" t="n">
        <v>107770</v>
      </c>
      <c r="AC347" t="n">
        <v>52965</v>
      </c>
      <c r="AF347" t="n">
        <v>0</v>
      </c>
      <c r="AG347" t="n">
        <v>294867.1</v>
      </c>
      <c r="AH347" t="n">
        <v>7.266856725167815</v>
      </c>
      <c r="AI347" t="n">
        <v>294867.1</v>
      </c>
      <c r="AJ347" t="n">
        <v>7.266856725167815</v>
      </c>
      <c r="AK347" t="n">
        <v>5.961559978095955</v>
      </c>
      <c r="AQ347" t="n">
        <v>294867.1</v>
      </c>
      <c r="AR347" t="n">
        <v>7.266856725167815</v>
      </c>
      <c r="AS347" t="n">
        <v>0.9523054564244997</v>
      </c>
      <c r="BL347" t="n">
        <v>1</v>
      </c>
      <c r="BM347" t="n">
        <v>39465</v>
      </c>
      <c r="BN347" t="n">
        <v>0</v>
      </c>
      <c r="BO347" t="n">
        <v>42405</v>
      </c>
      <c r="BP347" t="inlineStr">
        <is>
          <t>O,O</t>
        </is>
      </c>
      <c r="BQ347" t="inlineStr">
        <is>
          <t>T1</t>
        </is>
      </c>
      <c r="BR347" t="n">
        <v>230275</v>
      </c>
      <c r="BS347" t="n">
        <v>5.83491701507665</v>
      </c>
      <c r="BT347" t="n">
        <v>79360</v>
      </c>
      <c r="BU347" t="n">
        <v>309635</v>
      </c>
      <c r="BV347" t="n">
        <v>7.845812745470671</v>
      </c>
      <c r="BY347" t="n">
        <v>309635</v>
      </c>
      <c r="BZ347" t="n">
        <v>7.845812745470671</v>
      </c>
      <c r="CP347" t="inlineStr">
        <is>
          <t>CSIG财务管理</t>
        </is>
      </c>
      <c r="CQ347" t="inlineStr">
        <is>
          <t>5,3</t>
        </is>
      </c>
      <c r="CR347" t="n">
        <v>8</v>
      </c>
      <c r="CS347" t="inlineStr">
        <is>
          <t>T1</t>
        </is>
      </c>
      <c r="CT347" t="inlineStr">
        <is>
          <t>N</t>
        </is>
      </c>
    </row>
    <row r="348">
      <c r="A348" t="inlineStr">
        <is>
          <t>ernestFu(傅睿磊)</t>
        </is>
      </c>
      <c r="C348" t="n">
        <v>89633809</v>
      </c>
      <c r="D348" t="inlineStr">
        <is>
          <t>风险管理和内部控制</t>
        </is>
      </c>
      <c r="E348" t="inlineStr">
        <is>
          <t>风险管理和内部控制</t>
        </is>
      </c>
      <c r="G348" t="inlineStr">
        <is>
          <t>S2职能系统－财经线/风险管理和内部控制</t>
        </is>
      </c>
      <c r="H348" s="188" t="n">
        <v>43238</v>
      </c>
      <c r="I348" t="inlineStr">
        <is>
          <t>社会招聘</t>
        </is>
      </c>
      <c r="J348" t="inlineStr">
        <is>
          <t>财经类－FN</t>
        </is>
      </c>
      <c r="K348" t="inlineStr">
        <is>
          <t>风险管理</t>
        </is>
      </c>
      <c r="L348" t="inlineStr">
        <is>
          <t>S6</t>
        </is>
      </c>
      <c r="N348" t="inlineStr">
        <is>
          <t>T1#</t>
        </is>
      </c>
      <c r="Q348" t="inlineStr">
        <is>
          <t>G,O</t>
        </is>
      </c>
      <c r="U348" t="n">
        <v>32730</v>
      </c>
      <c r="V348" t="n">
        <v>0.083333</v>
      </c>
      <c r="W348" t="inlineStr">
        <is>
          <t>CNY</t>
        </is>
      </c>
      <c r="X348" t="n">
        <v>1</v>
      </c>
      <c r="Y348" t="n">
        <v>29689.11</v>
      </c>
      <c r="Z348" t="n">
        <v>0</v>
      </c>
      <c r="AA348" t="n">
        <v>98190</v>
      </c>
      <c r="AB348" t="n">
        <v>107295</v>
      </c>
      <c r="AC348" t="n">
        <v>42180</v>
      </c>
      <c r="AF348" t="n">
        <v>0</v>
      </c>
      <c r="AG348" t="n">
        <v>247665</v>
      </c>
      <c r="AH348" t="n">
        <v>8.341947603009993</v>
      </c>
      <c r="AI348" t="n">
        <v>247665</v>
      </c>
      <c r="AJ348" t="n">
        <v>8.341947603009993</v>
      </c>
      <c r="AK348" t="n">
        <v>6.921224651058924</v>
      </c>
      <c r="AQ348" t="n">
        <v>247665</v>
      </c>
      <c r="AR348" t="n">
        <v>8.341947603009993</v>
      </c>
      <c r="AS348" t="n">
        <v>1.253873025516403</v>
      </c>
      <c r="BL348" t="n">
        <v>1</v>
      </c>
      <c r="BM348" t="n">
        <v>27850</v>
      </c>
      <c r="BN348" t="n">
        <v>0</v>
      </c>
      <c r="BO348" t="n">
        <v>30195</v>
      </c>
      <c r="BP348" t="inlineStr">
        <is>
          <t>G,G</t>
        </is>
      </c>
      <c r="BQ348" t="inlineStr">
        <is>
          <t>T1#</t>
        </is>
      </c>
      <c r="BR348" t="n">
        <v>157300</v>
      </c>
      <c r="BS348" t="n">
        <v>5.648114901256733</v>
      </c>
      <c r="BT348" t="n">
        <v>40220</v>
      </c>
      <c r="BU348" t="n">
        <v>197520</v>
      </c>
      <c r="BV348" t="n">
        <v>7.092280071813286</v>
      </c>
      <c r="BY348" t="n">
        <v>197520</v>
      </c>
      <c r="BZ348" t="n">
        <v>7.092280071813286</v>
      </c>
      <c r="CP348" t="inlineStr">
        <is>
          <t>风险管理和内部控制</t>
        </is>
      </c>
      <c r="CQ348" t="inlineStr">
        <is>
          <t>5,3</t>
        </is>
      </c>
      <c r="CR348" t="n">
        <v>6</v>
      </c>
      <c r="CS348" t="inlineStr">
        <is>
          <t>T1#</t>
        </is>
      </c>
      <c r="CT348" t="inlineStr">
        <is>
          <t>N</t>
        </is>
      </c>
    </row>
    <row r="349">
      <c r="A349" t="inlineStr">
        <is>
          <t>christinaCai(蔡澜曼)</t>
        </is>
      </c>
      <c r="C349" t="n">
        <v>59143297</v>
      </c>
      <c r="D349" t="inlineStr">
        <is>
          <t>行政支持中心</t>
        </is>
      </c>
      <c r="E349" t="inlineStr">
        <is>
          <t>行政支持中心</t>
        </is>
      </c>
      <c r="G349" t="inlineStr">
        <is>
          <t>S2职能系统－财经线/行政支持中心</t>
        </is>
      </c>
      <c r="H349" s="188" t="n">
        <v>41141</v>
      </c>
      <c r="I349" t="inlineStr">
        <is>
          <t>高校招聘</t>
        </is>
      </c>
      <c r="J349" t="inlineStr">
        <is>
          <t>财经类－FN</t>
        </is>
      </c>
      <c r="K349" t="inlineStr">
        <is>
          <t>公司秘书</t>
        </is>
      </c>
      <c r="L349" t="inlineStr">
        <is>
          <t>S8</t>
        </is>
      </c>
      <c r="N349" t="inlineStr">
        <is>
          <t>T2</t>
        </is>
      </c>
      <c r="Q349" t="inlineStr">
        <is>
          <t>G,G</t>
        </is>
      </c>
      <c r="U349" t="n">
        <v>46016.35</v>
      </c>
      <c r="V349" t="n">
        <v>0.083333</v>
      </c>
      <c r="W349" t="inlineStr">
        <is>
          <t>CNY</t>
        </is>
      </c>
      <c r="X349" t="n">
        <v>1</v>
      </c>
      <c r="Y349" t="n">
        <v>43405.09</v>
      </c>
      <c r="Z349" t="n">
        <v>0</v>
      </c>
      <c r="AA349" t="n">
        <v>92032.7</v>
      </c>
      <c r="AB349" t="n">
        <v>67150</v>
      </c>
      <c r="AC349" t="n">
        <v>0</v>
      </c>
      <c r="AF349" t="n">
        <v>0</v>
      </c>
      <c r="AG349" t="n">
        <v>159182.7</v>
      </c>
      <c r="AH349" t="n">
        <v>3.667374033782675</v>
      </c>
      <c r="AI349" t="n">
        <v>159182.7</v>
      </c>
      <c r="AJ349" t="n">
        <v>3.667374033782675</v>
      </c>
      <c r="AK349" t="n">
        <v>3.667374033782675</v>
      </c>
      <c r="AQ349" t="n">
        <v>159182.7</v>
      </c>
      <c r="AR349" t="n">
        <v>3.667374033782675</v>
      </c>
      <c r="AS349" t="n">
        <v>1.122863189080521</v>
      </c>
      <c r="BL349" t="n">
        <v>1</v>
      </c>
      <c r="BM349" t="n">
        <v>38035</v>
      </c>
      <c r="BN349" t="n">
        <v>0</v>
      </c>
      <c r="BO349" t="n">
        <v>41720</v>
      </c>
      <c r="BP349" t="inlineStr">
        <is>
          <t>G,G</t>
        </is>
      </c>
      <c r="BQ349" t="inlineStr">
        <is>
          <t>T2</t>
        </is>
      </c>
      <c r="BR349" t="n">
        <v>141765</v>
      </c>
      <c r="BS349" t="n">
        <v>3.727224924411726</v>
      </c>
      <c r="BT349" t="n">
        <v>0</v>
      </c>
      <c r="BU349" t="n">
        <v>141765</v>
      </c>
      <c r="BV349" t="n">
        <v>3.727224924411726</v>
      </c>
      <c r="BY349" t="n">
        <v>141765</v>
      </c>
      <c r="BZ349" t="n">
        <v>3.727224924411726</v>
      </c>
      <c r="CP349" t="inlineStr">
        <is>
          <t>行政支持中心</t>
        </is>
      </c>
      <c r="CQ349" t="inlineStr">
        <is>
          <t>3,3</t>
        </is>
      </c>
      <c r="CR349" t="n">
        <v>8</v>
      </c>
      <c r="CS349" t="inlineStr">
        <is>
          <t>T2</t>
        </is>
      </c>
      <c r="CT349" t="inlineStr">
        <is>
          <t>N</t>
        </is>
      </c>
    </row>
    <row r="350">
      <c r="A350" t="inlineStr">
        <is>
          <t>judyFan(范秀)</t>
        </is>
      </c>
      <c r="C350" t="n">
        <v>6771604</v>
      </c>
      <c r="D350" t="inlineStr">
        <is>
          <t>财经投资并购及管理部</t>
        </is>
      </c>
      <c r="E350" t="inlineStr">
        <is>
          <t>财经投资并购及管理部</t>
        </is>
      </c>
      <c r="G350" t="inlineStr">
        <is>
          <t>S2职能系统－财经线/财经投资并购及管理部</t>
        </is>
      </c>
      <c r="H350" s="188" t="n">
        <v>43274</v>
      </c>
      <c r="I350" t="inlineStr">
        <is>
          <t>高校招聘</t>
        </is>
      </c>
      <c r="J350" t="inlineStr">
        <is>
          <t>财经类－FN</t>
        </is>
      </c>
      <c r="K350" t="inlineStr">
        <is>
          <t>投资并购</t>
        </is>
      </c>
      <c r="L350" t="inlineStr">
        <is>
          <t>S9</t>
        </is>
      </c>
      <c r="N350" t="inlineStr">
        <is>
          <t>T1#</t>
        </is>
      </c>
      <c r="Q350" t="inlineStr">
        <is>
          <t>O,O</t>
        </is>
      </c>
      <c r="U350" t="n">
        <v>55636.55</v>
      </c>
      <c r="V350" t="n">
        <v>0.083333</v>
      </c>
      <c r="W350" t="inlineStr">
        <is>
          <t>CNY</t>
        </is>
      </c>
      <c r="X350" t="n">
        <v>1</v>
      </c>
      <c r="Y350" t="n">
        <v>53602.43</v>
      </c>
      <c r="Z350" t="n">
        <v>0</v>
      </c>
      <c r="AA350" t="n">
        <v>222546.2</v>
      </c>
      <c r="AB350" t="n">
        <v>168880</v>
      </c>
      <c r="AC350" t="n">
        <v>76695</v>
      </c>
      <c r="AF350" t="n">
        <v>0</v>
      </c>
      <c r="AG350" t="n">
        <v>468121.2</v>
      </c>
      <c r="AH350" t="n">
        <v>8.733208550433254</v>
      </c>
      <c r="AI350" t="n">
        <v>468121.2</v>
      </c>
      <c r="AJ350" t="n">
        <v>8.733208550433254</v>
      </c>
      <c r="AK350" t="n">
        <v>7.302396551798118</v>
      </c>
      <c r="AQ350" t="n">
        <v>468121.2</v>
      </c>
      <c r="AR350" t="n">
        <v>8.733208550433254</v>
      </c>
      <c r="AS350" t="n">
        <v>1.20825738510976</v>
      </c>
      <c r="BL350" t="n">
        <v>1</v>
      </c>
      <c r="BM350" t="n">
        <v>45935</v>
      </c>
      <c r="BN350" t="n">
        <v>0</v>
      </c>
      <c r="BO350" t="n">
        <v>47385</v>
      </c>
      <c r="BP350" t="inlineStr">
        <is>
          <t>G,O</t>
        </is>
      </c>
      <c r="BQ350" t="inlineStr">
        <is>
          <t>T1#</t>
        </is>
      </c>
      <c r="BR350" t="n">
        <v>303630</v>
      </c>
      <c r="BS350" t="n">
        <v>6.609992380537716</v>
      </c>
      <c r="BT350" t="n">
        <v>83805</v>
      </c>
      <c r="BU350" t="n">
        <v>387435</v>
      </c>
      <c r="BV350" t="n">
        <v>8.434418199629912</v>
      </c>
      <c r="BY350" t="n">
        <v>387435</v>
      </c>
      <c r="BZ350" t="n">
        <v>8.434418199629912</v>
      </c>
      <c r="CP350" t="inlineStr">
        <is>
          <t>财经投资并购及管理部</t>
        </is>
      </c>
      <c r="CQ350" t="inlineStr">
        <is>
          <t>5,5</t>
        </is>
      </c>
      <c r="CR350" t="n">
        <v>9</v>
      </c>
      <c r="CS350" t="inlineStr">
        <is>
          <t>T1#</t>
        </is>
      </c>
      <c r="CT350" t="inlineStr">
        <is>
          <t>N</t>
        </is>
      </c>
    </row>
    <row r="351">
      <c r="A351" t="inlineStr">
        <is>
          <t>oscarWang(汪波文)</t>
        </is>
      </c>
      <c r="C351" t="n">
        <v>21775494</v>
      </c>
      <c r="D351" t="inlineStr">
        <is>
          <t>WXG财务管理</t>
        </is>
      </c>
      <c r="E351" t="inlineStr">
        <is>
          <t>微信支付财务管理中心</t>
        </is>
      </c>
      <c r="G351" t="inlineStr">
        <is>
          <t>S2职能系统－财经线/WXG财务管理/微信支付财务管理中心</t>
        </is>
      </c>
      <c r="H351" s="188" t="n">
        <v>43552</v>
      </c>
      <c r="I351" t="inlineStr">
        <is>
          <t>社会招聘</t>
        </is>
      </c>
      <c r="J351" t="inlineStr">
        <is>
          <t>财经类－FN</t>
        </is>
      </c>
      <c r="K351" t="inlineStr">
        <is>
          <t>财务管理</t>
        </is>
      </c>
      <c r="L351" t="inlineStr">
        <is>
          <t>S7</t>
        </is>
      </c>
      <c r="N351" t="inlineStr">
        <is>
          <t>T2</t>
        </is>
      </c>
      <c r="Q351" t="inlineStr">
        <is>
          <t>O,G</t>
        </is>
      </c>
      <c r="U351" t="n">
        <v>24965.05</v>
      </c>
      <c r="V351" t="n">
        <v>0.083333</v>
      </c>
      <c r="W351" t="inlineStr">
        <is>
          <t>CNY</t>
        </is>
      </c>
      <c r="X351" t="n">
        <v>1</v>
      </c>
      <c r="Y351" t="n">
        <v>22913.96</v>
      </c>
      <c r="Z351" t="n">
        <v>0</v>
      </c>
      <c r="AA351" t="n">
        <v>74895.14999999999</v>
      </c>
      <c r="AB351" t="n">
        <v>25360</v>
      </c>
      <c r="AC351" t="n">
        <v>0</v>
      </c>
      <c r="AF351" t="n">
        <v>0</v>
      </c>
      <c r="AG351" t="n">
        <v>100255.15</v>
      </c>
      <c r="AH351" t="n">
        <v>4.375286942981484</v>
      </c>
      <c r="AI351" t="n">
        <v>100255.15</v>
      </c>
      <c r="AJ351" t="n">
        <v>4.375286942981484</v>
      </c>
      <c r="AK351" t="n">
        <v>4.375286942981484</v>
      </c>
      <c r="AQ351" t="n">
        <v>100255.15</v>
      </c>
      <c r="AR351" t="n">
        <v>4.375286942981484</v>
      </c>
      <c r="AS351" t="n">
        <v>2.049997955219303</v>
      </c>
      <c r="BL351" t="n">
        <v>1</v>
      </c>
      <c r="BM351" t="n">
        <v>20385</v>
      </c>
      <c r="BN351" t="n">
        <v>0</v>
      </c>
      <c r="BO351" t="n">
        <v>22085</v>
      </c>
      <c r="BP351" t="inlineStr">
        <is>
          <t>G,U</t>
        </is>
      </c>
      <c r="BQ351" t="inlineStr">
        <is>
          <t>Others</t>
        </is>
      </c>
      <c r="BR351" t="n">
        <v>48905</v>
      </c>
      <c r="BS351" t="n">
        <v>2.3990679421143</v>
      </c>
      <c r="BT351" t="n">
        <v>0</v>
      </c>
      <c r="BU351" t="n">
        <v>48905</v>
      </c>
      <c r="BV351" t="n">
        <v>2.3990679421143</v>
      </c>
      <c r="BY351" t="n">
        <v>48905</v>
      </c>
      <c r="BZ351" t="n">
        <v>2.3990679421143</v>
      </c>
      <c r="CP351" t="inlineStr">
        <is>
          <t>WXG财务管理</t>
        </is>
      </c>
      <c r="CQ351" t="inlineStr">
        <is>
          <t>5,3</t>
        </is>
      </c>
      <c r="CR351" t="n">
        <v>7</v>
      </c>
      <c r="CS351" t="inlineStr">
        <is>
          <t>T2</t>
        </is>
      </c>
      <c r="CT351" t="inlineStr">
        <is>
          <t>N</t>
        </is>
      </c>
    </row>
    <row r="352">
      <c r="A352" t="inlineStr">
        <is>
          <t>fredRen(任嘉阳)</t>
        </is>
      </c>
      <c r="C352" t="n">
        <v>75056287</v>
      </c>
      <c r="D352" t="inlineStr">
        <is>
          <t>WXG财务管理</t>
        </is>
      </c>
      <c r="E352" t="inlineStr">
        <is>
          <t>WXG财务管理</t>
        </is>
      </c>
      <c r="G352" t="inlineStr">
        <is>
          <t>S2职能系统－财经线/WXG财务管理</t>
        </is>
      </c>
      <c r="H352" s="188" t="n">
        <v>42298</v>
      </c>
      <c r="I352" t="inlineStr">
        <is>
          <t>社会招聘</t>
        </is>
      </c>
      <c r="J352" t="inlineStr">
        <is>
          <t>财经类－FN</t>
        </is>
      </c>
      <c r="K352" t="inlineStr">
        <is>
          <t>财务管理</t>
        </is>
      </c>
      <c r="M352" t="inlineStr">
        <is>
          <t>L2-1</t>
        </is>
      </c>
      <c r="N352" t="inlineStr">
        <is>
          <t>T1</t>
        </is>
      </c>
      <c r="Q352" t="inlineStr">
        <is>
          <t>U,O</t>
        </is>
      </c>
      <c r="U352" t="n">
        <v>82191.05</v>
      </c>
      <c r="V352" t="n">
        <v>0.083333</v>
      </c>
      <c r="W352" t="inlineStr">
        <is>
          <t>CNY</t>
        </is>
      </c>
      <c r="X352" t="n">
        <v>1</v>
      </c>
      <c r="Y352" t="n">
        <v>75073.05</v>
      </c>
      <c r="Z352" t="n">
        <v>0</v>
      </c>
      <c r="AA352" t="n">
        <v>164382.1</v>
      </c>
      <c r="AB352" t="n">
        <v>176950</v>
      </c>
      <c r="AC352" t="n">
        <v>0</v>
      </c>
      <c r="AF352" t="n">
        <v>81205</v>
      </c>
      <c r="AG352" t="n">
        <v>341332.1</v>
      </c>
      <c r="AH352" t="n">
        <v>4.54666621377445</v>
      </c>
      <c r="AI352" t="n">
        <v>422537.1</v>
      </c>
      <c r="AJ352" t="n">
        <v>5.62834599100476</v>
      </c>
      <c r="AK352" t="n">
        <v>5.62834599100476</v>
      </c>
      <c r="AQ352" t="n">
        <v>422537.1</v>
      </c>
      <c r="AR352" t="n">
        <v>5.62834599100476</v>
      </c>
      <c r="AS352" t="n">
        <v>1.155404219247754</v>
      </c>
      <c r="BL352" t="n">
        <v>1</v>
      </c>
      <c r="BM352" t="n">
        <v>67960</v>
      </c>
      <c r="BN352" t="n">
        <v>0</v>
      </c>
      <c r="BO352" t="n">
        <v>73300</v>
      </c>
      <c r="BP352" t="inlineStr">
        <is>
          <t>G,G</t>
        </is>
      </c>
      <c r="BQ352" t="inlineStr">
        <is>
          <t>T1</t>
        </is>
      </c>
      <c r="BR352" t="n">
        <v>243515</v>
      </c>
      <c r="BS352" t="n">
        <v>3.583210712183638</v>
      </c>
      <c r="BT352" t="n">
        <v>122190</v>
      </c>
      <c r="BU352" t="n">
        <v>365705</v>
      </c>
      <c r="BV352" t="n">
        <v>5.381180105944673</v>
      </c>
      <c r="BY352" t="n">
        <v>365705</v>
      </c>
      <c r="BZ352" t="n">
        <v>5.381180105944673</v>
      </c>
      <c r="CP352" t="inlineStr">
        <is>
          <t>WXG财务管理</t>
        </is>
      </c>
      <c r="CQ352" t="inlineStr">
        <is>
          <t>5,1</t>
        </is>
      </c>
      <c r="CR352" t="inlineStr">
        <is>
          <t>L2-1</t>
        </is>
      </c>
      <c r="CS352" t="inlineStr">
        <is>
          <t>T1</t>
        </is>
      </c>
      <c r="CT352" t="inlineStr">
        <is>
          <t>N</t>
        </is>
      </c>
    </row>
    <row r="353">
      <c r="A353" t="inlineStr">
        <is>
          <t>marthaSu(苏倩)</t>
        </is>
      </c>
      <c r="C353" t="n">
        <v>59686490</v>
      </c>
      <c r="D353" t="inlineStr">
        <is>
          <t>财会及报告管理部</t>
        </is>
      </c>
      <c r="E353" t="inlineStr">
        <is>
          <t>供应商支付管理中心</t>
        </is>
      </c>
      <c r="G353" t="inlineStr">
        <is>
          <t>S2职能系统－财经线/财会及报告管理部/供应商支付管理中心</t>
        </is>
      </c>
      <c r="H353" s="188" t="n">
        <v>42414</v>
      </c>
      <c r="I353" t="inlineStr">
        <is>
          <t>社会招聘</t>
        </is>
      </c>
      <c r="J353" t="inlineStr">
        <is>
          <t>财经类－FN</t>
        </is>
      </c>
      <c r="K353" t="inlineStr">
        <is>
          <t>会计</t>
        </is>
      </c>
      <c r="L353" t="inlineStr">
        <is>
          <t>S5</t>
        </is>
      </c>
      <c r="N353" t="inlineStr">
        <is>
          <t>T1</t>
        </is>
      </c>
      <c r="Q353" t="inlineStr">
        <is>
          <t>O,G</t>
        </is>
      </c>
      <c r="U353" t="n">
        <v>29998.65</v>
      </c>
      <c r="V353" t="n">
        <v>0.083333</v>
      </c>
      <c r="W353" t="inlineStr">
        <is>
          <t>CNY</t>
        </is>
      </c>
      <c r="X353" t="n">
        <v>1</v>
      </c>
      <c r="Y353" t="n">
        <v>28171.86</v>
      </c>
      <c r="Z353" t="n">
        <v>0</v>
      </c>
      <c r="AA353" t="n">
        <v>89995.95</v>
      </c>
      <c r="AB353" t="n">
        <v>71720</v>
      </c>
      <c r="AC353" t="n">
        <v>45630</v>
      </c>
      <c r="AF353" t="n">
        <v>0</v>
      </c>
      <c r="AG353" t="n">
        <v>207345.95</v>
      </c>
      <c r="AH353" t="n">
        <v>7.360037640397191</v>
      </c>
      <c r="AI353" t="n">
        <v>207345.95</v>
      </c>
      <c r="AJ353" t="n">
        <v>7.360037640397191</v>
      </c>
      <c r="AK353" t="n">
        <v>5.74033627882575</v>
      </c>
      <c r="AQ353" t="n">
        <v>207345.95</v>
      </c>
      <c r="AR353" t="n">
        <v>7.360037640397191</v>
      </c>
      <c r="AS353" t="n">
        <v>1.459206516766952</v>
      </c>
      <c r="BL353" t="n">
        <v>1</v>
      </c>
      <c r="BM353" t="n">
        <v>24845</v>
      </c>
      <c r="BN353" t="n">
        <v>0</v>
      </c>
      <c r="BO353" t="n">
        <v>27085</v>
      </c>
      <c r="BP353" t="inlineStr">
        <is>
          <t>G,G</t>
        </is>
      </c>
      <c r="BQ353" t="inlineStr">
        <is>
          <t>T1</t>
        </is>
      </c>
      <c r="BR353" t="n">
        <v>90675</v>
      </c>
      <c r="BS353" t="n">
        <v>3.649627691688468</v>
      </c>
      <c r="BT353" t="n">
        <v>51420</v>
      </c>
      <c r="BU353" t="n">
        <v>142095</v>
      </c>
      <c r="BV353" t="n">
        <v>5.719259408331657</v>
      </c>
      <c r="BY353" t="n">
        <v>142095</v>
      </c>
      <c r="BZ353" t="n">
        <v>5.719259408331657</v>
      </c>
      <c r="CP353" t="inlineStr">
        <is>
          <t>财会及报告管理部</t>
        </is>
      </c>
      <c r="CQ353" t="inlineStr">
        <is>
          <t>5,3</t>
        </is>
      </c>
      <c r="CR353" t="n">
        <v>5</v>
      </c>
      <c r="CS353" t="inlineStr">
        <is>
          <t>T1</t>
        </is>
      </c>
      <c r="CT353" t="inlineStr">
        <is>
          <t>N</t>
        </is>
      </c>
    </row>
    <row r="354">
      <c r="A354" t="inlineStr">
        <is>
          <t>maryWang(王婷婷)</t>
        </is>
      </c>
      <c r="C354" t="n">
        <v>18023183</v>
      </c>
      <c r="D354" t="inlineStr">
        <is>
          <t>CDG财务管理</t>
        </is>
      </c>
      <c r="E354" t="inlineStr">
        <is>
          <t>AMS收入支持中心</t>
        </is>
      </c>
      <c r="G354" t="inlineStr">
        <is>
          <t>S2职能系统－财经线/CDG财务管理/AMS收入支持中心</t>
        </is>
      </c>
      <c r="H354" s="188" t="n">
        <v>43514</v>
      </c>
      <c r="I354" t="inlineStr">
        <is>
          <t>社会招聘</t>
        </is>
      </c>
      <c r="J354" t="inlineStr">
        <is>
          <t>财经类－FN</t>
        </is>
      </c>
      <c r="K354" t="inlineStr">
        <is>
          <t>财务管理</t>
        </is>
      </c>
      <c r="L354" t="inlineStr">
        <is>
          <t>S5</t>
        </is>
      </c>
      <c r="N354" t="inlineStr">
        <is>
          <t>T2</t>
        </is>
      </c>
      <c r="Q354" t="inlineStr">
        <is>
          <t>G,O</t>
        </is>
      </c>
      <c r="U354" t="n">
        <v>27778.7</v>
      </c>
      <c r="V354" t="n">
        <v>0.083333</v>
      </c>
      <c r="W354" t="inlineStr">
        <is>
          <t>CNY</t>
        </is>
      </c>
      <c r="X354" t="n">
        <v>1</v>
      </c>
      <c r="Y354" t="n">
        <v>26953.64</v>
      </c>
      <c r="Z354" t="n">
        <v>0</v>
      </c>
      <c r="AA354" t="n">
        <v>83336.10000000001</v>
      </c>
      <c r="AB354" t="n">
        <v>38655</v>
      </c>
      <c r="AC354" t="n">
        <v>0</v>
      </c>
      <c r="AF354" t="n">
        <v>0</v>
      </c>
      <c r="AG354" t="n">
        <v>121991.1</v>
      </c>
      <c r="AH354" t="n">
        <v>4.525960130060356</v>
      </c>
      <c r="AI354" t="n">
        <v>121991.1</v>
      </c>
      <c r="AJ354" t="n">
        <v>4.525960130060356</v>
      </c>
      <c r="AK354" t="n">
        <v>4.525960130060356</v>
      </c>
      <c r="AQ354" t="n">
        <v>121991.1</v>
      </c>
      <c r="AR354" t="n">
        <v>4.525960130060356</v>
      </c>
      <c r="AS354" t="n">
        <v>2.147352578771343</v>
      </c>
      <c r="BL354" t="n">
        <v>1</v>
      </c>
      <c r="BM354" t="n">
        <v>24070</v>
      </c>
      <c r="BN354" t="n">
        <v>0</v>
      </c>
      <c r="BO354" t="n">
        <v>26060</v>
      </c>
      <c r="BP354" t="inlineStr">
        <is>
          <t>G,U</t>
        </is>
      </c>
      <c r="BQ354" t="inlineStr">
        <is>
          <t>T2</t>
        </is>
      </c>
      <c r="BR354" t="n">
        <v>56810</v>
      </c>
      <c r="BS354" t="n">
        <v>2.360199418363107</v>
      </c>
      <c r="BT354" t="n">
        <v>0</v>
      </c>
      <c r="BU354" t="n">
        <v>56810</v>
      </c>
      <c r="BV354" t="n">
        <v>2.360199418363107</v>
      </c>
      <c r="BY354" t="n">
        <v>56810</v>
      </c>
      <c r="BZ354" t="n">
        <v>2.360199418363107</v>
      </c>
      <c r="CP354" t="inlineStr">
        <is>
          <t>CDG财务管理</t>
        </is>
      </c>
      <c r="CQ354" t="inlineStr">
        <is>
          <t>5,3</t>
        </is>
      </c>
      <c r="CR354" t="n">
        <v>5</v>
      </c>
      <c r="CS354" t="inlineStr">
        <is>
          <t>T2</t>
        </is>
      </c>
      <c r="CT354" t="inlineStr">
        <is>
          <t>N</t>
        </is>
      </c>
    </row>
    <row r="355">
      <c r="A355" t="inlineStr">
        <is>
          <t>aaliyahLin(林欣曦)</t>
        </is>
      </c>
      <c r="C355" t="n">
        <v>37617097</v>
      </c>
      <c r="D355" t="inlineStr">
        <is>
          <t>财会及报告管理部</t>
        </is>
      </c>
      <c r="E355" t="inlineStr">
        <is>
          <t>海外财会管理中心</t>
        </is>
      </c>
      <c r="G355" t="inlineStr">
        <is>
          <t>S2职能系统－财经线/财会及报告管理部/海外财会管理中心</t>
        </is>
      </c>
      <c r="H355" s="188" t="n">
        <v>45561</v>
      </c>
      <c r="I355" t="inlineStr">
        <is>
          <t>社会招聘</t>
        </is>
      </c>
      <c r="J355" t="inlineStr">
        <is>
          <t>财经类－FN</t>
        </is>
      </c>
      <c r="K355" t="inlineStr">
        <is>
          <t>会计</t>
        </is>
      </c>
      <c r="L355" t="inlineStr">
        <is>
          <t>S13</t>
        </is>
      </c>
      <c r="N355" t="inlineStr">
        <is>
          <t>T1</t>
        </is>
      </c>
      <c r="Q355" t="inlineStr">
        <is>
          <t>N,O</t>
        </is>
      </c>
      <c r="U355" t="n">
        <v>47069.2</v>
      </c>
      <c r="V355" t="n">
        <v>0.083333</v>
      </c>
      <c r="W355" t="inlineStr">
        <is>
          <t>CNY</t>
        </is>
      </c>
      <c r="X355" t="n">
        <v>0.263014</v>
      </c>
      <c r="Y355" t="n">
        <v>47069.2</v>
      </c>
      <c r="Z355" t="n">
        <v>0</v>
      </c>
      <c r="AA355" t="n">
        <v>12379.86</v>
      </c>
      <c r="AB355" t="n">
        <v>0</v>
      </c>
      <c r="AC355" t="n">
        <v>0</v>
      </c>
      <c r="AF355" t="n">
        <v>0</v>
      </c>
      <c r="AG355" t="n">
        <v>12379.86</v>
      </c>
      <c r="AH355" t="n">
        <v>0.2630140304062955</v>
      </c>
      <c r="AI355" t="n">
        <v>12379.86</v>
      </c>
      <c r="AJ355" t="n">
        <v>0.2630140304062955</v>
      </c>
      <c r="AK355" t="n">
        <v>0.2630140304062955</v>
      </c>
      <c r="AQ355" t="n">
        <v>12379.86</v>
      </c>
      <c r="AR355" t="n">
        <v>0.2630140304062955</v>
      </c>
      <c r="BM355" t="n">
        <v>0</v>
      </c>
      <c r="BN355" t="n">
        <v>0</v>
      </c>
      <c r="BO355" t="n">
        <v>0</v>
      </c>
      <c r="BR355" t="n">
        <v>0</v>
      </c>
      <c r="BT355" t="n">
        <v>0</v>
      </c>
      <c r="BU355" t="n">
        <v>0</v>
      </c>
      <c r="BY355" t="n">
        <v>0</v>
      </c>
      <c r="CP355" t="inlineStr">
        <is>
          <t>财会及报告管理部</t>
        </is>
      </c>
      <c r="CQ355" t="n">
        <v>5</v>
      </c>
      <c r="CR355" t="n">
        <v>13</v>
      </c>
      <c r="CS355" t="inlineStr">
        <is>
          <t>T1</t>
        </is>
      </c>
      <c r="CT355" t="inlineStr">
        <is>
          <t>N</t>
        </is>
      </c>
    </row>
    <row r="356">
      <c r="A356" t="inlineStr">
        <is>
          <t>billyDong(董川毅)</t>
        </is>
      </c>
      <c r="C356" t="n">
        <v>73986007</v>
      </c>
      <c r="D356" t="inlineStr">
        <is>
          <t>财会及报告管理部</t>
        </is>
      </c>
      <c r="E356" t="inlineStr">
        <is>
          <t>应收管理中心</t>
        </is>
      </c>
      <c r="G356" t="inlineStr">
        <is>
          <t>S2职能系统－财经线/财会及报告管理部/应收管理中心</t>
        </is>
      </c>
      <c r="H356" s="188" t="n">
        <v>45300</v>
      </c>
      <c r="I356" t="inlineStr">
        <is>
          <t>高校招聘</t>
        </is>
      </c>
      <c r="J356" t="inlineStr">
        <is>
          <t>财经类－FN</t>
        </is>
      </c>
      <c r="K356" t="inlineStr">
        <is>
          <t>会计</t>
        </is>
      </c>
      <c r="L356" t="inlineStr">
        <is>
          <t>S6</t>
        </is>
      </c>
      <c r="N356" t="inlineStr">
        <is>
          <t>T1</t>
        </is>
      </c>
      <c r="Q356" t="inlineStr">
        <is>
          <t>G,G</t>
        </is>
      </c>
      <c r="U356" t="n">
        <v>29174.15</v>
      </c>
      <c r="V356" t="n">
        <v>0.083333</v>
      </c>
      <c r="W356" t="inlineStr">
        <is>
          <t>CNY</t>
        </is>
      </c>
      <c r="X356" t="n">
        <v>0.978082</v>
      </c>
      <c r="Y356" t="n">
        <v>27523.59</v>
      </c>
      <c r="Z356" t="n">
        <v>0</v>
      </c>
      <c r="AA356" t="n">
        <v>28534.71</v>
      </c>
      <c r="AB356" t="n">
        <v>0</v>
      </c>
      <c r="AC356" t="n">
        <v>0</v>
      </c>
      <c r="AF356" t="n">
        <v>0</v>
      </c>
      <c r="AG356" t="n">
        <v>28534.71</v>
      </c>
      <c r="AH356" t="n">
        <v>1.036736486773709</v>
      </c>
      <c r="AI356" t="n">
        <v>28534.71</v>
      </c>
      <c r="AJ356" t="n">
        <v>1.036736486773709</v>
      </c>
      <c r="AK356" t="n">
        <v>1.036736486773709</v>
      </c>
      <c r="AQ356" t="n">
        <v>28534.71</v>
      </c>
      <c r="AR356" t="n">
        <v>1.036736486773709</v>
      </c>
      <c r="BM356" t="n">
        <v>0</v>
      </c>
      <c r="BN356" t="n">
        <v>0</v>
      </c>
      <c r="BO356" t="n">
        <v>0</v>
      </c>
      <c r="BR356" t="n">
        <v>0</v>
      </c>
      <c r="BT356" t="n">
        <v>0</v>
      </c>
      <c r="BU356" t="n">
        <v>0</v>
      </c>
      <c r="BY356" t="n">
        <v>0</v>
      </c>
      <c r="CP356" t="inlineStr">
        <is>
          <t>财会及报告管理部</t>
        </is>
      </c>
      <c r="CQ356" t="inlineStr">
        <is>
          <t>3,3</t>
        </is>
      </c>
      <c r="CR356" t="n">
        <v>6</v>
      </c>
      <c r="CS356" t="inlineStr">
        <is>
          <t>T1</t>
        </is>
      </c>
      <c r="CT356" t="inlineStr">
        <is>
          <t>N</t>
        </is>
      </c>
    </row>
    <row r="357">
      <c r="A357" t="inlineStr">
        <is>
          <t>haroldShi(施哲伟)</t>
        </is>
      </c>
      <c r="C357" t="n">
        <v>58820447</v>
      </c>
      <c r="D357" t="inlineStr">
        <is>
          <t>税务部</t>
        </is>
      </c>
      <c r="E357" t="inlineStr">
        <is>
          <t>税务部</t>
        </is>
      </c>
      <c r="G357" t="inlineStr">
        <is>
          <t>S2职能系统－财经线/税务部</t>
        </is>
      </c>
      <c r="H357" s="188" t="n">
        <v>42930</v>
      </c>
      <c r="I357" t="inlineStr">
        <is>
          <t>高校招聘</t>
        </is>
      </c>
      <c r="J357" t="inlineStr">
        <is>
          <t>财经类－FN</t>
        </is>
      </c>
      <c r="K357" t="inlineStr">
        <is>
          <t>税务</t>
        </is>
      </c>
      <c r="L357" t="inlineStr">
        <is>
          <t>S10</t>
        </is>
      </c>
      <c r="N357" t="inlineStr">
        <is>
          <t>T1#</t>
        </is>
      </c>
      <c r="Q357" t="inlineStr">
        <is>
          <t>O,G</t>
        </is>
      </c>
      <c r="U357" t="n">
        <v>36540.55</v>
      </c>
      <c r="V357" t="n">
        <v>0.083333</v>
      </c>
      <c r="W357" t="inlineStr">
        <is>
          <t>CNY</t>
        </is>
      </c>
      <c r="X357" t="n">
        <v>1</v>
      </c>
      <c r="Y357" t="n">
        <v>34980.47</v>
      </c>
      <c r="Z357" t="n">
        <v>0</v>
      </c>
      <c r="AA357" t="n">
        <v>109621.65</v>
      </c>
      <c r="AB357" t="n">
        <v>113560</v>
      </c>
      <c r="AC357" t="n">
        <v>48230</v>
      </c>
      <c r="AF357" t="n">
        <v>0</v>
      </c>
      <c r="AG357" t="n">
        <v>271411.65</v>
      </c>
      <c r="AH357" t="n">
        <v>7.758948064448534</v>
      </c>
      <c r="AI357" t="n">
        <v>271411.65</v>
      </c>
      <c r="AJ357" t="n">
        <v>7.758948064448534</v>
      </c>
      <c r="AK357" t="n">
        <v>6.380178711149393</v>
      </c>
      <c r="AQ357" t="n">
        <v>271411.65</v>
      </c>
      <c r="AR357" t="n">
        <v>7.758948064448534</v>
      </c>
      <c r="AS357" t="n">
        <v>1.195804071022602</v>
      </c>
      <c r="BL357" t="n">
        <v>1</v>
      </c>
      <c r="BM357" t="n">
        <v>32810</v>
      </c>
      <c r="BN357" t="n">
        <v>0</v>
      </c>
      <c r="BO357" t="n">
        <v>34195</v>
      </c>
      <c r="BP357" t="inlineStr">
        <is>
          <t>G,G</t>
        </is>
      </c>
      <c r="BQ357" t="inlineStr">
        <is>
          <t>T1#</t>
        </is>
      </c>
      <c r="BR357" t="n">
        <v>179190</v>
      </c>
      <c r="BS357" t="n">
        <v>5.461444681499543</v>
      </c>
      <c r="BT357" t="n">
        <v>47780</v>
      </c>
      <c r="BU357" t="n">
        <v>226970</v>
      </c>
      <c r="BV357" t="n">
        <v>6.917708015848826</v>
      </c>
      <c r="BY357" t="n">
        <v>226970</v>
      </c>
      <c r="BZ357" t="n">
        <v>6.917708015848826</v>
      </c>
      <c r="CP357" t="inlineStr">
        <is>
          <t>税务部</t>
        </is>
      </c>
      <c r="CQ357" t="inlineStr">
        <is>
          <t>5,3</t>
        </is>
      </c>
      <c r="CR357" t="n">
        <v>10</v>
      </c>
      <c r="CS357" t="inlineStr">
        <is>
          <t>T1#</t>
        </is>
      </c>
      <c r="CT357" t="inlineStr">
        <is>
          <t>N</t>
        </is>
      </c>
    </row>
    <row r="358">
      <c r="A358" t="inlineStr">
        <is>
          <t>mariaFang(方玲)</t>
        </is>
      </c>
      <c r="C358" t="n">
        <v>42891834</v>
      </c>
      <c r="D358" t="inlineStr">
        <is>
          <t>税务部</t>
        </is>
      </c>
      <c r="E358" t="inlineStr">
        <is>
          <t>投并税务组</t>
        </is>
      </c>
      <c r="G358" t="inlineStr">
        <is>
          <t>S2职能系统－财经线/税务部/投并税务组</t>
        </is>
      </c>
      <c r="H358" s="188" t="n">
        <v>39682</v>
      </c>
      <c r="I358" t="inlineStr">
        <is>
          <t>社会招聘</t>
        </is>
      </c>
      <c r="J358" t="inlineStr">
        <is>
          <t>财经类－FN</t>
        </is>
      </c>
      <c r="K358" t="inlineStr">
        <is>
          <t>税务</t>
        </is>
      </c>
      <c r="L358" t="inlineStr">
        <is>
          <t>S9</t>
        </is>
      </c>
      <c r="N358" t="inlineStr">
        <is>
          <t>T2</t>
        </is>
      </c>
      <c r="Q358" t="inlineStr">
        <is>
          <t>G,U</t>
        </is>
      </c>
      <c r="U358" t="n">
        <v>35967.3</v>
      </c>
      <c r="V358" t="n">
        <v>0.083333</v>
      </c>
      <c r="W358" t="inlineStr">
        <is>
          <t>CNY</t>
        </is>
      </c>
      <c r="X358" t="n">
        <v>1</v>
      </c>
      <c r="Y358" t="n">
        <v>34794.4</v>
      </c>
      <c r="Z358" t="n">
        <v>0</v>
      </c>
      <c r="AA358" t="n">
        <v>35967.3</v>
      </c>
      <c r="AB358" t="n">
        <v>52205</v>
      </c>
      <c r="AC358" t="n">
        <v>0</v>
      </c>
      <c r="AF358" t="n">
        <v>0</v>
      </c>
      <c r="AG358" t="n">
        <v>88172.3</v>
      </c>
      <c r="AH358" t="n">
        <v>2.534094566941807</v>
      </c>
      <c r="AI358" t="n">
        <v>88172.3</v>
      </c>
      <c r="AJ358" t="n">
        <v>2.534094566941807</v>
      </c>
      <c r="AK358" t="n">
        <v>2.534094566941807</v>
      </c>
      <c r="AQ358" t="n">
        <v>88172.3</v>
      </c>
      <c r="AR358" t="n">
        <v>2.534094566941807</v>
      </c>
      <c r="AS358" t="n">
        <v>0.8573319072390491</v>
      </c>
      <c r="BL358" t="n">
        <v>1</v>
      </c>
      <c r="BM358" t="n">
        <v>31115</v>
      </c>
      <c r="BN358" t="n">
        <v>0</v>
      </c>
      <c r="BO358" t="n">
        <v>32480</v>
      </c>
      <c r="BP358" t="inlineStr">
        <is>
          <t>G,G</t>
        </is>
      </c>
      <c r="BQ358" t="inlineStr">
        <is>
          <t>T2</t>
        </is>
      </c>
      <c r="BR358" t="n">
        <v>102845</v>
      </c>
      <c r="BS358" t="n">
        <v>3.305318977984895</v>
      </c>
      <c r="BT358" t="n">
        <v>0</v>
      </c>
      <c r="BU358" t="n">
        <v>102845</v>
      </c>
      <c r="BV358" t="n">
        <v>3.305318977984895</v>
      </c>
      <c r="BY358" t="n">
        <v>102845</v>
      </c>
      <c r="BZ358" t="n">
        <v>3.305318977984895</v>
      </c>
      <c r="CP358" t="inlineStr">
        <is>
          <t>税务部</t>
        </is>
      </c>
      <c r="CQ358" t="inlineStr">
        <is>
          <t>3,1</t>
        </is>
      </c>
      <c r="CR358" t="n">
        <v>9</v>
      </c>
      <c r="CS358" t="inlineStr">
        <is>
          <t>T2</t>
        </is>
      </c>
      <c r="CT358" t="inlineStr">
        <is>
          <t>N</t>
        </is>
      </c>
    </row>
    <row r="359">
      <c r="A359" t="inlineStr">
        <is>
          <t>mayaTan(谭静莹)</t>
        </is>
      </c>
      <c r="C359" t="n">
        <v>89217787</v>
      </c>
      <c r="D359" t="inlineStr">
        <is>
          <t>FiT财务管理</t>
        </is>
      </c>
      <c r="E359" t="inlineStr">
        <is>
          <t>结算支持中心</t>
        </is>
      </c>
      <c r="G359" t="inlineStr">
        <is>
          <t>S2职能系统－财经线/FiT财务管理/结算支持中心</t>
        </is>
      </c>
      <c r="H359" s="188" t="n">
        <v>38371</v>
      </c>
      <c r="I359" t="inlineStr">
        <is>
          <t>高校招聘</t>
        </is>
      </c>
      <c r="J359" t="inlineStr">
        <is>
          <t>财经类－FN</t>
        </is>
      </c>
      <c r="K359" t="inlineStr">
        <is>
          <t>财务管理</t>
        </is>
      </c>
      <c r="L359" t="inlineStr">
        <is>
          <t>S8</t>
        </is>
      </c>
      <c r="N359" t="inlineStr">
        <is>
          <t>T1#</t>
        </is>
      </c>
      <c r="Q359" t="inlineStr">
        <is>
          <t>G,G</t>
        </is>
      </c>
      <c r="U359" t="n">
        <v>49806.65</v>
      </c>
      <c r="V359" t="n">
        <v>0.083333</v>
      </c>
      <c r="W359" t="inlineStr">
        <is>
          <t>CNY</t>
        </is>
      </c>
      <c r="X359" t="n">
        <v>1</v>
      </c>
      <c r="Y359" t="n">
        <v>46240.32</v>
      </c>
      <c r="Z359" t="n">
        <v>0</v>
      </c>
      <c r="AA359" t="n">
        <v>99613.3</v>
      </c>
      <c r="AB359" t="n">
        <v>173830</v>
      </c>
      <c r="AC359" t="n">
        <v>83150</v>
      </c>
      <c r="AF359" t="n">
        <v>0</v>
      </c>
      <c r="AG359" t="n">
        <v>356593.3</v>
      </c>
      <c r="AH359" t="n">
        <v>7.711739451630092</v>
      </c>
      <c r="AI359" t="n">
        <v>356593.3</v>
      </c>
      <c r="AJ359" t="n">
        <v>7.711739451630092</v>
      </c>
      <c r="AK359" t="n">
        <v>5.913525252420398</v>
      </c>
      <c r="AQ359" t="n">
        <v>356593.3</v>
      </c>
      <c r="AR359" t="n">
        <v>7.711739451630092</v>
      </c>
      <c r="AS359" t="n">
        <v>1.938691929214124</v>
      </c>
      <c r="BL359" t="n">
        <v>1</v>
      </c>
      <c r="BM359" t="n">
        <v>41525</v>
      </c>
      <c r="BN359" t="n">
        <v>0</v>
      </c>
      <c r="BO359" t="n">
        <v>45485</v>
      </c>
      <c r="BP359" t="inlineStr">
        <is>
          <t>O,G</t>
        </is>
      </c>
      <c r="BQ359" t="inlineStr">
        <is>
          <t>Others</t>
        </is>
      </c>
      <c r="BR359" t="n">
        <v>183935</v>
      </c>
      <c r="BS359" t="n">
        <v>4.42950030102348</v>
      </c>
      <c r="BT359" t="n">
        <v>0</v>
      </c>
      <c r="BU359" t="n">
        <v>183935</v>
      </c>
      <c r="BV359" t="n">
        <v>4.42950030102348</v>
      </c>
      <c r="BY359" t="n">
        <v>183935</v>
      </c>
      <c r="BZ359" t="n">
        <v>4.42950030102348</v>
      </c>
      <c r="CP359" t="inlineStr">
        <is>
          <t>FiT财务管理</t>
        </is>
      </c>
      <c r="CQ359" t="inlineStr">
        <is>
          <t>3,3</t>
        </is>
      </c>
      <c r="CR359" t="n">
        <v>8</v>
      </c>
      <c r="CS359" t="inlineStr">
        <is>
          <t>T1#</t>
        </is>
      </c>
      <c r="CT359" t="inlineStr">
        <is>
          <t>N</t>
        </is>
      </c>
    </row>
    <row r="360">
      <c r="A360" t="inlineStr">
        <is>
          <t>kateXu(徐素媛)</t>
        </is>
      </c>
      <c r="C360" t="n">
        <v>99176166</v>
      </c>
      <c r="D360" t="inlineStr">
        <is>
          <t>财经IT管理部</t>
        </is>
      </c>
      <c r="E360" t="inlineStr">
        <is>
          <t>业务开发中心</t>
        </is>
      </c>
      <c r="G360" t="inlineStr">
        <is>
          <t>S2职能系统－财经线/财经IT管理部/业务开发中心</t>
        </is>
      </c>
      <c r="H360" s="188" t="n">
        <v>37541</v>
      </c>
      <c r="I360" t="inlineStr">
        <is>
          <t>社会招聘</t>
        </is>
      </c>
      <c r="J360" t="inlineStr">
        <is>
          <t>技术研发类－TRD</t>
        </is>
      </c>
      <c r="K360" t="inlineStr">
        <is>
          <t>应用开发</t>
        </is>
      </c>
      <c r="L360" t="inlineStr">
        <is>
          <t>T9</t>
        </is>
      </c>
      <c r="N360" t="inlineStr">
        <is>
          <t>T1</t>
        </is>
      </c>
      <c r="Q360" t="inlineStr">
        <is>
          <t>G,G</t>
        </is>
      </c>
      <c r="U360" t="n">
        <v>41784.5</v>
      </c>
      <c r="V360" t="n">
        <v>0.083333</v>
      </c>
      <c r="W360" t="inlineStr">
        <is>
          <t>CNY</t>
        </is>
      </c>
      <c r="X360" t="n">
        <v>1</v>
      </c>
      <c r="Y360" t="n">
        <v>40214.84</v>
      </c>
      <c r="Z360" t="n">
        <v>0</v>
      </c>
      <c r="AA360" t="n">
        <v>83569</v>
      </c>
      <c r="AB360" t="n">
        <v>84550</v>
      </c>
      <c r="AC360" t="n">
        <v>65015</v>
      </c>
      <c r="AF360" t="n">
        <v>0</v>
      </c>
      <c r="AG360" t="n">
        <v>233134</v>
      </c>
      <c r="AH360" t="n">
        <v>5.797213168074274</v>
      </c>
      <c r="AI360" t="n">
        <v>233134</v>
      </c>
      <c r="AJ360" t="n">
        <v>5.797213168074274</v>
      </c>
      <c r="AK360" t="n">
        <v>4.180521419456102</v>
      </c>
      <c r="AQ360" t="n">
        <v>233134</v>
      </c>
      <c r="AR360" t="n">
        <v>5.797213168074274</v>
      </c>
      <c r="AS360" t="n">
        <v>1.304793619700574</v>
      </c>
      <c r="BL360" t="n">
        <v>1</v>
      </c>
      <c r="BM360" t="n">
        <v>33645</v>
      </c>
      <c r="BN360" t="n">
        <v>0</v>
      </c>
      <c r="BO360" t="n">
        <v>36505</v>
      </c>
      <c r="BP360" t="inlineStr">
        <is>
          <t>G,G</t>
        </is>
      </c>
      <c r="BQ360" t="inlineStr">
        <is>
          <t>T1</t>
        </is>
      </c>
      <c r="BR360" t="n">
        <v>127355</v>
      </c>
      <c r="BS360" t="n">
        <v>3.785257839203448</v>
      </c>
      <c r="BT360" t="n">
        <v>51320</v>
      </c>
      <c r="BU360" t="n">
        <v>178675</v>
      </c>
      <c r="BV360" t="n">
        <v>5.310595928072522</v>
      </c>
      <c r="BY360" t="n">
        <v>178675</v>
      </c>
      <c r="BZ360" t="n">
        <v>5.310595928072522</v>
      </c>
      <c r="CP360" t="inlineStr">
        <is>
          <t>财经IT管理部</t>
        </is>
      </c>
      <c r="CQ360" t="inlineStr">
        <is>
          <t>3,3</t>
        </is>
      </c>
      <c r="CR360" t="n">
        <v>9</v>
      </c>
      <c r="CS360" t="inlineStr">
        <is>
          <t>T1</t>
        </is>
      </c>
      <c r="CT360" t="inlineStr">
        <is>
          <t>N</t>
        </is>
      </c>
    </row>
    <row r="361">
      <c r="A361" t="inlineStr">
        <is>
          <t>lindaZhong(钟琪)</t>
        </is>
      </c>
      <c r="C361" t="n">
        <v>43539006</v>
      </c>
      <c r="D361" t="inlineStr">
        <is>
          <t>WXG财务管理</t>
        </is>
      </c>
      <c r="E361" t="inlineStr">
        <is>
          <t>微信平台财务管理中心</t>
        </is>
      </c>
      <c r="G361" t="inlineStr">
        <is>
          <t>S2职能系统－财经线/WXG财务管理/微信平台财务管理中心</t>
        </is>
      </c>
      <c r="H361" s="188" t="n">
        <v>40142</v>
      </c>
      <c r="I361" t="inlineStr">
        <is>
          <t>高校招聘</t>
        </is>
      </c>
      <c r="J361" t="inlineStr">
        <is>
          <t>财经类－FN</t>
        </is>
      </c>
      <c r="K361" t="inlineStr">
        <is>
          <t>财务管理</t>
        </is>
      </c>
      <c r="L361" t="inlineStr">
        <is>
          <t>S7</t>
        </is>
      </c>
      <c r="N361" t="inlineStr">
        <is>
          <t>T1#</t>
        </is>
      </c>
      <c r="Q361" t="inlineStr">
        <is>
          <t>O,G</t>
        </is>
      </c>
      <c r="U361" t="n">
        <v>39136.95</v>
      </c>
      <c r="V361" t="n">
        <v>0.083333</v>
      </c>
      <c r="W361" t="inlineStr">
        <is>
          <t>CNY</t>
        </is>
      </c>
      <c r="X361" t="n">
        <v>1</v>
      </c>
      <c r="Y361" t="n">
        <v>37496.37</v>
      </c>
      <c r="Z361" t="n">
        <v>0</v>
      </c>
      <c r="AA361" t="n">
        <v>117410.85</v>
      </c>
      <c r="AB361" t="n">
        <v>121750</v>
      </c>
      <c r="AC361" t="n">
        <v>72095</v>
      </c>
      <c r="AF361" t="n">
        <v>0</v>
      </c>
      <c r="AG361" t="n">
        <v>311255.85</v>
      </c>
      <c r="AH361" t="n">
        <v>8.300959532882782</v>
      </c>
      <c r="AI361" t="n">
        <v>311255.85</v>
      </c>
      <c r="AJ361" t="n">
        <v>8.300959532882782</v>
      </c>
      <c r="AK361" t="n">
        <v>6.37824008030644</v>
      </c>
      <c r="AQ361" t="n">
        <v>311255.85</v>
      </c>
      <c r="AR361" t="n">
        <v>8.300959532882782</v>
      </c>
      <c r="AS361" t="n">
        <v>1.328676897464356</v>
      </c>
      <c r="BL361" t="n">
        <v>1</v>
      </c>
      <c r="BM361" t="n">
        <v>31550</v>
      </c>
      <c r="BN361" t="n">
        <v>0</v>
      </c>
      <c r="BO361" t="n">
        <v>32510</v>
      </c>
      <c r="BP361" t="inlineStr">
        <is>
          <t>G,G</t>
        </is>
      </c>
      <c r="BQ361" t="inlineStr">
        <is>
          <t>T1#</t>
        </is>
      </c>
      <c r="BR361" t="n">
        <v>173920</v>
      </c>
      <c r="BS361" t="n">
        <v>5.512519809825673</v>
      </c>
      <c r="BT361" t="n">
        <v>60340</v>
      </c>
      <c r="BU361" t="n">
        <v>234260</v>
      </c>
      <c r="BV361" t="n">
        <v>7.425039619651347</v>
      </c>
      <c r="BY361" t="n">
        <v>234260</v>
      </c>
      <c r="BZ361" t="n">
        <v>7.425039619651347</v>
      </c>
      <c r="CP361" t="inlineStr">
        <is>
          <t>WXG财务管理</t>
        </is>
      </c>
      <c r="CQ361" t="inlineStr">
        <is>
          <t>5,3</t>
        </is>
      </c>
      <c r="CR361" t="n">
        <v>7</v>
      </c>
      <c r="CS361" t="inlineStr">
        <is>
          <t>T1#</t>
        </is>
      </c>
      <c r="CT361" t="inlineStr">
        <is>
          <t>N</t>
        </is>
      </c>
    </row>
    <row r="362">
      <c r="A362" t="inlineStr">
        <is>
          <t>joshuaWu(吴荣华)</t>
        </is>
      </c>
      <c r="C362" t="n">
        <v>87794346</v>
      </c>
      <c r="D362" t="inlineStr">
        <is>
          <t>FiT财务管理</t>
        </is>
      </c>
      <c r="E362" t="inlineStr">
        <is>
          <t>结算支持中心</t>
        </is>
      </c>
      <c r="G362" t="inlineStr">
        <is>
          <t>S2职能系统－财经线/FiT财务管理/结算支持中心</t>
        </is>
      </c>
      <c r="H362" s="188" t="n">
        <v>45118</v>
      </c>
      <c r="I362" t="inlineStr">
        <is>
          <t>社会招聘</t>
        </is>
      </c>
      <c r="J362" t="inlineStr">
        <is>
          <t>财经类－FN</t>
        </is>
      </c>
      <c r="K362" t="inlineStr">
        <is>
          <t>财务管理</t>
        </is>
      </c>
      <c r="L362" t="inlineStr">
        <is>
          <t>S9</t>
        </is>
      </c>
      <c r="N362" t="inlineStr">
        <is>
          <t>T1</t>
        </is>
      </c>
      <c r="Q362" t="inlineStr">
        <is>
          <t>G,G</t>
        </is>
      </c>
      <c r="U362" t="n">
        <v>49790.75</v>
      </c>
      <c r="V362" t="n">
        <v>0.083333</v>
      </c>
      <c r="W362" t="inlineStr">
        <is>
          <t>CNY</t>
        </is>
      </c>
      <c r="X362" t="n">
        <v>1</v>
      </c>
      <c r="Y362" t="n">
        <v>45529.19</v>
      </c>
      <c r="Z362" t="n">
        <v>0</v>
      </c>
      <c r="AA362" t="n">
        <v>99581.5</v>
      </c>
      <c r="AB362" t="n">
        <v>116200</v>
      </c>
      <c r="AC362" t="n">
        <v>60535</v>
      </c>
      <c r="AF362" t="n">
        <v>0</v>
      </c>
      <c r="AG362" t="n">
        <v>276316.5</v>
      </c>
      <c r="AH362" t="n">
        <v>6.068996615138551</v>
      </c>
      <c r="AI362" t="n">
        <v>276316.5</v>
      </c>
      <c r="AJ362" t="n">
        <v>6.068996615138551</v>
      </c>
      <c r="AK362" t="n">
        <v>4.739410035627692</v>
      </c>
      <c r="AQ362" t="n">
        <v>276316.5</v>
      </c>
      <c r="AR362" t="n">
        <v>6.068996615138551</v>
      </c>
      <c r="AS362" t="n">
        <v>13.94833417465926</v>
      </c>
      <c r="BL362" t="n">
        <v>0.473972602739726</v>
      </c>
      <c r="BM362" t="n">
        <v>41805</v>
      </c>
      <c r="BN362" t="n">
        <v>0</v>
      </c>
      <c r="BO362" t="n">
        <v>41805</v>
      </c>
      <c r="BP362" t="inlineStr">
        <is>
          <t>N,O</t>
        </is>
      </c>
      <c r="BQ362" t="inlineStr">
        <is>
          <t>T1</t>
        </is>
      </c>
      <c r="BR362" t="n">
        <v>19810</v>
      </c>
      <c r="BS362" t="n">
        <v>0.4738667623490013</v>
      </c>
      <c r="BT362" t="n">
        <v>0</v>
      </c>
      <c r="BU362" t="n">
        <v>19810</v>
      </c>
      <c r="BV362" t="n">
        <v>0.4738667623490013</v>
      </c>
      <c r="BY362" t="n">
        <v>19810</v>
      </c>
      <c r="BZ362" t="n">
        <v>0.4738667623490013</v>
      </c>
      <c r="CP362" t="inlineStr">
        <is>
          <t>FiT财务管理</t>
        </is>
      </c>
      <c r="CQ362" t="inlineStr">
        <is>
          <t>3,3</t>
        </is>
      </c>
      <c r="CR362" t="n">
        <v>9</v>
      </c>
      <c r="CS362" t="inlineStr">
        <is>
          <t>T1</t>
        </is>
      </c>
      <c r="CT362" t="inlineStr">
        <is>
          <t>N</t>
        </is>
      </c>
    </row>
    <row r="363">
      <c r="A363" t="inlineStr">
        <is>
          <t>karenTan(谭涵琪)</t>
        </is>
      </c>
      <c r="C363" t="n">
        <v>45713991</v>
      </c>
      <c r="D363" t="inlineStr">
        <is>
          <t>税务部</t>
        </is>
      </c>
      <c r="E363" t="inlineStr">
        <is>
          <t>印章及文档管理组</t>
        </is>
      </c>
      <c r="G363" t="inlineStr">
        <is>
          <t>S2职能系统－财经线/税务部/印章及文档管理组</t>
        </is>
      </c>
      <c r="H363" s="188" t="n">
        <v>37249</v>
      </c>
      <c r="I363" t="inlineStr">
        <is>
          <t>社会招聘</t>
        </is>
      </c>
      <c r="J363" t="inlineStr">
        <is>
          <t>财经类－FN</t>
        </is>
      </c>
      <c r="K363" t="inlineStr">
        <is>
          <t>税务</t>
        </is>
      </c>
      <c r="M363" t="inlineStr">
        <is>
          <t>L2-2</t>
        </is>
      </c>
      <c r="N363" t="inlineStr">
        <is>
          <t>T1</t>
        </is>
      </c>
      <c r="Q363" t="inlineStr">
        <is>
          <t>G,G</t>
        </is>
      </c>
      <c r="U363" t="n">
        <v>77372</v>
      </c>
      <c r="V363" t="n">
        <v>0.083333</v>
      </c>
      <c r="W363" t="inlineStr">
        <is>
          <t>CNY</t>
        </is>
      </c>
      <c r="X363" t="n">
        <v>1</v>
      </c>
      <c r="Y363" t="n">
        <v>72888.75</v>
      </c>
      <c r="Z363" t="n">
        <v>0</v>
      </c>
      <c r="AA363" t="n">
        <v>154744</v>
      </c>
      <c r="AB363" t="n">
        <v>185280</v>
      </c>
      <c r="AC363" t="n">
        <v>126955</v>
      </c>
      <c r="AF363" t="n">
        <v>22715</v>
      </c>
      <c r="AG363" t="n">
        <v>466979</v>
      </c>
      <c r="AH363" t="n">
        <v>6.406736293323729</v>
      </c>
      <c r="AI363" t="n">
        <v>489694</v>
      </c>
      <c r="AJ363" t="n">
        <v>6.718375606660836</v>
      </c>
      <c r="AK363" t="n">
        <v>4.976611617019087</v>
      </c>
      <c r="AQ363" t="n">
        <v>489694</v>
      </c>
      <c r="AR363" t="n">
        <v>6.718375606660836</v>
      </c>
      <c r="AS363" t="n">
        <v>1.567723139966705</v>
      </c>
      <c r="BL363" t="n">
        <v>1</v>
      </c>
      <c r="BM363" t="n">
        <v>65945</v>
      </c>
      <c r="BN363" t="n">
        <v>0</v>
      </c>
      <c r="BO363" t="n">
        <v>68725</v>
      </c>
      <c r="BP363" t="inlineStr">
        <is>
          <t>G,G</t>
        </is>
      </c>
      <c r="BQ363" t="inlineStr">
        <is>
          <t>T1</t>
        </is>
      </c>
      <c r="BR363" t="n">
        <v>239640</v>
      </c>
      <c r="BS363" t="n">
        <v>3.633937372052468</v>
      </c>
      <c r="BT363" t="n">
        <v>72720</v>
      </c>
      <c r="BU363" t="n">
        <v>312360</v>
      </c>
      <c r="BV363" t="n">
        <v>4.736674501478505</v>
      </c>
      <c r="BY363" t="n">
        <v>312360</v>
      </c>
      <c r="BZ363" t="n">
        <v>4.736674501478505</v>
      </c>
      <c r="CP363" t="inlineStr">
        <is>
          <t>税务部</t>
        </is>
      </c>
      <c r="CQ363" t="inlineStr">
        <is>
          <t>3,3</t>
        </is>
      </c>
      <c r="CR363" t="inlineStr">
        <is>
          <t>L2-2</t>
        </is>
      </c>
      <c r="CS363" t="inlineStr">
        <is>
          <t>T1</t>
        </is>
      </c>
      <c r="CT363" t="inlineStr">
        <is>
          <t>N</t>
        </is>
      </c>
    </row>
    <row r="364">
      <c r="A364" t="inlineStr">
        <is>
          <t>eugeneHao(郝威博)</t>
        </is>
      </c>
      <c r="C364" t="n">
        <v>45651475</v>
      </c>
      <c r="D364" t="inlineStr">
        <is>
          <t>CSIG财务管理</t>
        </is>
      </c>
      <c r="E364" t="inlineStr">
        <is>
          <t>产品财务管理中心</t>
        </is>
      </c>
      <c r="G364" t="inlineStr">
        <is>
          <t>S2职能系统－财经线/CSIG财务管理/产品财务管理中心</t>
        </is>
      </c>
      <c r="H364" s="188" t="n">
        <v>45085</v>
      </c>
      <c r="I364" t="inlineStr">
        <is>
          <t>高校招聘</t>
        </is>
      </c>
      <c r="J364" t="inlineStr">
        <is>
          <t>财经类－FN</t>
        </is>
      </c>
      <c r="K364" t="inlineStr">
        <is>
          <t>财务管理</t>
        </is>
      </c>
      <c r="L364" t="inlineStr">
        <is>
          <t>S9</t>
        </is>
      </c>
      <c r="N364" t="inlineStr">
        <is>
          <t>T2</t>
        </is>
      </c>
      <c r="Q364" t="inlineStr">
        <is>
          <t>G,O</t>
        </is>
      </c>
      <c r="U364" t="n">
        <v>39921.15</v>
      </c>
      <c r="V364" t="n">
        <v>0.083333</v>
      </c>
      <c r="W364" t="inlineStr">
        <is>
          <t>CNY</t>
        </is>
      </c>
      <c r="X364" t="n">
        <v>1</v>
      </c>
      <c r="Y364" t="n">
        <v>36050.76</v>
      </c>
      <c r="Z364" t="n">
        <v>0</v>
      </c>
      <c r="AA364" t="n">
        <v>119763.45</v>
      </c>
      <c r="AB364" t="n">
        <v>52250</v>
      </c>
      <c r="AC364" t="n">
        <v>0</v>
      </c>
      <c r="AF364" t="n">
        <v>0</v>
      </c>
      <c r="AG364" t="n">
        <v>172013.45</v>
      </c>
      <c r="AH364" t="n">
        <v>4.771423681497977</v>
      </c>
      <c r="AI364" t="n">
        <v>172013.45</v>
      </c>
      <c r="AJ364" t="n">
        <v>4.771423681497977</v>
      </c>
      <c r="AK364" t="n">
        <v>4.771423681497977</v>
      </c>
      <c r="AQ364" t="n">
        <v>172013.45</v>
      </c>
      <c r="AR364" t="n">
        <v>4.771423681497977</v>
      </c>
      <c r="AS364" t="n">
        <v>8.654764779874215</v>
      </c>
      <c r="BL364" t="n">
        <v>0.564383561643835</v>
      </c>
      <c r="BM364" t="n">
        <v>35215</v>
      </c>
      <c r="BN364" t="n">
        <v>0</v>
      </c>
      <c r="BO364" t="n">
        <v>35220</v>
      </c>
      <c r="BP364" t="inlineStr">
        <is>
          <t>N,G</t>
        </is>
      </c>
      <c r="BQ364" t="inlineStr">
        <is>
          <t>T2</t>
        </is>
      </c>
      <c r="BR364" t="n">
        <v>19875</v>
      </c>
      <c r="BS364" t="n">
        <v>0.564390174641488</v>
      </c>
      <c r="BT364" t="n">
        <v>0</v>
      </c>
      <c r="BU364" t="n">
        <v>19875</v>
      </c>
      <c r="BV364" t="n">
        <v>0.564390174641488</v>
      </c>
      <c r="BY364" t="n">
        <v>19875</v>
      </c>
      <c r="BZ364" t="n">
        <v>0.564390174641488</v>
      </c>
      <c r="CP364" t="inlineStr">
        <is>
          <t>CSIG财务管理</t>
        </is>
      </c>
      <c r="CQ364" t="inlineStr">
        <is>
          <t>5,3</t>
        </is>
      </c>
      <c r="CR364" t="n">
        <v>9</v>
      </c>
      <c r="CS364" t="inlineStr">
        <is>
          <t>T2</t>
        </is>
      </c>
      <c r="CT364" t="inlineStr">
        <is>
          <t>N</t>
        </is>
      </c>
    </row>
    <row r="365">
      <c r="A365" t="inlineStr">
        <is>
          <t>sarahLu(陆嫣涵)</t>
        </is>
      </c>
      <c r="C365" t="n">
        <v>84819432</v>
      </c>
      <c r="D365" t="inlineStr">
        <is>
          <t>财经投资并购及管理部</t>
        </is>
      </c>
      <c r="E365" t="inlineStr">
        <is>
          <t>运营支持中心</t>
        </is>
      </c>
      <c r="G365" t="inlineStr">
        <is>
          <t>S2职能系统－财经线/财经投资并购及管理部/运营支持中心</t>
        </is>
      </c>
      <c r="H365" s="188" t="n">
        <v>42295</v>
      </c>
      <c r="I365" t="inlineStr">
        <is>
          <t>高校招聘</t>
        </is>
      </c>
      <c r="J365" t="inlineStr">
        <is>
          <t>财经类－FN</t>
        </is>
      </c>
      <c r="K365" t="inlineStr">
        <is>
          <t>投资并购</t>
        </is>
      </c>
      <c r="L365" t="inlineStr">
        <is>
          <t>S12</t>
        </is>
      </c>
      <c r="M365" t="inlineStr">
        <is>
          <t>L1-2</t>
        </is>
      </c>
      <c r="N365" t="inlineStr">
        <is>
          <t>T2</t>
        </is>
      </c>
      <c r="Q365" t="inlineStr">
        <is>
          <t>G,G</t>
        </is>
      </c>
      <c r="U365" t="n">
        <v>43459.65</v>
      </c>
      <c r="V365" t="n">
        <v>0.083333</v>
      </c>
      <c r="W365" t="inlineStr">
        <is>
          <t>CNY</t>
        </is>
      </c>
      <c r="X365" t="n">
        <v>1</v>
      </c>
      <c r="Y365" t="n">
        <v>42488.18</v>
      </c>
      <c r="Z365" t="n">
        <v>0</v>
      </c>
      <c r="AA365" t="n">
        <v>86919.3</v>
      </c>
      <c r="AB365" t="n">
        <v>62390</v>
      </c>
      <c r="AC365" t="n">
        <v>0</v>
      </c>
      <c r="AF365" t="n">
        <v>5695</v>
      </c>
      <c r="AG365" t="n">
        <v>149309.3</v>
      </c>
      <c r="AH365" t="n">
        <v>3.514137343609446</v>
      </c>
      <c r="AI365" t="n">
        <v>155004.3</v>
      </c>
      <c r="AJ365" t="n">
        <v>3.648174621741858</v>
      </c>
      <c r="AK365" t="n">
        <v>3.648174621741858</v>
      </c>
      <c r="AQ365" t="n">
        <v>155004.3</v>
      </c>
      <c r="AR365" t="n">
        <v>3.648174621741858</v>
      </c>
      <c r="AS365" t="n">
        <v>1.265341224489796</v>
      </c>
      <c r="BL365" t="n">
        <v>1</v>
      </c>
      <c r="BM365" t="n">
        <v>38360</v>
      </c>
      <c r="BN365" t="n">
        <v>0</v>
      </c>
      <c r="BO365" t="n">
        <v>40190</v>
      </c>
      <c r="BP365" t="inlineStr">
        <is>
          <t>G,G</t>
        </is>
      </c>
      <c r="BQ365" t="inlineStr">
        <is>
          <t>Others</t>
        </is>
      </c>
      <c r="BR365" t="n">
        <v>122500</v>
      </c>
      <c r="BS365" t="n">
        <v>3.193430656934307</v>
      </c>
      <c r="BT365" t="n">
        <v>0</v>
      </c>
      <c r="BU365" t="n">
        <v>122500</v>
      </c>
      <c r="BV365" t="n">
        <v>3.193430656934307</v>
      </c>
      <c r="BY365" t="n">
        <v>122500</v>
      </c>
      <c r="BZ365" t="n">
        <v>3.193430656934307</v>
      </c>
      <c r="CP365" t="inlineStr">
        <is>
          <t>财经投资并购及管理部</t>
        </is>
      </c>
      <c r="CQ365" t="inlineStr">
        <is>
          <t>3,3</t>
        </is>
      </c>
      <c r="CR365" t="n">
        <v>12</v>
      </c>
      <c r="CS365" t="inlineStr">
        <is>
          <t>T2</t>
        </is>
      </c>
      <c r="CT365" t="inlineStr">
        <is>
          <t>N</t>
        </is>
      </c>
    </row>
    <row r="366">
      <c r="A366" t="inlineStr">
        <is>
          <t>lawrenceWei(魏松林)</t>
        </is>
      </c>
      <c r="C366" t="n">
        <v>9504025</v>
      </c>
      <c r="D366" t="inlineStr">
        <is>
          <t>风险管理和内部控制</t>
        </is>
      </c>
      <c r="E366" t="inlineStr">
        <is>
          <t>TEG风控组</t>
        </is>
      </c>
      <c r="G366" t="inlineStr">
        <is>
          <t>S2职能系统－财经线/风险管理和内部控制/TEG风控组</t>
        </is>
      </c>
      <c r="H366" s="188" t="n">
        <v>41358</v>
      </c>
      <c r="I366" t="inlineStr">
        <is>
          <t>社会招聘</t>
        </is>
      </c>
      <c r="J366" t="inlineStr">
        <is>
          <t>财经类－FN</t>
        </is>
      </c>
      <c r="K366" t="inlineStr">
        <is>
          <t>风险管理</t>
        </is>
      </c>
      <c r="L366" t="inlineStr">
        <is>
          <t>S7</t>
        </is>
      </c>
      <c r="N366" t="inlineStr">
        <is>
          <t>T1</t>
        </is>
      </c>
      <c r="Q366" t="inlineStr">
        <is>
          <t>G,G</t>
        </is>
      </c>
      <c r="U366" t="n">
        <v>37084.35</v>
      </c>
      <c r="V366" t="n">
        <v>0.083333</v>
      </c>
      <c r="W366" t="inlineStr">
        <is>
          <t>CNY</t>
        </is>
      </c>
      <c r="X366" t="n">
        <v>1</v>
      </c>
      <c r="Y366" t="n">
        <v>34236.14</v>
      </c>
      <c r="Z366" t="n">
        <v>0</v>
      </c>
      <c r="AA366" t="n">
        <v>74168.7</v>
      </c>
      <c r="AB366" t="n">
        <v>78000</v>
      </c>
      <c r="AC366" t="n">
        <v>52080</v>
      </c>
      <c r="AF366" t="n">
        <v>0</v>
      </c>
      <c r="AG366" t="n">
        <v>204248.7</v>
      </c>
      <c r="AH366" t="n">
        <v>5.965879915200721</v>
      </c>
      <c r="AI366" t="n">
        <v>204248.7</v>
      </c>
      <c r="AJ366" t="n">
        <v>5.965879915200721</v>
      </c>
      <c r="AK366" t="n">
        <v>4.444680387450221</v>
      </c>
      <c r="AQ366" t="n">
        <v>204248.7</v>
      </c>
      <c r="AR366" t="n">
        <v>5.965879915200721</v>
      </c>
      <c r="AS366" t="n">
        <v>1.43796606589693</v>
      </c>
      <c r="BL366" t="n">
        <v>1</v>
      </c>
      <c r="BM366" t="n">
        <v>31615</v>
      </c>
      <c r="BN366" t="n">
        <v>0</v>
      </c>
      <c r="BO366" t="n">
        <v>33205</v>
      </c>
      <c r="BP366" t="inlineStr">
        <is>
          <t>G,G</t>
        </is>
      </c>
      <c r="BQ366" t="inlineStr">
        <is>
          <t>T1</t>
        </is>
      </c>
      <c r="BR366" t="n">
        <v>107445</v>
      </c>
      <c r="BS366" t="n">
        <v>3.398544994464653</v>
      </c>
      <c r="BT366" t="n">
        <v>34595</v>
      </c>
      <c r="BU366" t="n">
        <v>142040</v>
      </c>
      <c r="BV366" t="n">
        <v>4.492804048711055</v>
      </c>
      <c r="BY366" t="n">
        <v>142040</v>
      </c>
      <c r="BZ366" t="n">
        <v>4.492804048711055</v>
      </c>
      <c r="CP366" t="inlineStr">
        <is>
          <t>风险管理和内部控制</t>
        </is>
      </c>
      <c r="CQ366" t="inlineStr">
        <is>
          <t>3,3</t>
        </is>
      </c>
      <c r="CR366" t="n">
        <v>7</v>
      </c>
      <c r="CS366" t="inlineStr">
        <is>
          <t>T1</t>
        </is>
      </c>
      <c r="CT366" t="inlineStr">
        <is>
          <t>N</t>
        </is>
      </c>
    </row>
    <row r="367">
      <c r="A367" t="inlineStr">
        <is>
          <t>alexanderLuo(罗昊昊)</t>
        </is>
      </c>
      <c r="C367" t="n">
        <v>43500262</v>
      </c>
      <c r="D367" t="inlineStr">
        <is>
          <t>风险管理和内部控制</t>
        </is>
      </c>
      <c r="E367" t="inlineStr">
        <is>
          <t>CSIG风控中心</t>
        </is>
      </c>
      <c r="G367" t="inlineStr">
        <is>
          <t>S2职能系统－财经线/风险管理和内部控制/CSIG风控中心</t>
        </is>
      </c>
      <c r="H367" s="188" t="n">
        <v>42487</v>
      </c>
      <c r="I367" t="inlineStr">
        <is>
          <t>高校招聘</t>
        </is>
      </c>
      <c r="J367" t="inlineStr">
        <is>
          <t>财经类－FN</t>
        </is>
      </c>
      <c r="K367" t="inlineStr">
        <is>
          <t>风险管理</t>
        </is>
      </c>
      <c r="L367" t="inlineStr">
        <is>
          <t>S11</t>
        </is>
      </c>
      <c r="N367" t="inlineStr">
        <is>
          <t>T1</t>
        </is>
      </c>
      <c r="Q367" t="inlineStr">
        <is>
          <t>G,O</t>
        </is>
      </c>
      <c r="U367" t="n">
        <v>49131.7</v>
      </c>
      <c r="V367" t="n">
        <v>0.083333</v>
      </c>
      <c r="W367" t="inlineStr">
        <is>
          <t>CNY</t>
        </is>
      </c>
      <c r="X367" t="n">
        <v>1</v>
      </c>
      <c r="Y367" t="n">
        <v>45678.91</v>
      </c>
      <c r="Z367" t="n">
        <v>0</v>
      </c>
      <c r="AA367" t="n">
        <v>147395.1</v>
      </c>
      <c r="AB367" t="n">
        <v>100175</v>
      </c>
      <c r="AC367" t="n">
        <v>98055</v>
      </c>
      <c r="AF367" t="n">
        <v>0</v>
      </c>
      <c r="AG367" t="n">
        <v>345625.1</v>
      </c>
      <c r="AH367" t="n">
        <v>7.566404277159853</v>
      </c>
      <c r="AI367" t="n">
        <v>345625.1</v>
      </c>
      <c r="AJ367" t="n">
        <v>7.566404277159853</v>
      </c>
      <c r="AK367" t="n">
        <v>5.419790008124099</v>
      </c>
      <c r="AQ367" t="n">
        <v>345625.1</v>
      </c>
      <c r="AR367" t="n">
        <v>7.566404277159853</v>
      </c>
      <c r="AS367" t="n">
        <v>1.523685057420592</v>
      </c>
      <c r="BL367" t="n">
        <v>1</v>
      </c>
      <c r="BM367" t="n">
        <v>41220</v>
      </c>
      <c r="BN367" t="n">
        <v>0</v>
      </c>
      <c r="BO367" t="n">
        <v>42555</v>
      </c>
      <c r="BP367" t="inlineStr">
        <is>
          <t>G,G</t>
        </is>
      </c>
      <c r="BQ367" t="inlineStr">
        <is>
          <t>T1</t>
        </is>
      </c>
      <c r="BR367" t="n">
        <v>145095</v>
      </c>
      <c r="BS367" t="n">
        <v>3.520014556040757</v>
      </c>
      <c r="BT367" t="n">
        <v>81740</v>
      </c>
      <c r="BU367" t="n">
        <v>226835</v>
      </c>
      <c r="BV367" t="n">
        <v>5.503032508491024</v>
      </c>
      <c r="BY367" t="n">
        <v>226835</v>
      </c>
      <c r="BZ367" t="n">
        <v>5.503032508491024</v>
      </c>
      <c r="CP367" t="inlineStr">
        <is>
          <t>风险管理和内部控制</t>
        </is>
      </c>
      <c r="CQ367" t="inlineStr">
        <is>
          <t>5,3</t>
        </is>
      </c>
      <c r="CR367" t="n">
        <v>11</v>
      </c>
      <c r="CS367" t="inlineStr">
        <is>
          <t>T1</t>
        </is>
      </c>
      <c r="CT367" t="inlineStr">
        <is>
          <t>N</t>
        </is>
      </c>
    </row>
    <row r="368">
      <c r="A368" t="inlineStr">
        <is>
          <t>dennisDing(丁超)</t>
        </is>
      </c>
      <c r="C368" t="n">
        <v>78255488</v>
      </c>
      <c r="D368" t="inlineStr">
        <is>
          <t>风险管理和内部控制</t>
        </is>
      </c>
      <c r="E368" t="inlineStr">
        <is>
          <t>S系统风控组</t>
        </is>
      </c>
      <c r="G368" t="inlineStr">
        <is>
          <t>S2职能系统－财经线/风险管理和内部控制/S系统风控组</t>
        </is>
      </c>
      <c r="H368" s="188" t="n">
        <v>39821</v>
      </c>
      <c r="I368" t="inlineStr">
        <is>
          <t>社会招聘</t>
        </is>
      </c>
      <c r="J368" t="inlineStr">
        <is>
          <t>财经类－FN</t>
        </is>
      </c>
      <c r="K368" t="inlineStr">
        <is>
          <t>风险管理</t>
        </is>
      </c>
      <c r="L368" t="inlineStr">
        <is>
          <t>S6</t>
        </is>
      </c>
      <c r="N368" t="inlineStr">
        <is>
          <t>T1</t>
        </is>
      </c>
      <c r="Q368" t="inlineStr">
        <is>
          <t>G,G</t>
        </is>
      </c>
      <c r="U368" t="n">
        <v>30973.15</v>
      </c>
      <c r="V368" t="n">
        <v>0.083333</v>
      </c>
      <c r="W368" t="inlineStr">
        <is>
          <t>CNY</t>
        </is>
      </c>
      <c r="X368" t="n">
        <v>1</v>
      </c>
      <c r="Y368" t="n">
        <v>29957.33</v>
      </c>
      <c r="Z368" t="n">
        <v>0</v>
      </c>
      <c r="AA368" t="n">
        <v>61946.3</v>
      </c>
      <c r="AB368" t="n">
        <v>66360</v>
      </c>
      <c r="AC368" t="n">
        <v>54325</v>
      </c>
      <c r="AF368" t="n">
        <v>0</v>
      </c>
      <c r="AG368" t="n">
        <v>182631.3</v>
      </c>
      <c r="AH368" t="n">
        <v>6.096381086031364</v>
      </c>
      <c r="AI368" t="n">
        <v>182631.3</v>
      </c>
      <c r="AJ368" t="n">
        <v>6.096381086031364</v>
      </c>
      <c r="AK368" t="n">
        <v>4.282968475494979</v>
      </c>
      <c r="AQ368" t="n">
        <v>182631.3</v>
      </c>
      <c r="AR368" t="n">
        <v>6.096381086031364</v>
      </c>
      <c r="AS368" t="n">
        <v>1.148082979726544</v>
      </c>
      <c r="BL368" t="n">
        <v>1</v>
      </c>
      <c r="BM368" t="n">
        <v>25145</v>
      </c>
      <c r="BN368" t="n">
        <v>0</v>
      </c>
      <c r="BO368" t="n">
        <v>26685</v>
      </c>
      <c r="BP368" t="inlineStr">
        <is>
          <t>G,O</t>
        </is>
      </c>
      <c r="BQ368" t="inlineStr">
        <is>
          <t>T1</t>
        </is>
      </c>
      <c r="BR368" t="n">
        <v>113285</v>
      </c>
      <c r="BS368" t="n">
        <v>4.50526943726387</v>
      </c>
      <c r="BT368" t="n">
        <v>45790</v>
      </c>
      <c r="BU368" t="n">
        <v>159075</v>
      </c>
      <c r="BV368" t="n">
        <v>6.326307416981507</v>
      </c>
      <c r="BY368" t="n">
        <v>159075</v>
      </c>
      <c r="BZ368" t="n">
        <v>6.326307416981507</v>
      </c>
      <c r="CP368" t="inlineStr">
        <is>
          <t>风险管理和内部控制</t>
        </is>
      </c>
      <c r="CQ368" t="inlineStr">
        <is>
          <t>3,3</t>
        </is>
      </c>
      <c r="CR368" t="n">
        <v>6</v>
      </c>
      <c r="CS368" t="inlineStr">
        <is>
          <t>T1</t>
        </is>
      </c>
      <c r="CT368" t="inlineStr">
        <is>
          <t>N</t>
        </is>
      </c>
    </row>
    <row r="369">
      <c r="A369" t="inlineStr">
        <is>
          <t>seanJiang(江宇)</t>
        </is>
      </c>
      <c r="C369" t="n">
        <v>81778001</v>
      </c>
      <c r="D369" t="inlineStr">
        <is>
          <t>财经IT管理部</t>
        </is>
      </c>
      <c r="E369" t="inlineStr">
        <is>
          <t>平台建设中心</t>
        </is>
      </c>
      <c r="G369" t="inlineStr">
        <is>
          <t>S2职能系统－财经线/财经IT管理部/平台建设中心</t>
        </is>
      </c>
      <c r="H369" s="188" t="n">
        <v>38508</v>
      </c>
      <c r="I369" t="inlineStr">
        <is>
          <t>高校招聘</t>
        </is>
      </c>
      <c r="J369" t="inlineStr">
        <is>
          <t>技术研发类－TRD</t>
        </is>
      </c>
      <c r="K369" t="inlineStr">
        <is>
          <t>应用开发</t>
        </is>
      </c>
      <c r="L369" t="inlineStr">
        <is>
          <t>T10</t>
        </is>
      </c>
      <c r="N369" t="inlineStr">
        <is>
          <t>T1#</t>
        </is>
      </c>
      <c r="Q369" t="inlineStr">
        <is>
          <t>O,G</t>
        </is>
      </c>
      <c r="U369" t="n">
        <v>60525.05</v>
      </c>
      <c r="V369" t="n">
        <v>0.083333</v>
      </c>
      <c r="W369" t="inlineStr">
        <is>
          <t>CNY</t>
        </is>
      </c>
      <c r="X369" t="n">
        <v>1</v>
      </c>
      <c r="Y369" t="n">
        <v>57157.1</v>
      </c>
      <c r="Z369" t="n">
        <v>0</v>
      </c>
      <c r="AA369" t="n">
        <v>181575.15</v>
      </c>
      <c r="AB369" t="n">
        <v>193240</v>
      </c>
      <c r="AC369" t="n">
        <v>106590</v>
      </c>
      <c r="AF369" t="n">
        <v>0</v>
      </c>
      <c r="AG369" t="n">
        <v>481405.15</v>
      </c>
      <c r="AH369" t="n">
        <v>8.422490819163324</v>
      </c>
      <c r="AI369" t="n">
        <v>481405.15</v>
      </c>
      <c r="AJ369" t="n">
        <v>8.422490819163324</v>
      </c>
      <c r="AK369" t="n">
        <v>6.557630635564086</v>
      </c>
      <c r="AQ369" t="n">
        <v>481405.15</v>
      </c>
      <c r="AR369" t="n">
        <v>8.422490819163324</v>
      </c>
      <c r="AS369" t="n">
        <v>1.324925759264611</v>
      </c>
      <c r="BL369" t="n">
        <v>1</v>
      </c>
      <c r="BM369" t="n">
        <v>53560</v>
      </c>
      <c r="BN369" t="n">
        <v>0</v>
      </c>
      <c r="BO369" t="n">
        <v>56535</v>
      </c>
      <c r="BP369" t="inlineStr">
        <is>
          <t>G,G</t>
        </is>
      </c>
      <c r="BQ369" t="inlineStr">
        <is>
          <t>T1#</t>
        </is>
      </c>
      <c r="BR369" t="n">
        <v>293025</v>
      </c>
      <c r="BS369" t="n">
        <v>5.47096713965646</v>
      </c>
      <c r="BT369" t="n">
        <v>70320</v>
      </c>
      <c r="BU369" t="n">
        <v>363345</v>
      </c>
      <c r="BV369" t="n">
        <v>6.783887229275579</v>
      </c>
      <c r="BY369" t="n">
        <v>363345</v>
      </c>
      <c r="BZ369" t="n">
        <v>6.783887229275579</v>
      </c>
      <c r="CP369" t="inlineStr">
        <is>
          <t>财经IT管理部</t>
        </is>
      </c>
      <c r="CQ369" t="inlineStr">
        <is>
          <t>5,3</t>
        </is>
      </c>
      <c r="CR369" t="n">
        <v>10</v>
      </c>
      <c r="CS369" t="inlineStr">
        <is>
          <t>T1#</t>
        </is>
      </c>
      <c r="CT369" t="inlineStr">
        <is>
          <t>N</t>
        </is>
      </c>
    </row>
    <row r="370">
      <c r="A370" t="inlineStr">
        <is>
          <t>susanXie(谢冰莹)</t>
        </is>
      </c>
      <c r="C370" t="n">
        <v>87322383</v>
      </c>
      <c r="D370" t="inlineStr">
        <is>
          <t>财会及报告管理部</t>
        </is>
      </c>
      <c r="E370" t="inlineStr">
        <is>
          <t>财会及报告管理部</t>
        </is>
      </c>
      <c r="G370" t="inlineStr">
        <is>
          <t>S2职能系统－财经线/财会及报告管理部</t>
        </is>
      </c>
      <c r="H370" s="188" t="n">
        <v>37568</v>
      </c>
      <c r="I370" t="inlineStr">
        <is>
          <t>社会招聘</t>
        </is>
      </c>
      <c r="J370" t="inlineStr">
        <is>
          <t>财经类－FN</t>
        </is>
      </c>
      <c r="K370" t="inlineStr">
        <is>
          <t>会计</t>
        </is>
      </c>
      <c r="L370" t="inlineStr">
        <is>
          <t>S8</t>
        </is>
      </c>
      <c r="N370" t="inlineStr">
        <is>
          <t>T1#</t>
        </is>
      </c>
      <c r="Q370" t="inlineStr">
        <is>
          <t>G,G</t>
        </is>
      </c>
      <c r="U370" t="n">
        <v>30422.5</v>
      </c>
      <c r="V370" t="n">
        <v>0.083333</v>
      </c>
      <c r="W370" t="inlineStr">
        <is>
          <t>CNY</t>
        </is>
      </c>
      <c r="X370" t="n">
        <v>1</v>
      </c>
      <c r="Y370" t="n">
        <v>29439.52</v>
      </c>
      <c r="Z370" t="n">
        <v>0</v>
      </c>
      <c r="AA370" t="n">
        <v>60845</v>
      </c>
      <c r="AB370" t="n">
        <v>92225</v>
      </c>
      <c r="AC370" t="n">
        <v>31720</v>
      </c>
      <c r="AF370" t="n">
        <v>0</v>
      </c>
      <c r="AG370" t="n">
        <v>184790</v>
      </c>
      <c r="AH370" t="n">
        <v>6.276936580487726</v>
      </c>
      <c r="AI370" t="n">
        <v>184790</v>
      </c>
      <c r="AJ370" t="n">
        <v>6.276936580487726</v>
      </c>
      <c r="AK370" t="n">
        <v>5.199473360978711</v>
      </c>
      <c r="AQ370" t="n">
        <v>184790</v>
      </c>
      <c r="AR370" t="n">
        <v>6.276936580487726</v>
      </c>
      <c r="AS370" t="n">
        <v>1.656715079792003</v>
      </c>
      <c r="BL370" t="n">
        <v>1</v>
      </c>
      <c r="BM370" t="n">
        <v>25895</v>
      </c>
      <c r="BN370" t="n">
        <v>0</v>
      </c>
      <c r="BO370" t="n">
        <v>26960</v>
      </c>
      <c r="BP370" t="inlineStr">
        <is>
          <t>U,G</t>
        </is>
      </c>
      <c r="BQ370" t="inlineStr">
        <is>
          <t>T1#</t>
        </is>
      </c>
      <c r="BR370" t="n">
        <v>111540</v>
      </c>
      <c r="BS370" t="n">
        <v>4.307395250048272</v>
      </c>
      <c r="BT370" t="n">
        <v>0</v>
      </c>
      <c r="BU370" t="n">
        <v>111540</v>
      </c>
      <c r="BV370" t="n">
        <v>4.307395250048272</v>
      </c>
      <c r="BY370" t="n">
        <v>111540</v>
      </c>
      <c r="BZ370" t="n">
        <v>4.307395250048272</v>
      </c>
      <c r="CP370" t="inlineStr">
        <is>
          <t>财会及报告管理部</t>
        </is>
      </c>
      <c r="CQ370" t="inlineStr">
        <is>
          <t>3,3</t>
        </is>
      </c>
      <c r="CR370" t="n">
        <v>8</v>
      </c>
      <c r="CS370" t="inlineStr">
        <is>
          <t>T1#</t>
        </is>
      </c>
      <c r="CT370" t="inlineStr">
        <is>
          <t>N</t>
        </is>
      </c>
    </row>
    <row r="371">
      <c r="A371" t="inlineStr">
        <is>
          <t>skylarXue(薛茹茹)</t>
        </is>
      </c>
      <c r="C371" t="n">
        <v>5737101</v>
      </c>
      <c r="D371" t="inlineStr">
        <is>
          <t>预算及职能系统财务管理部</t>
        </is>
      </c>
      <c r="E371" t="inlineStr">
        <is>
          <t>预算管理中心</t>
        </is>
      </c>
      <c r="G371" t="inlineStr">
        <is>
          <t>S2职能系统－财经线/预算及职能系统财务管理部/预算管理中心</t>
        </is>
      </c>
      <c r="H371" s="188" t="n">
        <v>44284</v>
      </c>
      <c r="I371" t="inlineStr">
        <is>
          <t>社会招聘</t>
        </is>
      </c>
      <c r="J371" t="inlineStr">
        <is>
          <t>财经类－FN</t>
        </is>
      </c>
      <c r="K371" t="inlineStr">
        <is>
          <t>预算管理</t>
        </is>
      </c>
      <c r="L371" t="inlineStr">
        <is>
          <t>S6</t>
        </is>
      </c>
      <c r="N371" t="inlineStr">
        <is>
          <t>T2</t>
        </is>
      </c>
      <c r="Q371" t="inlineStr">
        <is>
          <t>U,G</t>
        </is>
      </c>
      <c r="U371" t="n">
        <v>31967.25</v>
      </c>
      <c r="V371" t="n">
        <v>0.083333</v>
      </c>
      <c r="W371" t="inlineStr">
        <is>
          <t>CNY</t>
        </is>
      </c>
      <c r="X371" t="n">
        <v>1</v>
      </c>
      <c r="Y371" t="n">
        <v>29060.92</v>
      </c>
      <c r="Z371" t="n">
        <v>0</v>
      </c>
      <c r="AA371" t="n">
        <v>31967.25</v>
      </c>
      <c r="AB371" t="n">
        <v>46960</v>
      </c>
      <c r="AC371" t="n">
        <v>0</v>
      </c>
      <c r="AF371" t="n">
        <v>0</v>
      </c>
      <c r="AG371" t="n">
        <v>78927.25</v>
      </c>
      <c r="AH371" t="n">
        <v>2.715923996900305</v>
      </c>
      <c r="AI371" t="n">
        <v>78927.25</v>
      </c>
      <c r="AJ371" t="n">
        <v>2.715923996900305</v>
      </c>
      <c r="AK371" t="n">
        <v>2.715923996900305</v>
      </c>
      <c r="AQ371" t="n">
        <v>78927.25</v>
      </c>
      <c r="AR371" t="n">
        <v>2.715923996900305</v>
      </c>
      <c r="AS371" t="n">
        <v>1.270356510542411</v>
      </c>
      <c r="BL371" t="n">
        <v>1</v>
      </c>
      <c r="BM371" t="n">
        <v>28095</v>
      </c>
      <c r="BN371" t="n">
        <v>0</v>
      </c>
      <c r="BO371" t="n">
        <v>29435</v>
      </c>
      <c r="BP371" t="inlineStr">
        <is>
          <t>G,U</t>
        </is>
      </c>
      <c r="BQ371" t="inlineStr">
        <is>
          <t>T2</t>
        </is>
      </c>
      <c r="BR371" t="n">
        <v>62130</v>
      </c>
      <c r="BS371" t="n">
        <v>2.211425520555259</v>
      </c>
      <c r="BT371" t="n">
        <v>0</v>
      </c>
      <c r="BU371" t="n">
        <v>62130</v>
      </c>
      <c r="BV371" t="n">
        <v>2.211425520555259</v>
      </c>
      <c r="BY371" t="n">
        <v>62130</v>
      </c>
      <c r="BZ371" t="n">
        <v>2.211425520555259</v>
      </c>
      <c r="CP371" t="inlineStr">
        <is>
          <t>预算及职能系统财务管理部</t>
        </is>
      </c>
      <c r="CQ371" t="inlineStr">
        <is>
          <t>3,1</t>
        </is>
      </c>
      <c r="CR371" t="n">
        <v>6</v>
      </c>
      <c r="CS371" t="inlineStr">
        <is>
          <t>T2</t>
        </is>
      </c>
      <c r="CT371" t="inlineStr">
        <is>
          <t>N</t>
        </is>
      </c>
    </row>
    <row r="372">
      <c r="A372" t="inlineStr">
        <is>
          <t>philipRen(任翔锋)</t>
        </is>
      </c>
      <c r="C372" t="n">
        <v>68845383</v>
      </c>
      <c r="D372" t="inlineStr">
        <is>
          <t>PCG财务管理</t>
        </is>
      </c>
      <c r="E372" t="inlineStr">
        <is>
          <t>动漫财务管理组</t>
        </is>
      </c>
      <c r="G372" t="inlineStr">
        <is>
          <t>S2职能系统－财经线/PCG财务管理/动漫财务管理组</t>
        </is>
      </c>
      <c r="H372" s="188" t="n">
        <v>45348</v>
      </c>
      <c r="I372" t="inlineStr">
        <is>
          <t>高校招聘</t>
        </is>
      </c>
      <c r="J372" t="inlineStr">
        <is>
          <t>财经类－FN</t>
        </is>
      </c>
      <c r="K372" t="inlineStr">
        <is>
          <t>财务管理</t>
        </is>
      </c>
      <c r="L372" t="inlineStr">
        <is>
          <t>S8</t>
        </is>
      </c>
      <c r="N372" t="inlineStr">
        <is>
          <t>T2</t>
        </is>
      </c>
      <c r="Q372" t="inlineStr">
        <is>
          <t>O,G</t>
        </is>
      </c>
      <c r="U372" t="n">
        <v>48504.95</v>
      </c>
      <c r="V372" t="n">
        <v>0.083333</v>
      </c>
      <c r="W372" t="inlineStr">
        <is>
          <t>CNY</t>
        </is>
      </c>
      <c r="X372" t="n">
        <v>0.846575</v>
      </c>
      <c r="Y372" t="n">
        <v>43685.23</v>
      </c>
      <c r="Z372" t="n">
        <v>0</v>
      </c>
      <c r="AA372" t="n">
        <v>41063.08</v>
      </c>
      <c r="AB372" t="n">
        <v>0</v>
      </c>
      <c r="AC372" t="n">
        <v>0</v>
      </c>
      <c r="AF372" t="n">
        <v>0</v>
      </c>
      <c r="AG372" t="n">
        <v>41063.08</v>
      </c>
      <c r="AH372" t="n">
        <v>0.9399762803125907</v>
      </c>
      <c r="AI372" t="n">
        <v>41063.08</v>
      </c>
      <c r="AJ372" t="n">
        <v>0.9399762803125907</v>
      </c>
      <c r="AK372" t="n">
        <v>0.9399762803125907</v>
      </c>
      <c r="AQ372" t="n">
        <v>41063.08</v>
      </c>
      <c r="AR372" t="n">
        <v>0.9399762803125907</v>
      </c>
      <c r="BM372" t="n">
        <v>0</v>
      </c>
      <c r="BN372" t="n">
        <v>0</v>
      </c>
      <c r="BO372" t="n">
        <v>0</v>
      </c>
      <c r="BR372" t="n">
        <v>0</v>
      </c>
      <c r="BT372" t="n">
        <v>0</v>
      </c>
      <c r="BU372" t="n">
        <v>0</v>
      </c>
      <c r="BY372" t="n">
        <v>0</v>
      </c>
      <c r="CP372" t="inlineStr">
        <is>
          <t>PCG财务管理</t>
        </is>
      </c>
      <c r="CQ372" t="inlineStr">
        <is>
          <t>5,3</t>
        </is>
      </c>
      <c r="CR372" t="n">
        <v>8</v>
      </c>
      <c r="CS372" t="inlineStr">
        <is>
          <t>T2</t>
        </is>
      </c>
      <c r="CT372" t="inlineStr">
        <is>
          <t>N</t>
        </is>
      </c>
    </row>
    <row r="373">
      <c r="A373" t="inlineStr">
        <is>
          <t>laylaCao(曹君晶)</t>
        </is>
      </c>
      <c r="C373" t="n">
        <v>83534980</v>
      </c>
      <c r="D373" t="inlineStr">
        <is>
          <t>审计监察</t>
        </is>
      </c>
      <c r="E373" t="inlineStr">
        <is>
          <t>审计监察</t>
        </is>
      </c>
      <c r="G373" t="inlineStr">
        <is>
          <t>S2职能系统－财经线/审计监察</t>
        </is>
      </c>
      <c r="H373" s="188" t="n">
        <v>40945</v>
      </c>
      <c r="I373" t="inlineStr">
        <is>
          <t>社会招聘</t>
        </is>
      </c>
      <c r="J373" t="inlineStr">
        <is>
          <t>财经类－FN</t>
        </is>
      </c>
      <c r="K373" t="inlineStr">
        <is>
          <t>风险管理</t>
        </is>
      </c>
      <c r="M373" t="inlineStr">
        <is>
          <t>L2-1</t>
        </is>
      </c>
      <c r="N373" t="inlineStr">
        <is>
          <t>T2</t>
        </is>
      </c>
      <c r="Q373" t="inlineStr">
        <is>
          <t>G,G</t>
        </is>
      </c>
      <c r="U373" t="n">
        <v>57130.55</v>
      </c>
      <c r="V373" t="n">
        <v>0.083333</v>
      </c>
      <c r="W373" t="inlineStr">
        <is>
          <t>CNY</t>
        </is>
      </c>
      <c r="X373" t="n">
        <v>1</v>
      </c>
      <c r="Y373" t="n">
        <v>54526.62</v>
      </c>
      <c r="Z373" t="n">
        <v>0</v>
      </c>
      <c r="AA373" t="n">
        <v>114261.1</v>
      </c>
      <c r="AB373" t="n">
        <v>75835</v>
      </c>
      <c r="AC373" t="n">
        <v>0</v>
      </c>
      <c r="AF373" t="n">
        <v>28700</v>
      </c>
      <c r="AG373" t="n">
        <v>190096.1</v>
      </c>
      <c r="AH373" t="n">
        <v>3.486298985706431</v>
      </c>
      <c r="AI373" t="n">
        <v>218796.1</v>
      </c>
      <c r="AJ373" t="n">
        <v>4.012647400480719</v>
      </c>
      <c r="AK373" t="n">
        <v>4.012647400480719</v>
      </c>
      <c r="AQ373" t="n">
        <v>218796.1</v>
      </c>
      <c r="AR373" t="n">
        <v>4.012647400480719</v>
      </c>
      <c r="AS373" t="n">
        <v>1.017064962231261</v>
      </c>
      <c r="BL373" t="n">
        <v>1</v>
      </c>
      <c r="BM373" t="n">
        <v>49320</v>
      </c>
      <c r="BN373" t="n">
        <v>0</v>
      </c>
      <c r="BO373" t="n">
        <v>53140</v>
      </c>
      <c r="BP373" t="inlineStr">
        <is>
          <t>O,G</t>
        </is>
      </c>
      <c r="BQ373" t="inlineStr">
        <is>
          <t>T2</t>
        </is>
      </c>
      <c r="BR373" t="n">
        <v>215125</v>
      </c>
      <c r="BS373" t="n">
        <v>4.361820762368207</v>
      </c>
      <c r="BT373" t="n">
        <v>0</v>
      </c>
      <c r="BU373" t="n">
        <v>215125</v>
      </c>
      <c r="BV373" t="n">
        <v>4.361820762368207</v>
      </c>
      <c r="BY373" t="n">
        <v>215125</v>
      </c>
      <c r="BZ373" t="n">
        <v>4.361820762368207</v>
      </c>
      <c r="CP373" t="inlineStr">
        <is>
          <t>审计监察</t>
        </is>
      </c>
      <c r="CQ373" t="inlineStr">
        <is>
          <t>3,3</t>
        </is>
      </c>
      <c r="CR373" t="inlineStr">
        <is>
          <t>L2-1</t>
        </is>
      </c>
      <c r="CS373" t="inlineStr">
        <is>
          <t>T2</t>
        </is>
      </c>
      <c r="CT373" t="inlineStr">
        <is>
          <t>N</t>
        </is>
      </c>
    </row>
    <row r="374">
      <c r="A374" t="inlineStr">
        <is>
          <t>alanXu(许杰曦)</t>
        </is>
      </c>
      <c r="C374" t="n">
        <v>18023134</v>
      </c>
      <c r="D374" t="inlineStr">
        <is>
          <t>CSIG财务管理</t>
        </is>
      </c>
      <c r="E374" t="inlineStr">
        <is>
          <t>综合财务管理中心</t>
        </is>
      </c>
      <c r="G374" t="inlineStr">
        <is>
          <t>S2职能系统－财经线/CSIG财务管理/综合财务管理中心</t>
        </is>
      </c>
      <c r="H374" s="188" t="n">
        <v>44455</v>
      </c>
      <c r="I374" t="inlineStr">
        <is>
          <t>高校招聘</t>
        </is>
      </c>
      <c r="J374" t="inlineStr">
        <is>
          <t>财经类－FN</t>
        </is>
      </c>
      <c r="K374" t="inlineStr">
        <is>
          <t>财务管理</t>
        </is>
      </c>
      <c r="L374" t="inlineStr">
        <is>
          <t>S10</t>
        </is>
      </c>
      <c r="N374" t="inlineStr">
        <is>
          <t>T2</t>
        </is>
      </c>
      <c r="Q374" t="inlineStr">
        <is>
          <t>G,O</t>
        </is>
      </c>
      <c r="U374" t="n">
        <v>63039.1</v>
      </c>
      <c r="V374" t="n">
        <v>0.083333</v>
      </c>
      <c r="W374" t="inlineStr">
        <is>
          <t>CNY</t>
        </is>
      </c>
      <c r="X374" t="n">
        <v>1</v>
      </c>
      <c r="Y374" t="n">
        <v>56833.52</v>
      </c>
      <c r="Z374" t="n">
        <v>0</v>
      </c>
      <c r="AA374" t="n">
        <v>189117.3</v>
      </c>
      <c r="AB374" t="n">
        <v>73380</v>
      </c>
      <c r="AC374" t="n">
        <v>0</v>
      </c>
      <c r="AF374" t="n">
        <v>0</v>
      </c>
      <c r="AG374" t="n">
        <v>262497.3</v>
      </c>
      <c r="AH374" t="n">
        <v>4.618705651172055</v>
      </c>
      <c r="AI374" t="n">
        <v>262497.3</v>
      </c>
      <c r="AJ374" t="n">
        <v>4.618705651172055</v>
      </c>
      <c r="AK374" t="n">
        <v>4.618705651172055</v>
      </c>
      <c r="AQ374" t="n">
        <v>262497.3</v>
      </c>
      <c r="AR374" t="n">
        <v>4.618705651172055</v>
      </c>
      <c r="AS374" t="n">
        <v>1.195070794445709</v>
      </c>
      <c r="BL374" t="n">
        <v>1</v>
      </c>
      <c r="BM374" t="n">
        <v>52910</v>
      </c>
      <c r="BN374" t="n">
        <v>0</v>
      </c>
      <c r="BO374" t="n">
        <v>54875</v>
      </c>
      <c r="BP374" t="inlineStr">
        <is>
          <t>G,O</t>
        </is>
      </c>
      <c r="BQ374" t="inlineStr">
        <is>
          <t>T2</t>
        </is>
      </c>
      <c r="BR374" t="n">
        <v>219650</v>
      </c>
      <c r="BS374" t="n">
        <v>4.151389151389151</v>
      </c>
      <c r="BT374" t="n">
        <v>0</v>
      </c>
      <c r="BU374" t="n">
        <v>219650</v>
      </c>
      <c r="BV374" t="n">
        <v>4.151389151389151</v>
      </c>
      <c r="BY374" t="n">
        <v>219650</v>
      </c>
      <c r="BZ374" t="n">
        <v>4.151389151389151</v>
      </c>
      <c r="CP374" t="inlineStr">
        <is>
          <t>CSIG财务管理</t>
        </is>
      </c>
      <c r="CQ374" t="inlineStr">
        <is>
          <t>5,3</t>
        </is>
      </c>
      <c r="CR374" t="n">
        <v>10</v>
      </c>
      <c r="CS374" t="inlineStr">
        <is>
          <t>T2</t>
        </is>
      </c>
      <c r="CT374" t="inlineStr">
        <is>
          <t>N</t>
        </is>
      </c>
    </row>
    <row r="375">
      <c r="A375" t="inlineStr">
        <is>
          <t>alexanderShen(沈明卓)</t>
        </is>
      </c>
      <c r="C375" t="n">
        <v>91429300</v>
      </c>
      <c r="D375" t="inlineStr">
        <is>
          <t>TEG财务管理</t>
        </is>
      </c>
      <c r="E375" t="inlineStr">
        <is>
          <t>TEG财务管理</t>
        </is>
      </c>
      <c r="G375" t="inlineStr">
        <is>
          <t>S2职能系统－财经线/TEG财务管理</t>
        </is>
      </c>
      <c r="H375" s="188" t="n">
        <v>37620</v>
      </c>
      <c r="I375" t="inlineStr">
        <is>
          <t>高校招聘</t>
        </is>
      </c>
      <c r="J375" t="inlineStr">
        <is>
          <t>财经类－FN</t>
        </is>
      </c>
      <c r="K375" t="inlineStr">
        <is>
          <t>财务管理</t>
        </is>
      </c>
      <c r="L375" t="inlineStr">
        <is>
          <t>S8</t>
        </is>
      </c>
      <c r="N375" t="inlineStr">
        <is>
          <t>T1</t>
        </is>
      </c>
      <c r="Q375" t="inlineStr">
        <is>
          <t>G,G</t>
        </is>
      </c>
      <c r="U375" t="n">
        <v>46275.9</v>
      </c>
      <c r="V375" t="n">
        <v>0.083333</v>
      </c>
      <c r="W375" t="inlineStr">
        <is>
          <t>CNY</t>
        </is>
      </c>
      <c r="X375" t="n">
        <v>1</v>
      </c>
      <c r="Y375" t="n">
        <v>45266.29</v>
      </c>
      <c r="Z375" t="n">
        <v>0</v>
      </c>
      <c r="AA375" t="n">
        <v>92551.8</v>
      </c>
      <c r="AB375" t="n">
        <v>104250</v>
      </c>
      <c r="AC375" t="n">
        <v>58020</v>
      </c>
      <c r="AF375" t="n">
        <v>0</v>
      </c>
      <c r="AG375" t="n">
        <v>254821.8</v>
      </c>
      <c r="AH375" t="n">
        <v>5.629394412486643</v>
      </c>
      <c r="AI375" t="n">
        <v>254821.8</v>
      </c>
      <c r="AJ375" t="n">
        <v>5.629394412486643</v>
      </c>
      <c r="AK375" t="n">
        <v>4.347645897200764</v>
      </c>
      <c r="AQ375" t="n">
        <v>254821.8</v>
      </c>
      <c r="AR375" t="n">
        <v>5.629394412486643</v>
      </c>
      <c r="AS375" t="n">
        <v>1.108426890536984</v>
      </c>
      <c r="BL375" t="n">
        <v>1</v>
      </c>
      <c r="BM375" t="n">
        <v>39930</v>
      </c>
      <c r="BN375" t="n">
        <v>0</v>
      </c>
      <c r="BO375" t="n">
        <v>41020</v>
      </c>
      <c r="BP375" t="inlineStr">
        <is>
          <t>O,G</t>
        </is>
      </c>
      <c r="BQ375" t="inlineStr">
        <is>
          <t>T1</t>
        </is>
      </c>
      <c r="BR375" t="n">
        <v>167600</v>
      </c>
      <c r="BS375" t="n">
        <v>4.197345354370148</v>
      </c>
      <c r="BT375" t="n">
        <v>62295</v>
      </c>
      <c r="BU375" t="n">
        <v>229895</v>
      </c>
      <c r="BV375" t="n">
        <v>5.757450538442274</v>
      </c>
      <c r="BY375" t="n">
        <v>229895</v>
      </c>
      <c r="BZ375" t="n">
        <v>5.757450538442274</v>
      </c>
      <c r="CP375" t="inlineStr">
        <is>
          <t>TEG财务管理</t>
        </is>
      </c>
      <c r="CQ375" t="inlineStr">
        <is>
          <t>3,3</t>
        </is>
      </c>
      <c r="CR375" t="n">
        <v>8</v>
      </c>
      <c r="CS375" t="inlineStr">
        <is>
          <t>T1</t>
        </is>
      </c>
      <c r="CT375" t="inlineStr">
        <is>
          <t>N</t>
        </is>
      </c>
    </row>
    <row r="376">
      <c r="A376" t="inlineStr">
        <is>
          <t>mariaBai(白珊悦)</t>
        </is>
      </c>
      <c r="C376" t="n">
        <v>34206967</v>
      </c>
      <c r="D376" t="inlineStr">
        <is>
          <t>财会及报告管理部</t>
        </is>
      </c>
      <c r="E376" t="inlineStr">
        <is>
          <t>账务中心</t>
        </is>
      </c>
      <c r="G376" t="inlineStr">
        <is>
          <t>S2职能系统－财经线/财会及报告管理部/账务中心</t>
        </is>
      </c>
      <c r="H376" s="188" t="n">
        <v>37646</v>
      </c>
      <c r="I376" t="inlineStr">
        <is>
          <t>社会招聘</t>
        </is>
      </c>
      <c r="J376" t="inlineStr">
        <is>
          <t>财经类－FN</t>
        </is>
      </c>
      <c r="K376" t="inlineStr">
        <is>
          <t>会计</t>
        </is>
      </c>
      <c r="L376" t="inlineStr">
        <is>
          <t>S9</t>
        </is>
      </c>
      <c r="N376" t="inlineStr">
        <is>
          <t>T1</t>
        </is>
      </c>
      <c r="Q376" t="inlineStr">
        <is>
          <t>O,G</t>
        </is>
      </c>
      <c r="U376" t="n">
        <v>48470.65</v>
      </c>
      <c r="V376" t="n">
        <v>0.083333</v>
      </c>
      <c r="W376" t="inlineStr">
        <is>
          <t>CNY</t>
        </is>
      </c>
      <c r="X376" t="n">
        <v>1</v>
      </c>
      <c r="Y376" t="n">
        <v>44713.6</v>
      </c>
      <c r="Z376" t="n">
        <v>0</v>
      </c>
      <c r="AA376" t="n">
        <v>145411.95</v>
      </c>
      <c r="AB376" t="n">
        <v>117800</v>
      </c>
      <c r="AC376" t="n">
        <v>79350</v>
      </c>
      <c r="AF376" t="n">
        <v>0</v>
      </c>
      <c r="AG376" t="n">
        <v>342561.95</v>
      </c>
      <c r="AH376" t="n">
        <v>7.661247360981895</v>
      </c>
      <c r="AI376" t="n">
        <v>342561.95</v>
      </c>
      <c r="AJ376" t="n">
        <v>7.661247360981895</v>
      </c>
      <c r="AK376" t="n">
        <v>5.88661950726401</v>
      </c>
      <c r="AQ376" t="n">
        <v>342561.95</v>
      </c>
      <c r="AR376" t="n">
        <v>7.661247360981895</v>
      </c>
      <c r="AS376" t="n">
        <v>1.79333027955188</v>
      </c>
      <c r="BL376" t="n">
        <v>1</v>
      </c>
      <c r="BM376" t="n">
        <v>39035</v>
      </c>
      <c r="BN376" t="n">
        <v>0</v>
      </c>
      <c r="BO376" t="n">
        <v>39965</v>
      </c>
      <c r="BP376" t="inlineStr">
        <is>
          <t>G,G</t>
        </is>
      </c>
      <c r="BQ376" t="inlineStr">
        <is>
          <t>T1</t>
        </is>
      </c>
      <c r="BR376" t="n">
        <v>130495</v>
      </c>
      <c r="BS376" t="n">
        <v>3.343025489944921</v>
      </c>
      <c r="BT376" t="n">
        <v>60525</v>
      </c>
      <c r="BU376" t="n">
        <v>191020</v>
      </c>
      <c r="BV376" t="n">
        <v>4.893557064173178</v>
      </c>
      <c r="BY376" t="n">
        <v>191020</v>
      </c>
      <c r="BZ376" t="n">
        <v>4.893557064173178</v>
      </c>
      <c r="CP376" t="inlineStr">
        <is>
          <t>财会及报告管理部</t>
        </is>
      </c>
      <c r="CQ376" t="inlineStr">
        <is>
          <t>5,3</t>
        </is>
      </c>
      <c r="CR376" t="n">
        <v>9</v>
      </c>
      <c r="CS376" t="inlineStr">
        <is>
          <t>T1</t>
        </is>
      </c>
      <c r="CT376" t="inlineStr">
        <is>
          <t>N</t>
        </is>
      </c>
    </row>
    <row r="377">
      <c r="A377" t="inlineStr">
        <is>
          <t>susanZeng(曾青馨)</t>
        </is>
      </c>
      <c r="C377" t="n">
        <v>16912383</v>
      </c>
      <c r="D377" t="inlineStr">
        <is>
          <t>CSIG财务管理</t>
        </is>
      </c>
      <c r="E377" t="inlineStr">
        <is>
          <t>公线及费用财务管理中心</t>
        </is>
      </c>
      <c r="G377" t="inlineStr">
        <is>
          <t>S2职能系统－财经线/CSIG财务管理/公线及费用财务管理中心</t>
        </is>
      </c>
      <c r="H377" s="188" t="n">
        <v>42155</v>
      </c>
      <c r="I377" t="inlineStr">
        <is>
          <t>高校招聘</t>
        </is>
      </c>
      <c r="J377" t="inlineStr">
        <is>
          <t>财经类－FN</t>
        </is>
      </c>
      <c r="K377" t="inlineStr">
        <is>
          <t>财务管理</t>
        </is>
      </c>
      <c r="L377" t="inlineStr">
        <is>
          <t>S6</t>
        </is>
      </c>
      <c r="N377" t="inlineStr">
        <is>
          <t>T1#</t>
        </is>
      </c>
      <c r="Q377" t="inlineStr">
        <is>
          <t>G,O</t>
        </is>
      </c>
      <c r="U377" t="n">
        <v>27002</v>
      </c>
      <c r="V377" t="n">
        <v>0.083333</v>
      </c>
      <c r="W377" t="inlineStr">
        <is>
          <t>CNY</t>
        </is>
      </c>
      <c r="X377" t="n">
        <v>1</v>
      </c>
      <c r="Y377" t="n">
        <v>25377.63</v>
      </c>
      <c r="Z377" t="n">
        <v>0</v>
      </c>
      <c r="AA377" t="n">
        <v>81006</v>
      </c>
      <c r="AB377" t="n">
        <v>83040</v>
      </c>
      <c r="AC377" t="n">
        <v>36795</v>
      </c>
      <c r="AF377" t="n">
        <v>0</v>
      </c>
      <c r="AG377" t="n">
        <v>200841</v>
      </c>
      <c r="AH377" t="n">
        <v>7.914095997143941</v>
      </c>
      <c r="AI377" t="n">
        <v>200841</v>
      </c>
      <c r="AJ377" t="n">
        <v>7.914095997143941</v>
      </c>
      <c r="AK377" t="n">
        <v>6.464197011304837</v>
      </c>
      <c r="AQ377" t="n">
        <v>200841</v>
      </c>
      <c r="AR377" t="n">
        <v>7.914095997143941</v>
      </c>
      <c r="AS377" t="n">
        <v>1.109894725207925</v>
      </c>
      <c r="BL377" t="n">
        <v>1</v>
      </c>
      <c r="BM377" t="n">
        <v>21690</v>
      </c>
      <c r="BN377" t="n">
        <v>0</v>
      </c>
      <c r="BO377" t="n">
        <v>22055</v>
      </c>
      <c r="BP377" t="inlineStr">
        <is>
          <t>G,O</t>
        </is>
      </c>
      <c r="BQ377" t="inlineStr">
        <is>
          <t>T1#</t>
        </is>
      </c>
      <c r="BR377" t="n">
        <v>137255</v>
      </c>
      <c r="BS377" t="n">
        <v>6.328031350852927</v>
      </c>
      <c r="BT377" t="n">
        <v>43700</v>
      </c>
      <c r="BU377" t="n">
        <v>180955</v>
      </c>
      <c r="BV377" t="n">
        <v>8.342784693407101</v>
      </c>
      <c r="BY377" t="n">
        <v>180955</v>
      </c>
      <c r="BZ377" t="n">
        <v>8.342784693407101</v>
      </c>
      <c r="CP377" t="inlineStr">
        <is>
          <t>CSIG财务管理</t>
        </is>
      </c>
      <c r="CQ377" t="inlineStr">
        <is>
          <t>5,3</t>
        </is>
      </c>
      <c r="CR377" t="n">
        <v>6</v>
      </c>
      <c r="CS377" t="inlineStr">
        <is>
          <t>T1#</t>
        </is>
      </c>
      <c r="CT377" t="inlineStr">
        <is>
          <t>N</t>
        </is>
      </c>
    </row>
    <row r="378">
      <c r="A378" t="inlineStr">
        <is>
          <t>bruceWang(汪凯刚)</t>
        </is>
      </c>
      <c r="C378" t="n">
        <v>62210858</v>
      </c>
      <c r="D378" t="inlineStr">
        <is>
          <t>风险管理和内部控制</t>
        </is>
      </c>
      <c r="E378" t="inlineStr">
        <is>
          <t>S系统风控组</t>
        </is>
      </c>
      <c r="G378" t="inlineStr">
        <is>
          <t>S2职能系统－财经线/风险管理和内部控制/S系统风控组</t>
        </is>
      </c>
      <c r="H378" s="188" t="n">
        <v>36579</v>
      </c>
      <c r="I378" t="inlineStr">
        <is>
          <t>社会招聘</t>
        </is>
      </c>
      <c r="J378" t="inlineStr">
        <is>
          <t>财经类－FN</t>
        </is>
      </c>
      <c r="K378" t="inlineStr">
        <is>
          <t>风险管理</t>
        </is>
      </c>
      <c r="L378" t="inlineStr">
        <is>
          <t>S10</t>
        </is>
      </c>
      <c r="N378" t="inlineStr">
        <is>
          <t>T1#</t>
        </is>
      </c>
      <c r="Q378" t="inlineStr">
        <is>
          <t>O,O</t>
        </is>
      </c>
      <c r="U378" t="n">
        <v>62844.1</v>
      </c>
      <c r="V378" t="n">
        <v>0.083333</v>
      </c>
      <c r="W378" t="inlineStr">
        <is>
          <t>CNY</t>
        </is>
      </c>
      <c r="X378" t="n">
        <v>1</v>
      </c>
      <c r="Y378" t="n">
        <v>59632.95</v>
      </c>
      <c r="Z378" t="n">
        <v>0</v>
      </c>
      <c r="AA378" t="n">
        <v>251376.4</v>
      </c>
      <c r="AB378" t="n">
        <v>207215</v>
      </c>
      <c r="AC378" t="n">
        <v>92920</v>
      </c>
      <c r="AF378" t="n">
        <v>0</v>
      </c>
      <c r="AG378" t="n">
        <v>551511.4</v>
      </c>
      <c r="AH378" t="n">
        <v>9.24843396142569</v>
      </c>
      <c r="AI378" t="n">
        <v>551511.4</v>
      </c>
      <c r="AJ378" t="n">
        <v>9.24843396142569</v>
      </c>
      <c r="AK378" t="n">
        <v>7.690235012690133</v>
      </c>
      <c r="AQ378" t="n">
        <v>551511.4</v>
      </c>
      <c r="AR378" t="n">
        <v>9.24843396142569</v>
      </c>
      <c r="AS378" t="n">
        <v>3.051998561190891</v>
      </c>
      <c r="BL378" t="n">
        <v>1</v>
      </c>
      <c r="BM378" t="n">
        <v>51525</v>
      </c>
      <c r="BN378" t="n">
        <v>0</v>
      </c>
      <c r="BO378" t="n">
        <v>51850</v>
      </c>
      <c r="BP378" t="inlineStr">
        <is>
          <t>G,G</t>
        </is>
      </c>
      <c r="BQ378" t="inlineStr">
        <is>
          <t>Others</t>
        </is>
      </c>
      <c r="BR378" t="n">
        <v>180705</v>
      </c>
      <c r="BS378" t="n">
        <v>3.507132459970888</v>
      </c>
      <c r="BT378" t="n">
        <v>0</v>
      </c>
      <c r="BU378" t="n">
        <v>180705</v>
      </c>
      <c r="BV378" t="n">
        <v>3.507132459970888</v>
      </c>
      <c r="BY378" t="n">
        <v>180705</v>
      </c>
      <c r="BZ378" t="n">
        <v>3.507132459970888</v>
      </c>
      <c r="CP378" t="inlineStr">
        <is>
          <t>风险管理和内部控制</t>
        </is>
      </c>
      <c r="CQ378" t="inlineStr">
        <is>
          <t>5,5</t>
        </is>
      </c>
      <c r="CR378" t="n">
        <v>10</v>
      </c>
      <c r="CS378" t="inlineStr">
        <is>
          <t>T1#</t>
        </is>
      </c>
      <c r="CT378" t="inlineStr">
        <is>
          <t>N</t>
        </is>
      </c>
    </row>
    <row r="379">
      <c r="A379" t="inlineStr">
        <is>
          <t>lindaGao(高萱)</t>
        </is>
      </c>
      <c r="C379" t="n">
        <v>22469234</v>
      </c>
      <c r="D379" t="inlineStr">
        <is>
          <t>风险管理和内部控制</t>
        </is>
      </c>
      <c r="E379" t="inlineStr">
        <is>
          <t>CDG-FiT风控组</t>
        </is>
      </c>
      <c r="G379" t="inlineStr">
        <is>
          <t>S2职能系统－财经线/风险管理和内部控制/CDG-FiT风控组</t>
        </is>
      </c>
      <c r="H379" s="188" t="n">
        <v>45205</v>
      </c>
      <c r="I379" t="inlineStr">
        <is>
          <t>高校招聘</t>
        </is>
      </c>
      <c r="J379" t="inlineStr">
        <is>
          <t>财经类－FN</t>
        </is>
      </c>
      <c r="K379" t="inlineStr">
        <is>
          <t>风险管理</t>
        </is>
      </c>
      <c r="L379" t="inlineStr">
        <is>
          <t>S10</t>
        </is>
      </c>
      <c r="N379" t="inlineStr">
        <is>
          <t>T1</t>
        </is>
      </c>
      <c r="Q379" t="inlineStr">
        <is>
          <t>G,U</t>
        </is>
      </c>
      <c r="U379" t="n">
        <v>59911.05</v>
      </c>
      <c r="V379" t="n">
        <v>0.083333</v>
      </c>
      <c r="W379" t="inlineStr">
        <is>
          <t>CNY</t>
        </is>
      </c>
      <c r="X379" t="n">
        <v>1</v>
      </c>
      <c r="Y379" t="n">
        <v>55367.39</v>
      </c>
      <c r="Z379" t="n">
        <v>0</v>
      </c>
      <c r="AA379" t="n">
        <v>59911.05</v>
      </c>
      <c r="AB379" t="n">
        <v>137695</v>
      </c>
      <c r="AC379" t="n">
        <v>0</v>
      </c>
      <c r="AF379" t="n">
        <v>0</v>
      </c>
      <c r="AG379" t="n">
        <v>197606.05</v>
      </c>
      <c r="AH379" t="n">
        <v>3.568997021531988</v>
      </c>
      <c r="AI379" t="n">
        <v>197606.05</v>
      </c>
      <c r="AJ379" t="n">
        <v>3.568997021531988</v>
      </c>
      <c r="AK379" t="n">
        <v>3.568997021531988</v>
      </c>
      <c r="AQ379" t="n">
        <v>197606.05</v>
      </c>
      <c r="AR379" t="n">
        <v>3.568997021531988</v>
      </c>
      <c r="AS379" t="n">
        <v>16.50844193817878</v>
      </c>
      <c r="BL379" t="n">
        <v>0.235616438356164</v>
      </c>
      <c r="BM379" t="n">
        <v>50810</v>
      </c>
      <c r="BN379" t="n">
        <v>0</v>
      </c>
      <c r="BO379" t="n">
        <v>50810</v>
      </c>
      <c r="BP379" t="inlineStr">
        <is>
          <t>N,G</t>
        </is>
      </c>
      <c r="BQ379" t="inlineStr">
        <is>
          <t>T1</t>
        </is>
      </c>
      <c r="BR379" t="n">
        <v>11970</v>
      </c>
      <c r="BS379" t="n">
        <v>0.2355835465459555</v>
      </c>
      <c r="BT379" t="n">
        <v>0</v>
      </c>
      <c r="BU379" t="n">
        <v>11970</v>
      </c>
      <c r="BV379" t="n">
        <v>0.2355835465459555</v>
      </c>
      <c r="BY379" t="n">
        <v>11970</v>
      </c>
      <c r="BZ379" t="n">
        <v>0.2355835465459555</v>
      </c>
      <c r="CP379" t="inlineStr">
        <is>
          <t>风险管理和内部控制</t>
        </is>
      </c>
      <c r="CQ379" t="inlineStr">
        <is>
          <t>3,1</t>
        </is>
      </c>
      <c r="CR379" t="n">
        <v>10</v>
      </c>
      <c r="CS379" t="inlineStr">
        <is>
          <t>T1</t>
        </is>
      </c>
      <c r="CT379" t="inlineStr">
        <is>
          <t>N</t>
        </is>
      </c>
    </row>
    <row r="380">
      <c r="A380" t="inlineStr">
        <is>
          <t>samanthaDai(戴婷)</t>
        </is>
      </c>
      <c r="C380" t="n">
        <v>5010758</v>
      </c>
      <c r="D380" t="inlineStr">
        <is>
          <t>海外财经中心</t>
        </is>
      </c>
      <c r="E380" t="inlineStr">
        <is>
          <t>海外本地财务</t>
        </is>
      </c>
      <c r="G380" t="inlineStr">
        <is>
          <t>S2职能系统－财经线/海外财经中心/海外本地财务</t>
        </is>
      </c>
      <c r="H380" s="188" t="n">
        <v>36590</v>
      </c>
      <c r="I380" t="inlineStr">
        <is>
          <t>高校招聘</t>
        </is>
      </c>
      <c r="J380" t="inlineStr">
        <is>
          <t>财经类－FN</t>
        </is>
      </c>
      <c r="K380" t="inlineStr">
        <is>
          <t>财务管理</t>
        </is>
      </c>
      <c r="L380" t="inlineStr">
        <is>
          <t>S6</t>
        </is>
      </c>
      <c r="N380" t="inlineStr">
        <is>
          <t>T2</t>
        </is>
      </c>
      <c r="Q380" t="inlineStr">
        <is>
          <t>G,O</t>
        </is>
      </c>
      <c r="U380" t="n">
        <v>29741.55</v>
      </c>
      <c r="V380" t="n">
        <v>0.083333</v>
      </c>
      <c r="W380" t="inlineStr">
        <is>
          <t>CNY</t>
        </is>
      </c>
      <c r="X380" t="n">
        <v>1</v>
      </c>
      <c r="Y380" t="n">
        <v>26893.98</v>
      </c>
      <c r="Z380" t="n">
        <v>0</v>
      </c>
      <c r="AA380" t="n">
        <v>89224.64999999999</v>
      </c>
      <c r="AB380" t="n">
        <v>39155</v>
      </c>
      <c r="AC380" t="n">
        <v>0</v>
      </c>
      <c r="AF380" t="n">
        <v>0</v>
      </c>
      <c r="AG380" t="n">
        <v>128379.65</v>
      </c>
      <c r="AH380" t="n">
        <v>4.773545975716498</v>
      </c>
      <c r="AI380" t="n">
        <v>128379.65</v>
      </c>
      <c r="AJ380" t="n">
        <v>4.773545975716498</v>
      </c>
      <c r="AK380" t="n">
        <v>4.773545975716498</v>
      </c>
      <c r="AQ380" t="n">
        <v>128379.65</v>
      </c>
      <c r="AR380" t="n">
        <v>4.773545975716498</v>
      </c>
      <c r="AS380" t="n">
        <v>1.11522955305564</v>
      </c>
      <c r="BL380" t="n">
        <v>1</v>
      </c>
      <c r="BM380" t="n">
        <v>25315</v>
      </c>
      <c r="BN380" t="n">
        <v>0</v>
      </c>
      <c r="BO380" t="n">
        <v>26700</v>
      </c>
      <c r="BP380" t="inlineStr">
        <is>
          <t>G,O</t>
        </is>
      </c>
      <c r="BQ380" t="inlineStr">
        <is>
          <t>T2</t>
        </is>
      </c>
      <c r="BR380" t="n">
        <v>115115</v>
      </c>
      <c r="BS380" t="n">
        <v>4.547303969978274</v>
      </c>
      <c r="BT380" t="n">
        <v>0</v>
      </c>
      <c r="BU380" t="n">
        <v>115115</v>
      </c>
      <c r="BV380" t="n">
        <v>4.547303969978274</v>
      </c>
      <c r="BY380" t="n">
        <v>115115</v>
      </c>
      <c r="BZ380" t="n">
        <v>4.547303969978274</v>
      </c>
      <c r="CP380" t="inlineStr">
        <is>
          <t>海外财经中心</t>
        </is>
      </c>
      <c r="CQ380" t="inlineStr">
        <is>
          <t>5,3</t>
        </is>
      </c>
      <c r="CR380" t="n">
        <v>6</v>
      </c>
      <c r="CS380" t="inlineStr">
        <is>
          <t>T2</t>
        </is>
      </c>
      <c r="CT380" t="inlineStr">
        <is>
          <t>N</t>
        </is>
      </c>
    </row>
    <row r="381">
      <c r="A381" t="inlineStr">
        <is>
          <t>joshuaBai(白彤凯)</t>
        </is>
      </c>
      <c r="C381" t="n">
        <v>35018116</v>
      </c>
      <c r="D381" t="inlineStr">
        <is>
          <t>FiT财务管理</t>
        </is>
      </c>
      <c r="E381" t="inlineStr">
        <is>
          <t>结算支持中心</t>
        </is>
      </c>
      <c r="G381" t="inlineStr">
        <is>
          <t>S2职能系统－财经线/FiT财务管理/结算支持中心</t>
        </is>
      </c>
      <c r="H381" s="188" t="n">
        <v>42985</v>
      </c>
      <c r="I381" t="inlineStr">
        <is>
          <t>社会招聘</t>
        </is>
      </c>
      <c r="J381" t="inlineStr">
        <is>
          <t>财经类－FN</t>
        </is>
      </c>
      <c r="K381" t="inlineStr">
        <is>
          <t>财务管理</t>
        </is>
      </c>
      <c r="L381" t="inlineStr">
        <is>
          <t>S5</t>
        </is>
      </c>
      <c r="N381" t="inlineStr">
        <is>
          <t>T1#</t>
        </is>
      </c>
      <c r="Q381" t="inlineStr">
        <is>
          <t>G,O</t>
        </is>
      </c>
      <c r="U381" t="n">
        <v>19239.55</v>
      </c>
      <c r="V381" t="n">
        <v>0.083333</v>
      </c>
      <c r="W381" t="inlineStr">
        <is>
          <t>CNY</t>
        </is>
      </c>
      <c r="X381" t="n">
        <v>1</v>
      </c>
      <c r="Y381" t="n">
        <v>17730.54</v>
      </c>
      <c r="Z381" t="n">
        <v>0</v>
      </c>
      <c r="AA381" t="n">
        <v>57718.65</v>
      </c>
      <c r="AB381" t="n">
        <v>59055</v>
      </c>
      <c r="AC381" t="n">
        <v>27345</v>
      </c>
      <c r="AF381" t="n">
        <v>0</v>
      </c>
      <c r="AG381" t="n">
        <v>144118.65</v>
      </c>
      <c r="AH381" t="n">
        <v>8.12827189696422</v>
      </c>
      <c r="AI381" t="n">
        <v>144118.65</v>
      </c>
      <c r="AJ381" t="n">
        <v>8.12827189696422</v>
      </c>
      <c r="AK381" t="n">
        <v>6.586017684740566</v>
      </c>
      <c r="AQ381" t="n">
        <v>144118.65</v>
      </c>
      <c r="AR381" t="n">
        <v>8.12827189696422</v>
      </c>
      <c r="AS381" t="n">
        <v>1.091642554158461</v>
      </c>
      <c r="BL381" t="n">
        <v>1</v>
      </c>
      <c r="BM381" t="n">
        <v>15715</v>
      </c>
      <c r="BN381" t="n">
        <v>0</v>
      </c>
      <c r="BO381" t="n">
        <v>16050</v>
      </c>
      <c r="BP381" t="inlineStr">
        <is>
          <t>G,O</t>
        </is>
      </c>
      <c r="BQ381" t="inlineStr">
        <is>
          <t>T1#</t>
        </is>
      </c>
      <c r="BR381" t="n">
        <v>102295</v>
      </c>
      <c r="BS381" t="n">
        <v>6.509385937002864</v>
      </c>
      <c r="BT381" t="n">
        <v>29725</v>
      </c>
      <c r="BU381" t="n">
        <v>132020</v>
      </c>
      <c r="BV381" t="n">
        <v>8.400890868596882</v>
      </c>
      <c r="BY381" t="n">
        <v>132020</v>
      </c>
      <c r="BZ381" t="n">
        <v>8.400890868596882</v>
      </c>
      <c r="CP381" t="inlineStr">
        <is>
          <t>FiT财务管理</t>
        </is>
      </c>
      <c r="CQ381" t="inlineStr">
        <is>
          <t>5,3</t>
        </is>
      </c>
      <c r="CR381" t="n">
        <v>5</v>
      </c>
      <c r="CS381" t="inlineStr">
        <is>
          <t>T1#</t>
        </is>
      </c>
      <c r="CT381" t="inlineStr">
        <is>
          <t>N</t>
        </is>
      </c>
    </row>
    <row r="382">
      <c r="A382" t="inlineStr">
        <is>
          <t>scarlettYuan(袁玲)</t>
        </is>
      </c>
      <c r="C382" t="n">
        <v>31137125</v>
      </c>
      <c r="D382" t="inlineStr">
        <is>
          <t>CFO办公室</t>
        </is>
      </c>
      <c r="E382" t="inlineStr">
        <is>
          <t>ESG协同办公室</t>
        </is>
      </c>
      <c r="G382" t="inlineStr">
        <is>
          <t>S2职能系统－财经线/CFO办公室/ESG协同办公室</t>
        </is>
      </c>
      <c r="H382" s="188" t="n">
        <v>40551</v>
      </c>
      <c r="I382" t="inlineStr">
        <is>
          <t>社会招聘</t>
        </is>
      </c>
      <c r="J382" t="inlineStr">
        <is>
          <t>财经类－FN</t>
        </is>
      </c>
      <c r="K382" t="inlineStr">
        <is>
          <t>投资者关系</t>
        </is>
      </c>
      <c r="L382" t="inlineStr">
        <is>
          <t>S5</t>
        </is>
      </c>
      <c r="N382" t="inlineStr">
        <is>
          <t>T2</t>
        </is>
      </c>
      <c r="Q382" t="inlineStr">
        <is>
          <t>O,G</t>
        </is>
      </c>
      <c r="U382" t="n">
        <v>32302.15</v>
      </c>
      <c r="V382" t="n">
        <v>0.083333</v>
      </c>
      <c r="W382" t="inlineStr">
        <is>
          <t>CNY</t>
        </is>
      </c>
      <c r="X382" t="n">
        <v>1</v>
      </c>
      <c r="Y382" t="n">
        <v>29252.99</v>
      </c>
      <c r="Z382" t="n">
        <v>0</v>
      </c>
      <c r="AA382" t="n">
        <v>96906.45</v>
      </c>
      <c r="AB382" t="n">
        <v>42805</v>
      </c>
      <c r="AC382" t="n">
        <v>0</v>
      </c>
      <c r="AF382" t="n">
        <v>0</v>
      </c>
      <c r="AG382" t="n">
        <v>139711.45</v>
      </c>
      <c r="AH382" t="n">
        <v>4.775971618627703</v>
      </c>
      <c r="AI382" t="n">
        <v>139711.45</v>
      </c>
      <c r="AJ382" t="n">
        <v>4.775971618627703</v>
      </c>
      <c r="AK382" t="n">
        <v>4.775971618627703</v>
      </c>
      <c r="AQ382" t="n">
        <v>139711.45</v>
      </c>
      <c r="AR382" t="n">
        <v>4.775971618627703</v>
      </c>
      <c r="AS382" t="n">
        <v>0.9879535409963583</v>
      </c>
      <c r="BL382" t="n">
        <v>1</v>
      </c>
      <c r="BM382" t="n">
        <v>26525</v>
      </c>
      <c r="BN382" t="n">
        <v>0</v>
      </c>
      <c r="BO382" t="n">
        <v>27710</v>
      </c>
      <c r="BP382" t="inlineStr">
        <is>
          <t>G,G</t>
        </is>
      </c>
      <c r="BQ382" t="inlineStr">
        <is>
          <t>T1</t>
        </is>
      </c>
      <c r="BR382" t="n">
        <v>96885</v>
      </c>
      <c r="BS382" t="n">
        <v>3.652591894439208</v>
      </c>
      <c r="BT382" t="n">
        <v>44530</v>
      </c>
      <c r="BU382" t="n">
        <v>141415</v>
      </c>
      <c r="BV382" t="n">
        <v>5.331385485391141</v>
      </c>
      <c r="BY382" t="n">
        <v>141415</v>
      </c>
      <c r="BZ382" t="n">
        <v>5.331385485391141</v>
      </c>
      <c r="CP382" t="inlineStr">
        <is>
          <t>CFO办公室</t>
        </is>
      </c>
      <c r="CQ382" t="inlineStr">
        <is>
          <t>5,3</t>
        </is>
      </c>
      <c r="CR382" t="n">
        <v>5</v>
      </c>
      <c r="CS382" t="inlineStr">
        <is>
          <t>T2</t>
        </is>
      </c>
      <c r="CT382" t="inlineStr">
        <is>
          <t>N</t>
        </is>
      </c>
    </row>
    <row r="383">
      <c r="A383" t="inlineStr">
        <is>
          <t>madisonRen(任青)</t>
        </is>
      </c>
      <c r="C383" t="n">
        <v>43317116</v>
      </c>
      <c r="D383" t="inlineStr">
        <is>
          <t>FiT财务管理</t>
        </is>
      </c>
      <c r="E383" t="inlineStr">
        <is>
          <t>财经金融专项中心</t>
        </is>
      </c>
      <c r="G383" t="inlineStr">
        <is>
          <t>S2职能系统－财经线/FiT财务管理/财经金融专项中心</t>
        </is>
      </c>
      <c r="H383" s="188" t="n">
        <v>38674</v>
      </c>
      <c r="I383" t="inlineStr">
        <is>
          <t>社会招聘</t>
        </is>
      </c>
      <c r="J383" t="inlineStr">
        <is>
          <t>财经类－FN</t>
        </is>
      </c>
      <c r="K383" t="inlineStr">
        <is>
          <t>财务管理</t>
        </is>
      </c>
      <c r="L383" t="inlineStr">
        <is>
          <t>S8</t>
        </is>
      </c>
      <c r="N383" t="inlineStr">
        <is>
          <t>T1</t>
        </is>
      </c>
      <c r="Q383" t="inlineStr">
        <is>
          <t>G,O</t>
        </is>
      </c>
      <c r="U383" t="n">
        <v>33679.2</v>
      </c>
      <c r="V383" t="n">
        <v>0.083333</v>
      </c>
      <c r="W383" t="inlineStr">
        <is>
          <t>CNY</t>
        </is>
      </c>
      <c r="X383" t="n">
        <v>1</v>
      </c>
      <c r="Y383" t="n">
        <v>30906.62</v>
      </c>
      <c r="Z383" t="n">
        <v>0</v>
      </c>
      <c r="AA383" t="n">
        <v>101037.6</v>
      </c>
      <c r="AB383" t="n">
        <v>81090</v>
      </c>
      <c r="AC383" t="n">
        <v>55875</v>
      </c>
      <c r="AF383" t="n">
        <v>0</v>
      </c>
      <c r="AG383" t="n">
        <v>238002.6</v>
      </c>
      <c r="AH383" t="n">
        <v>7.700699720642374</v>
      </c>
      <c r="AI383" t="n">
        <v>238002.6</v>
      </c>
      <c r="AJ383" t="n">
        <v>7.700699720642374</v>
      </c>
      <c r="AK383" t="n">
        <v>5.892834609543199</v>
      </c>
      <c r="AQ383" t="n">
        <v>238002.6</v>
      </c>
      <c r="AR383" t="n">
        <v>7.700699720642374</v>
      </c>
      <c r="AS383" t="n">
        <v>3.90969363449692</v>
      </c>
      <c r="BL383" t="n">
        <v>1</v>
      </c>
      <c r="BM383" t="n">
        <v>27835</v>
      </c>
      <c r="BN383" t="n">
        <v>0</v>
      </c>
      <c r="BO383" t="n">
        <v>28175</v>
      </c>
      <c r="BP383" t="inlineStr">
        <is>
          <t>G,U</t>
        </is>
      </c>
      <c r="BQ383" t="inlineStr">
        <is>
          <t>T1</t>
        </is>
      </c>
      <c r="BR383" t="n">
        <v>60875</v>
      </c>
      <c r="BS383" t="n">
        <v>2.186994790731094</v>
      </c>
      <c r="BT383" t="n">
        <v>0</v>
      </c>
      <c r="BU383" t="n">
        <v>60875</v>
      </c>
      <c r="BV383" t="n">
        <v>2.186994790731094</v>
      </c>
      <c r="BY383" t="n">
        <v>60875</v>
      </c>
      <c r="BZ383" t="n">
        <v>2.186994790731094</v>
      </c>
      <c r="CP383" t="inlineStr">
        <is>
          <t>FiT财务管理</t>
        </is>
      </c>
      <c r="CQ383" t="inlineStr">
        <is>
          <t>5,3</t>
        </is>
      </c>
      <c r="CR383" t="n">
        <v>8</v>
      </c>
      <c r="CS383" t="inlineStr">
        <is>
          <t>T1</t>
        </is>
      </c>
      <c r="CT383" t="inlineStr">
        <is>
          <t>N</t>
        </is>
      </c>
    </row>
    <row r="384">
      <c r="A384" t="inlineStr">
        <is>
          <t>judithLiang(梁云)</t>
        </is>
      </c>
      <c r="C384" t="n">
        <v>83185702</v>
      </c>
      <c r="D384" t="inlineStr">
        <is>
          <t>财会及报告管理部</t>
        </is>
      </c>
      <c r="E384" t="inlineStr">
        <is>
          <t>海外财会管理中心</t>
        </is>
      </c>
      <c r="G384" t="inlineStr">
        <is>
          <t>S2职能系统－财经线/财会及报告管理部/海外财会管理中心</t>
        </is>
      </c>
      <c r="H384" s="188" t="n">
        <v>43205</v>
      </c>
      <c r="I384" t="inlineStr">
        <is>
          <t>社会招聘</t>
        </is>
      </c>
      <c r="J384" t="inlineStr">
        <is>
          <t>财经类－FN</t>
        </is>
      </c>
      <c r="K384" t="inlineStr">
        <is>
          <t>会计</t>
        </is>
      </c>
      <c r="L384" t="inlineStr">
        <is>
          <t>S6</t>
        </is>
      </c>
      <c r="N384" t="inlineStr">
        <is>
          <t>Others</t>
        </is>
      </c>
      <c r="Q384" t="inlineStr">
        <is>
          <t>G,G</t>
        </is>
      </c>
      <c r="U384" t="n">
        <v>22620.15</v>
      </c>
      <c r="V384" t="n">
        <v>0.083333</v>
      </c>
      <c r="W384" t="inlineStr">
        <is>
          <t>CNY</t>
        </is>
      </c>
      <c r="X384" t="n">
        <v>1</v>
      </c>
      <c r="Y384" t="n">
        <v>21747.37</v>
      </c>
      <c r="Z384" t="n">
        <v>0</v>
      </c>
      <c r="AA384" t="n">
        <v>45240.3</v>
      </c>
      <c r="AB384" t="n">
        <v>13385</v>
      </c>
      <c r="AC384" t="n">
        <v>0</v>
      </c>
      <c r="AF384" t="n">
        <v>0</v>
      </c>
      <c r="AG384" t="n">
        <v>58625.3</v>
      </c>
      <c r="AH384" t="n">
        <v>2.695742059844478</v>
      </c>
      <c r="AI384" t="n">
        <v>58625.3</v>
      </c>
      <c r="AJ384" t="n">
        <v>2.695742059844478</v>
      </c>
      <c r="AK384" t="n">
        <v>2.695742059844478</v>
      </c>
      <c r="AQ384" t="n">
        <v>58625.3</v>
      </c>
      <c r="AR384" t="n">
        <v>2.695742059844478</v>
      </c>
      <c r="AS384" t="n">
        <v>0.8373846593343809</v>
      </c>
      <c r="BL384" t="n">
        <v>1</v>
      </c>
      <c r="BM384" t="n">
        <v>19365</v>
      </c>
      <c r="BN384" t="n">
        <v>0</v>
      </c>
      <c r="BO384" t="n">
        <v>20085</v>
      </c>
      <c r="BP384" t="inlineStr">
        <is>
          <t>G,G</t>
        </is>
      </c>
      <c r="BQ384" t="inlineStr">
        <is>
          <t>Others</t>
        </is>
      </c>
      <c r="BR384" t="n">
        <v>70010</v>
      </c>
      <c r="BS384" t="n">
        <v>3.615285308546346</v>
      </c>
      <c r="BT384" t="n">
        <v>0</v>
      </c>
      <c r="BU384" t="n">
        <v>70010</v>
      </c>
      <c r="BV384" t="n">
        <v>3.615285308546346</v>
      </c>
      <c r="BY384" t="n">
        <v>70010</v>
      </c>
      <c r="BZ384" t="n">
        <v>3.615285308546346</v>
      </c>
      <c r="CP384" t="inlineStr">
        <is>
          <t>财会及报告管理部</t>
        </is>
      </c>
      <c r="CQ384" t="inlineStr">
        <is>
          <t>3,3</t>
        </is>
      </c>
      <c r="CR384" t="n">
        <v>6</v>
      </c>
      <c r="CS384" t="inlineStr">
        <is>
          <t>Others</t>
        </is>
      </c>
      <c r="CT384" t="inlineStr">
        <is>
          <t>N</t>
        </is>
      </c>
    </row>
    <row r="385">
      <c r="A385" t="inlineStr">
        <is>
          <t>williamLi(李文磊)</t>
        </is>
      </c>
      <c r="C385" t="n">
        <v>89670203</v>
      </c>
      <c r="D385" t="inlineStr">
        <is>
          <t>审计监察</t>
        </is>
      </c>
      <c r="E385" t="inlineStr">
        <is>
          <t>常规审计组</t>
        </is>
      </c>
      <c r="G385" t="inlineStr">
        <is>
          <t>S2职能系统－财经线/审计监察/常规审计组</t>
        </is>
      </c>
      <c r="H385" s="188" t="n">
        <v>38267</v>
      </c>
      <c r="I385" t="inlineStr">
        <is>
          <t>社会招聘</t>
        </is>
      </c>
      <c r="J385" t="inlineStr">
        <is>
          <t>财经类－FN</t>
        </is>
      </c>
      <c r="K385" t="inlineStr">
        <is>
          <t>风险管理</t>
        </is>
      </c>
      <c r="L385" t="inlineStr">
        <is>
          <t>S11</t>
        </is>
      </c>
      <c r="N385" t="inlineStr">
        <is>
          <t>T2</t>
        </is>
      </c>
      <c r="Q385" t="inlineStr">
        <is>
          <t>G,G</t>
        </is>
      </c>
      <c r="U385" t="n">
        <v>53866.85</v>
      </c>
      <c r="V385" t="n">
        <v>0.083333</v>
      </c>
      <c r="W385" t="inlineStr">
        <is>
          <t>CNY</t>
        </is>
      </c>
      <c r="X385" t="n">
        <v>1</v>
      </c>
      <c r="Y385" t="n">
        <v>52404.72</v>
      </c>
      <c r="Z385" t="n">
        <v>0</v>
      </c>
      <c r="AA385" t="n">
        <v>107733.7</v>
      </c>
      <c r="AB385" t="n">
        <v>61330</v>
      </c>
      <c r="AC385" t="n">
        <v>0</v>
      </c>
      <c r="AF385" t="n">
        <v>0</v>
      </c>
      <c r="AG385" t="n">
        <v>169063.7</v>
      </c>
      <c r="AH385" t="n">
        <v>3.226115891850963</v>
      </c>
      <c r="AI385" t="n">
        <v>169063.7</v>
      </c>
      <c r="AJ385" t="n">
        <v>3.226115891850963</v>
      </c>
      <c r="AK385" t="n">
        <v>3.226115891850963</v>
      </c>
      <c r="AQ385" t="n">
        <v>169063.7</v>
      </c>
      <c r="AR385" t="n">
        <v>3.226115891850963</v>
      </c>
      <c r="AS385" t="n">
        <v>0.8243792666276576</v>
      </c>
      <c r="BL385" t="n">
        <v>1</v>
      </c>
      <c r="BM385" t="n">
        <v>47120</v>
      </c>
      <c r="BN385" t="n">
        <v>0</v>
      </c>
      <c r="BO385" t="n">
        <v>50700</v>
      </c>
      <c r="BP385" t="inlineStr">
        <is>
          <t>O,G</t>
        </is>
      </c>
      <c r="BQ385" t="inlineStr">
        <is>
          <t>Others</t>
        </is>
      </c>
      <c r="BR385" t="n">
        <v>205080</v>
      </c>
      <c r="BS385" t="n">
        <v>4.352292020373515</v>
      </c>
      <c r="BT385" t="n">
        <v>0</v>
      </c>
      <c r="BU385" t="n">
        <v>205080</v>
      </c>
      <c r="BV385" t="n">
        <v>4.352292020373515</v>
      </c>
      <c r="BY385" t="n">
        <v>205080</v>
      </c>
      <c r="BZ385" t="n">
        <v>4.352292020373515</v>
      </c>
      <c r="CP385" t="inlineStr">
        <is>
          <t>审计监察</t>
        </is>
      </c>
      <c r="CQ385" t="inlineStr">
        <is>
          <t>3,3</t>
        </is>
      </c>
      <c r="CR385" t="n">
        <v>11</v>
      </c>
      <c r="CS385" t="inlineStr">
        <is>
          <t>T2</t>
        </is>
      </c>
      <c r="CT385" t="inlineStr">
        <is>
          <t>N</t>
        </is>
      </c>
    </row>
    <row r="386">
      <c r="A386" t="inlineStr">
        <is>
          <t>teresaYe(叶英)</t>
        </is>
      </c>
      <c r="C386" t="n">
        <v>37898757</v>
      </c>
      <c r="D386" t="inlineStr">
        <is>
          <t>税务部</t>
        </is>
      </c>
      <c r="E386" t="inlineStr">
        <is>
          <t>印章及文档管理组</t>
        </is>
      </c>
      <c r="G386" t="inlineStr">
        <is>
          <t>S2职能系统－财经线/税务部/印章及文档管理组</t>
        </is>
      </c>
      <c r="H386" s="188" t="n">
        <v>37781</v>
      </c>
      <c r="I386" t="inlineStr">
        <is>
          <t>社会招聘</t>
        </is>
      </c>
      <c r="J386" t="inlineStr">
        <is>
          <t>财经类－FN</t>
        </is>
      </c>
      <c r="K386" t="inlineStr">
        <is>
          <t>税务</t>
        </is>
      </c>
      <c r="L386" t="inlineStr">
        <is>
          <t>S8</t>
        </is>
      </c>
      <c r="N386" t="inlineStr">
        <is>
          <t>T2</t>
        </is>
      </c>
      <c r="Q386" t="inlineStr">
        <is>
          <t>O,G</t>
        </is>
      </c>
      <c r="U386" t="n">
        <v>34295.2</v>
      </c>
      <c r="V386" t="n">
        <v>0.083333</v>
      </c>
      <c r="W386" t="inlineStr">
        <is>
          <t>CNY</t>
        </is>
      </c>
      <c r="X386" t="n">
        <v>1</v>
      </c>
      <c r="Y386" t="n">
        <v>33026.2</v>
      </c>
      <c r="Z386" t="n">
        <v>0</v>
      </c>
      <c r="AA386" t="n">
        <v>102885.6</v>
      </c>
      <c r="AB386" t="n">
        <v>44450</v>
      </c>
      <c r="AC386" t="n">
        <v>0</v>
      </c>
      <c r="AF386" t="n">
        <v>0</v>
      </c>
      <c r="AG386" t="n">
        <v>147335.6</v>
      </c>
      <c r="AH386" t="n">
        <v>4.461173250328527</v>
      </c>
      <c r="AI386" t="n">
        <v>147335.6</v>
      </c>
      <c r="AJ386" t="n">
        <v>4.461173250328527</v>
      </c>
      <c r="AK386" t="n">
        <v>4.461173250328527</v>
      </c>
      <c r="AQ386" t="n">
        <v>147335.6</v>
      </c>
      <c r="AR386" t="n">
        <v>4.461173250328527</v>
      </c>
      <c r="AS386" t="n">
        <v>1.489441973311767</v>
      </c>
      <c r="BL386" t="n">
        <v>1</v>
      </c>
      <c r="BM386" t="n">
        <v>28850</v>
      </c>
      <c r="BN386" t="n">
        <v>0</v>
      </c>
      <c r="BO386" t="n">
        <v>31675</v>
      </c>
      <c r="BP386" t="inlineStr">
        <is>
          <t>G,G</t>
        </is>
      </c>
      <c r="BQ386" t="inlineStr">
        <is>
          <t>T2</t>
        </is>
      </c>
      <c r="BR386" t="n">
        <v>98920</v>
      </c>
      <c r="BS386" t="n">
        <v>3.428769497400347</v>
      </c>
      <c r="BT386" t="n">
        <v>0</v>
      </c>
      <c r="BU386" t="n">
        <v>98920</v>
      </c>
      <c r="BV386" t="n">
        <v>3.428769497400347</v>
      </c>
      <c r="BY386" t="n">
        <v>98920</v>
      </c>
      <c r="BZ386" t="n">
        <v>3.428769497400347</v>
      </c>
      <c r="CP386" t="inlineStr">
        <is>
          <t>税务部</t>
        </is>
      </c>
      <c r="CQ386" t="inlineStr">
        <is>
          <t>5,3</t>
        </is>
      </c>
      <c r="CR386" t="n">
        <v>8</v>
      </c>
      <c r="CS386" t="inlineStr">
        <is>
          <t>T2</t>
        </is>
      </c>
      <c r="CT386" t="inlineStr">
        <is>
          <t>N</t>
        </is>
      </c>
    </row>
    <row r="387">
      <c r="A387" t="inlineStr">
        <is>
          <t>timothyTang(唐东胜)</t>
        </is>
      </c>
      <c r="C387" t="n">
        <v>17650346</v>
      </c>
      <c r="D387" t="inlineStr">
        <is>
          <t>FiT财务管理</t>
        </is>
      </c>
      <c r="E387" t="inlineStr">
        <is>
          <t>业务支持与分析中心</t>
        </is>
      </c>
      <c r="G387" t="inlineStr">
        <is>
          <t>S2职能系统－财经线/FiT财务管理/业务支持与分析中心</t>
        </is>
      </c>
      <c r="H387" s="188" t="n">
        <v>41598</v>
      </c>
      <c r="I387" t="inlineStr">
        <is>
          <t>高校招聘</t>
        </is>
      </c>
      <c r="J387" t="inlineStr">
        <is>
          <t>财经类－FN</t>
        </is>
      </c>
      <c r="K387" t="inlineStr">
        <is>
          <t>财务管理</t>
        </is>
      </c>
      <c r="M387" t="inlineStr">
        <is>
          <t>L2-2</t>
        </is>
      </c>
      <c r="N387" t="inlineStr">
        <is>
          <t>T1#</t>
        </is>
      </c>
      <c r="Q387" t="inlineStr">
        <is>
          <t>G,G</t>
        </is>
      </c>
      <c r="U387" t="n">
        <v>79743.60000000001</v>
      </c>
      <c r="V387" t="n">
        <v>0.083333</v>
      </c>
      <c r="W387" t="inlineStr">
        <is>
          <t>CNY</t>
        </is>
      </c>
      <c r="X387" t="n">
        <v>1</v>
      </c>
      <c r="Y387" t="n">
        <v>75512.41</v>
      </c>
      <c r="Z387" t="n">
        <v>0</v>
      </c>
      <c r="AA387" t="n">
        <v>159487.2</v>
      </c>
      <c r="AB387" t="n">
        <v>250265</v>
      </c>
      <c r="AC387" t="n">
        <v>123135</v>
      </c>
      <c r="AF387" t="n">
        <v>32580</v>
      </c>
      <c r="AG387" t="n">
        <v>532887.2</v>
      </c>
      <c r="AH387" t="n">
        <v>7.056948652545985</v>
      </c>
      <c r="AI387" t="n">
        <v>565467.2</v>
      </c>
      <c r="AJ387" t="n">
        <v>7.488400913174403</v>
      </c>
      <c r="AK387" t="n">
        <v>5.85774179369987</v>
      </c>
      <c r="AQ387" t="n">
        <v>565467.2</v>
      </c>
      <c r="AR387" t="n">
        <v>7.488400913174403</v>
      </c>
      <c r="AS387" t="n">
        <v>1.147993584668169</v>
      </c>
      <c r="BL387" t="n">
        <v>1</v>
      </c>
      <c r="BM387" t="n">
        <v>71200</v>
      </c>
      <c r="BN387" t="n">
        <v>0</v>
      </c>
      <c r="BO387" t="n">
        <v>77570</v>
      </c>
      <c r="BP387" t="inlineStr">
        <is>
          <t>G,G</t>
        </is>
      </c>
      <c r="BQ387" t="inlineStr">
        <is>
          <t>T1#</t>
        </is>
      </c>
      <c r="BR387" t="n">
        <v>393810</v>
      </c>
      <c r="BS387" t="n">
        <v>5.531039325842697</v>
      </c>
      <c r="BT387" t="n">
        <v>98760</v>
      </c>
      <c r="BU387" t="n">
        <v>492570</v>
      </c>
      <c r="BV387" t="n">
        <v>6.91811797752809</v>
      </c>
      <c r="BY387" t="n">
        <v>492570</v>
      </c>
      <c r="BZ387" t="n">
        <v>6.91811797752809</v>
      </c>
      <c r="CP387" t="inlineStr">
        <is>
          <t>FiT财务管理</t>
        </is>
      </c>
      <c r="CQ387" t="inlineStr">
        <is>
          <t>3,3</t>
        </is>
      </c>
      <c r="CR387" t="inlineStr">
        <is>
          <t>L2-2</t>
        </is>
      </c>
      <c r="CS387" t="inlineStr">
        <is>
          <t>T1#</t>
        </is>
      </c>
      <c r="CT387" t="inlineStr">
        <is>
          <t>N</t>
        </is>
      </c>
    </row>
    <row r="388">
      <c r="A388" t="inlineStr">
        <is>
          <t>richardHao(郝毅)</t>
        </is>
      </c>
      <c r="C388" t="n">
        <v>62021861</v>
      </c>
      <c r="D388" t="inlineStr">
        <is>
          <t>财会及报告管理部</t>
        </is>
      </c>
      <c r="E388" t="inlineStr">
        <is>
          <t>供应商支付管理中心</t>
        </is>
      </c>
      <c r="G388" t="inlineStr">
        <is>
          <t>S2职能系统－财经线/财会及报告管理部/供应商支付管理中心</t>
        </is>
      </c>
      <c r="H388" s="188" t="n">
        <v>44564</v>
      </c>
      <c r="I388" t="inlineStr">
        <is>
          <t>高校招聘</t>
        </is>
      </c>
      <c r="J388" t="inlineStr">
        <is>
          <t>财经类－FN</t>
        </is>
      </c>
      <c r="K388" t="inlineStr">
        <is>
          <t>会计</t>
        </is>
      </c>
      <c r="L388" t="inlineStr">
        <is>
          <t>S9</t>
        </is>
      </c>
      <c r="N388" t="inlineStr">
        <is>
          <t>T1#</t>
        </is>
      </c>
      <c r="Q388" t="inlineStr">
        <is>
          <t>O,G</t>
        </is>
      </c>
      <c r="U388" t="n">
        <v>48740.75</v>
      </c>
      <c r="V388" t="n">
        <v>0.083333</v>
      </c>
      <c r="W388" t="inlineStr">
        <is>
          <t>CNY</t>
        </is>
      </c>
      <c r="X388" t="n">
        <v>1</v>
      </c>
      <c r="Y388" t="n">
        <v>46983.32</v>
      </c>
      <c r="Z388" t="n">
        <v>0</v>
      </c>
      <c r="AA388" t="n">
        <v>146222.25</v>
      </c>
      <c r="AB388" t="n">
        <v>157145</v>
      </c>
      <c r="AC388" t="n">
        <v>53860</v>
      </c>
      <c r="AF388" t="n">
        <v>0</v>
      </c>
      <c r="AG388" t="n">
        <v>357227.25</v>
      </c>
      <c r="AH388" t="n">
        <v>7.603278142115117</v>
      </c>
      <c r="AI388" t="n">
        <v>357227.25</v>
      </c>
      <c r="AJ388" t="n">
        <v>7.603278142115117</v>
      </c>
      <c r="AK388" t="n">
        <v>6.456913857939371</v>
      </c>
      <c r="AQ388" t="n">
        <v>357227.25</v>
      </c>
      <c r="AR388" t="n">
        <v>7.603278142115117</v>
      </c>
      <c r="AS388" t="n">
        <v>1.12099428876267</v>
      </c>
      <c r="BL388" t="n">
        <v>1</v>
      </c>
      <c r="BM388" t="n">
        <v>39920</v>
      </c>
      <c r="BN388" t="n">
        <v>0</v>
      </c>
      <c r="BO388" t="n">
        <v>40850</v>
      </c>
      <c r="BP388" t="inlineStr">
        <is>
          <t>G,O</t>
        </is>
      </c>
      <c r="BQ388" t="inlineStr">
        <is>
          <t>T1#</t>
        </is>
      </c>
      <c r="BR388" t="n">
        <v>253235</v>
      </c>
      <c r="BS388" t="n">
        <v>6.343562124248497</v>
      </c>
      <c r="BT388" t="n">
        <v>65435</v>
      </c>
      <c r="BU388" t="n">
        <v>318670</v>
      </c>
      <c r="BV388" t="n">
        <v>7.982715430861724</v>
      </c>
      <c r="BY388" t="n">
        <v>318670</v>
      </c>
      <c r="BZ388" t="n">
        <v>7.982715430861724</v>
      </c>
      <c r="CP388" t="inlineStr">
        <is>
          <t>财会及报告管理部</t>
        </is>
      </c>
      <c r="CQ388" t="inlineStr">
        <is>
          <t>5,3</t>
        </is>
      </c>
      <c r="CR388" t="n">
        <v>9</v>
      </c>
      <c r="CS388" t="inlineStr">
        <is>
          <t>T1#</t>
        </is>
      </c>
      <c r="CT388" t="inlineStr">
        <is>
          <t>N</t>
        </is>
      </c>
    </row>
    <row r="389">
      <c r="A389" t="inlineStr">
        <is>
          <t>maryZhao(赵娇慧)</t>
        </is>
      </c>
      <c r="C389" t="n">
        <v>75377388</v>
      </c>
      <c r="D389" t="inlineStr">
        <is>
          <t>财经投资并购及管理部</t>
        </is>
      </c>
      <c r="E389" t="inlineStr">
        <is>
          <t>运营支持中心</t>
        </is>
      </c>
      <c r="G389" t="inlineStr">
        <is>
          <t>S2职能系统－财经线/财经投资并购及管理部/运营支持中心</t>
        </is>
      </c>
      <c r="H389" s="188" t="n">
        <v>45268</v>
      </c>
      <c r="I389" t="inlineStr">
        <is>
          <t>高校招聘</t>
        </is>
      </c>
      <c r="J389" t="inlineStr">
        <is>
          <t>财经类－FN</t>
        </is>
      </c>
      <c r="K389" t="inlineStr">
        <is>
          <t>投资并购</t>
        </is>
      </c>
      <c r="L389" t="inlineStr">
        <is>
          <t>S6</t>
        </is>
      </c>
      <c r="N389" t="inlineStr">
        <is>
          <t>T1</t>
        </is>
      </c>
      <c r="Q389" t="inlineStr">
        <is>
          <t>G,O</t>
        </is>
      </c>
      <c r="U389" t="n">
        <v>36602.75</v>
      </c>
      <c r="V389" t="n">
        <v>0.083333</v>
      </c>
      <c r="W389" t="inlineStr">
        <is>
          <t>CNY</t>
        </is>
      </c>
      <c r="X389" t="n">
        <v>1</v>
      </c>
      <c r="Y389" t="n">
        <v>35934.92</v>
      </c>
      <c r="Z389" t="n">
        <v>0</v>
      </c>
      <c r="AA389" t="n">
        <v>109808.25</v>
      </c>
      <c r="AB389" t="n">
        <v>85525</v>
      </c>
      <c r="AC389" t="n">
        <v>68965</v>
      </c>
      <c r="AF389" t="n">
        <v>0</v>
      </c>
      <c r="AG389" t="n">
        <v>264298.25</v>
      </c>
      <c r="AH389" t="n">
        <v>7.354914105833546</v>
      </c>
      <c r="AI389" t="n">
        <v>264298.25</v>
      </c>
      <c r="AJ389" t="n">
        <v>7.354914105833546</v>
      </c>
      <c r="AK389" t="n">
        <v>5.43575023959981</v>
      </c>
      <c r="AQ389" t="n">
        <v>264298.25</v>
      </c>
      <c r="AR389" t="n">
        <v>7.354914105833546</v>
      </c>
      <c r="AS389" t="n">
        <v>135.8859897172237</v>
      </c>
      <c r="BL389" t="n">
        <v>0.06301369863013689</v>
      </c>
      <c r="BM389" t="n">
        <v>30895</v>
      </c>
      <c r="BN389" t="n">
        <v>0</v>
      </c>
      <c r="BO389" t="n">
        <v>30895</v>
      </c>
      <c r="BP389" t="inlineStr">
        <is>
          <t>N,N</t>
        </is>
      </c>
      <c r="BQ389" t="inlineStr">
        <is>
          <t>T1</t>
        </is>
      </c>
      <c r="BR389" t="n">
        <v>1945</v>
      </c>
      <c r="BS389" t="n">
        <v>0.06295517073960187</v>
      </c>
      <c r="BT389" t="n">
        <v>0</v>
      </c>
      <c r="BU389" t="n">
        <v>1945</v>
      </c>
      <c r="BV389" t="n">
        <v>0.06295517073960187</v>
      </c>
      <c r="BY389" t="n">
        <v>1945</v>
      </c>
      <c r="BZ389" t="n">
        <v>0.06295517073960187</v>
      </c>
      <c r="CP389" t="inlineStr">
        <is>
          <t>财经投资并购及管理部</t>
        </is>
      </c>
      <c r="CQ389" t="inlineStr">
        <is>
          <t>5,3</t>
        </is>
      </c>
      <c r="CR389" t="n">
        <v>6</v>
      </c>
      <c r="CS389" t="inlineStr">
        <is>
          <t>T1</t>
        </is>
      </c>
      <c r="CT389" t="inlineStr">
        <is>
          <t>N</t>
        </is>
      </c>
    </row>
    <row r="390">
      <c r="A390" t="inlineStr">
        <is>
          <t>abigailWei(韦月)</t>
        </is>
      </c>
      <c r="C390" t="n">
        <v>37495627</v>
      </c>
      <c r="D390" t="inlineStr">
        <is>
          <t>风险管理和内部控制</t>
        </is>
      </c>
      <c r="E390" t="inlineStr">
        <is>
          <t>WXG风控中心</t>
        </is>
      </c>
      <c r="G390" t="inlineStr">
        <is>
          <t>S2职能系统－财经线/风险管理和内部控制/WXG风控中心</t>
        </is>
      </c>
      <c r="H390" s="188" t="n">
        <v>43029</v>
      </c>
      <c r="I390" t="inlineStr">
        <is>
          <t>社会招聘</t>
        </is>
      </c>
      <c r="J390" t="inlineStr">
        <is>
          <t>财经类－FN</t>
        </is>
      </c>
      <c r="K390" t="inlineStr">
        <is>
          <t>风险管理</t>
        </is>
      </c>
      <c r="L390" t="inlineStr">
        <is>
          <t>S11</t>
        </is>
      </c>
      <c r="N390" t="inlineStr">
        <is>
          <t>T2</t>
        </is>
      </c>
      <c r="Q390" t="inlineStr">
        <is>
          <t>G,G</t>
        </is>
      </c>
      <c r="U390" t="n">
        <v>65788.55</v>
      </c>
      <c r="V390" t="n">
        <v>0.083333</v>
      </c>
      <c r="W390" t="inlineStr">
        <is>
          <t>CNY</t>
        </is>
      </c>
      <c r="X390" t="n">
        <v>1</v>
      </c>
      <c r="Y390" t="n">
        <v>63857.44</v>
      </c>
      <c r="Z390" t="n">
        <v>0</v>
      </c>
      <c r="AA390" t="n">
        <v>131577.1</v>
      </c>
      <c r="AB390" t="n">
        <v>84450</v>
      </c>
      <c r="AC390" t="n">
        <v>0</v>
      </c>
      <c r="AF390" t="n">
        <v>0</v>
      </c>
      <c r="AG390" t="n">
        <v>216027.1</v>
      </c>
      <c r="AH390" t="n">
        <v>3.382958978624887</v>
      </c>
      <c r="AI390" t="n">
        <v>216027.1</v>
      </c>
      <c r="AJ390" t="n">
        <v>3.382958978624887</v>
      </c>
      <c r="AK390" t="n">
        <v>3.382958978624887</v>
      </c>
      <c r="AQ390" t="n">
        <v>216027.1</v>
      </c>
      <c r="AR390" t="n">
        <v>3.382958978624887</v>
      </c>
      <c r="AS390" t="n">
        <v>1.199117981737948</v>
      </c>
      <c r="BL390" t="n">
        <v>1</v>
      </c>
      <c r="BM390" t="n">
        <v>53780</v>
      </c>
      <c r="BN390" t="n">
        <v>0</v>
      </c>
      <c r="BO390" t="n">
        <v>55350</v>
      </c>
      <c r="BP390" t="inlineStr">
        <is>
          <t>G,G</t>
        </is>
      </c>
      <c r="BQ390" t="inlineStr">
        <is>
          <t>T2</t>
        </is>
      </c>
      <c r="BR390" t="n">
        <v>180155</v>
      </c>
      <c r="BS390" t="n">
        <v>3.349851245816289</v>
      </c>
      <c r="BT390" t="n">
        <v>0</v>
      </c>
      <c r="BU390" t="n">
        <v>180155</v>
      </c>
      <c r="BV390" t="n">
        <v>3.349851245816289</v>
      </c>
      <c r="BY390" t="n">
        <v>180155</v>
      </c>
      <c r="BZ390" t="n">
        <v>3.349851245816289</v>
      </c>
      <c r="CP390" t="inlineStr">
        <is>
          <t>风险管理和内部控制</t>
        </is>
      </c>
      <c r="CQ390" t="inlineStr">
        <is>
          <t>3,3</t>
        </is>
      </c>
      <c r="CR390" t="n">
        <v>11</v>
      </c>
      <c r="CS390" t="inlineStr">
        <is>
          <t>T2</t>
        </is>
      </c>
      <c r="CT390" t="inlineStr">
        <is>
          <t>N</t>
        </is>
      </c>
    </row>
    <row r="391">
      <c r="A391" t="inlineStr">
        <is>
          <t>sharonGu(顾娇)</t>
        </is>
      </c>
      <c r="C391" t="n">
        <v>22859266</v>
      </c>
      <c r="D391" t="inlineStr">
        <is>
          <t>可持续社会价值事业部财务管理</t>
        </is>
      </c>
      <c r="E391" t="inlineStr">
        <is>
          <t>可持续社会价值事业部财务管理</t>
        </is>
      </c>
      <c r="G391" t="inlineStr">
        <is>
          <t>S2职能系统－财经线/可持续社会价值事业部财务管理</t>
        </is>
      </c>
      <c r="H391" s="188" t="n">
        <v>39346</v>
      </c>
      <c r="I391" t="inlineStr">
        <is>
          <t>社会招聘</t>
        </is>
      </c>
      <c r="J391" t="inlineStr">
        <is>
          <t>财经类－FN</t>
        </is>
      </c>
      <c r="K391" t="inlineStr">
        <is>
          <t>财务管理</t>
        </is>
      </c>
      <c r="L391" t="inlineStr">
        <is>
          <t>S10</t>
        </is>
      </c>
      <c r="N391" t="inlineStr">
        <is>
          <t>T1#</t>
        </is>
      </c>
      <c r="Q391" t="inlineStr">
        <is>
          <t>O,G</t>
        </is>
      </c>
      <c r="U391" t="n">
        <v>56923.3</v>
      </c>
      <c r="V391" t="n">
        <v>0.083333</v>
      </c>
      <c r="W391" t="inlineStr">
        <is>
          <t>CNY</t>
        </is>
      </c>
      <c r="X391" t="n">
        <v>1</v>
      </c>
      <c r="Y391" t="n">
        <v>53439.89</v>
      </c>
      <c r="Z391" t="n">
        <v>0</v>
      </c>
      <c r="AA391" t="n">
        <v>170769.9</v>
      </c>
      <c r="AB391" t="n">
        <v>180815</v>
      </c>
      <c r="AC391" t="n">
        <v>82205</v>
      </c>
      <c r="AF391" t="n">
        <v>0</v>
      </c>
      <c r="AG391" t="n">
        <v>433789.9</v>
      </c>
      <c r="AH391" t="n">
        <v>8.11734268165597</v>
      </c>
      <c r="AI391" t="n">
        <v>433789.9</v>
      </c>
      <c r="AJ391" t="n">
        <v>8.11734268165597</v>
      </c>
      <c r="AK391" t="n">
        <v>6.579072299737144</v>
      </c>
      <c r="AQ391" t="n">
        <v>433789.9</v>
      </c>
      <c r="AR391" t="n">
        <v>8.11734268165597</v>
      </c>
      <c r="AS391" t="n">
        <v>1.013729128448407</v>
      </c>
      <c r="BL391" t="n">
        <v>1</v>
      </c>
      <c r="BM391" t="n">
        <v>50730</v>
      </c>
      <c r="BN391" t="n">
        <v>0</v>
      </c>
      <c r="BO391" t="n">
        <v>54065</v>
      </c>
      <c r="BP391" t="inlineStr">
        <is>
          <t>O,G</t>
        </is>
      </c>
      <c r="BQ391" t="inlineStr">
        <is>
          <t>T1#</t>
        </is>
      </c>
      <c r="BR391" t="n">
        <v>328190</v>
      </c>
      <c r="BS391" t="n">
        <v>6.469347526118668</v>
      </c>
      <c r="BT391" t="n">
        <v>99725</v>
      </c>
      <c r="BU391" t="n">
        <v>427915</v>
      </c>
      <c r="BV391" t="n">
        <v>8.435146855903804</v>
      </c>
      <c r="BY391" t="n">
        <v>427915</v>
      </c>
      <c r="BZ391" t="n">
        <v>8.435146855903804</v>
      </c>
      <c r="CP391" t="inlineStr">
        <is>
          <t>可持续社会价值事业部财务管理</t>
        </is>
      </c>
      <c r="CQ391" t="inlineStr">
        <is>
          <t>5,3</t>
        </is>
      </c>
      <c r="CR391" t="n">
        <v>10</v>
      </c>
      <c r="CS391" t="inlineStr">
        <is>
          <t>T1#</t>
        </is>
      </c>
      <c r="CT391" t="inlineStr">
        <is>
          <t>N</t>
        </is>
      </c>
    </row>
    <row r="392">
      <c r="A392" t="inlineStr">
        <is>
          <t>terryFeng(冯成川)</t>
        </is>
      </c>
      <c r="C392" t="n">
        <v>85353838</v>
      </c>
      <c r="D392" t="inlineStr">
        <is>
          <t>财会及报告管理部</t>
        </is>
      </c>
      <c r="E392" t="inlineStr">
        <is>
          <t>资产管理组</t>
        </is>
      </c>
      <c r="G392" t="inlineStr">
        <is>
          <t>S2职能系统－财经线/财会及报告管理部/资产管理组</t>
        </is>
      </c>
      <c r="H392" s="188" t="n">
        <v>43815</v>
      </c>
      <c r="I392" t="inlineStr">
        <is>
          <t>高校招聘</t>
        </is>
      </c>
      <c r="J392" t="inlineStr">
        <is>
          <t>财经类－FN</t>
        </is>
      </c>
      <c r="K392" t="inlineStr">
        <is>
          <t>会计</t>
        </is>
      </c>
      <c r="L392" t="inlineStr">
        <is>
          <t>S8</t>
        </is>
      </c>
      <c r="N392" t="inlineStr">
        <is>
          <t>T1</t>
        </is>
      </c>
      <c r="Q392" t="inlineStr">
        <is>
          <t>G,G</t>
        </is>
      </c>
      <c r="U392" t="n">
        <v>40591.05</v>
      </c>
      <c r="V392" t="n">
        <v>0.083333</v>
      </c>
      <c r="W392" t="inlineStr">
        <is>
          <t>CNY</t>
        </is>
      </c>
      <c r="X392" t="n">
        <v>1</v>
      </c>
      <c r="Y392" t="n">
        <v>36786.08</v>
      </c>
      <c r="Z392" t="n">
        <v>0</v>
      </c>
      <c r="AA392" t="n">
        <v>81182.10000000001</v>
      </c>
      <c r="AB392" t="n">
        <v>86435</v>
      </c>
      <c r="AC392" t="n">
        <v>68790</v>
      </c>
      <c r="AF392" t="n">
        <v>0</v>
      </c>
      <c r="AG392" t="n">
        <v>236407.1</v>
      </c>
      <c r="AH392" t="n">
        <v>6.426536885691544</v>
      </c>
      <c r="AI392" t="n">
        <v>236407.1</v>
      </c>
      <c r="AJ392" t="n">
        <v>6.426536885691544</v>
      </c>
      <c r="AK392" t="n">
        <v>4.556536059291993</v>
      </c>
      <c r="AQ392" t="n">
        <v>236407.1</v>
      </c>
      <c r="AR392" t="n">
        <v>6.426536885691544</v>
      </c>
      <c r="AS392" t="n">
        <v>1.12078462049021</v>
      </c>
      <c r="BL392" t="n">
        <v>1</v>
      </c>
      <c r="BM392" t="n">
        <v>34995</v>
      </c>
      <c r="BN392" t="n">
        <v>0</v>
      </c>
      <c r="BO392" t="n">
        <v>35975</v>
      </c>
      <c r="BP392" t="inlineStr">
        <is>
          <t>O,G</t>
        </is>
      </c>
      <c r="BQ392" t="inlineStr">
        <is>
          <t>T1</t>
        </is>
      </c>
      <c r="BR392" t="n">
        <v>144810</v>
      </c>
      <c r="BS392" t="n">
        <v>4.138019717102443</v>
      </c>
      <c r="BT392" t="n">
        <v>66120</v>
      </c>
      <c r="BU392" t="n">
        <v>210930</v>
      </c>
      <c r="BV392" t="n">
        <v>6.027432490355765</v>
      </c>
      <c r="BY392" t="n">
        <v>210930</v>
      </c>
      <c r="BZ392" t="n">
        <v>6.027432490355765</v>
      </c>
      <c r="CP392" t="inlineStr">
        <is>
          <t>财会及报告管理部</t>
        </is>
      </c>
      <c r="CQ392" t="inlineStr">
        <is>
          <t>3,3</t>
        </is>
      </c>
      <c r="CR392" t="n">
        <v>8</v>
      </c>
      <c r="CS392" t="inlineStr">
        <is>
          <t>T1</t>
        </is>
      </c>
      <c r="CT392" t="inlineStr">
        <is>
          <t>N</t>
        </is>
      </c>
    </row>
    <row r="393">
      <c r="A393" t="inlineStr">
        <is>
          <t>ameliaLai(赖丽)</t>
        </is>
      </c>
      <c r="C393" t="n">
        <v>73887255</v>
      </c>
      <c r="D393" t="inlineStr">
        <is>
          <t>行政支持中心</t>
        </is>
      </c>
      <c r="E393" t="inlineStr">
        <is>
          <t>秘书组</t>
        </is>
      </c>
      <c r="G393" t="inlineStr">
        <is>
          <t>S2职能系统－财经线/行政支持中心/秘书组</t>
        </is>
      </c>
      <c r="H393" s="188" t="n">
        <v>43716</v>
      </c>
      <c r="I393" t="inlineStr">
        <is>
          <t>高校招聘</t>
        </is>
      </c>
      <c r="J393" t="inlineStr">
        <is>
          <t>财经类－FN</t>
        </is>
      </c>
      <c r="K393" t="inlineStr">
        <is>
          <t>公司秘书</t>
        </is>
      </c>
      <c r="L393" t="inlineStr">
        <is>
          <t>S9</t>
        </is>
      </c>
      <c r="N393" t="inlineStr">
        <is>
          <t>T1#</t>
        </is>
      </c>
      <c r="Q393" t="inlineStr">
        <is>
          <t>O,O</t>
        </is>
      </c>
      <c r="U393" t="n">
        <v>35091.9</v>
      </c>
      <c r="V393" t="n">
        <v>0.083333</v>
      </c>
      <c r="W393" t="inlineStr">
        <is>
          <t>CNY</t>
        </is>
      </c>
      <c r="X393" t="n">
        <v>1</v>
      </c>
      <c r="Y393" t="n">
        <v>33632.18</v>
      </c>
      <c r="Z393" t="n">
        <v>0</v>
      </c>
      <c r="AA393" t="n">
        <v>140367.6</v>
      </c>
      <c r="AB393" t="n">
        <v>114780</v>
      </c>
      <c r="AC393" t="n">
        <v>36715</v>
      </c>
      <c r="AF393" t="n">
        <v>0</v>
      </c>
      <c r="AG393" t="n">
        <v>291862.6</v>
      </c>
      <c r="AH393" t="n">
        <v>8.678075581184448</v>
      </c>
      <c r="AI393" t="n">
        <v>291862.6</v>
      </c>
      <c r="AJ393" t="n">
        <v>8.678075581184448</v>
      </c>
      <c r="AK393" t="n">
        <v>7.586412774907841</v>
      </c>
      <c r="AQ393" t="n">
        <v>291862.6</v>
      </c>
      <c r="AR393" t="n">
        <v>8.678075581184448</v>
      </c>
      <c r="AS393" t="n">
        <v>1.43322824592418</v>
      </c>
      <c r="BL393" t="n">
        <v>1</v>
      </c>
      <c r="BM393" t="n">
        <v>29915</v>
      </c>
      <c r="BN393" t="n">
        <v>0</v>
      </c>
      <c r="BO393" t="n">
        <v>31650</v>
      </c>
      <c r="BP393" t="inlineStr">
        <is>
          <t>G,G</t>
        </is>
      </c>
      <c r="BQ393" t="inlineStr">
        <is>
          <t>T1#</t>
        </is>
      </c>
      <c r="BR393" t="n">
        <v>159220</v>
      </c>
      <c r="BS393" t="n">
        <v>5.322413504930637</v>
      </c>
      <c r="BT393" t="n">
        <v>44420</v>
      </c>
      <c r="BU393" t="n">
        <v>203640</v>
      </c>
      <c r="BV393" t="n">
        <v>6.807287314056493</v>
      </c>
      <c r="BY393" t="n">
        <v>203640</v>
      </c>
      <c r="BZ393" t="n">
        <v>6.807287314056493</v>
      </c>
      <c r="CP393" t="inlineStr">
        <is>
          <t>行政支持中心</t>
        </is>
      </c>
      <c r="CQ393" t="inlineStr">
        <is>
          <t>5,5</t>
        </is>
      </c>
      <c r="CR393" t="n">
        <v>9</v>
      </c>
      <c r="CS393" t="inlineStr">
        <is>
          <t>T1#</t>
        </is>
      </c>
      <c r="CT393" t="inlineStr">
        <is>
          <t>N</t>
        </is>
      </c>
    </row>
    <row r="394">
      <c r="A394" t="inlineStr">
        <is>
          <t>donnaJia(贾琴)</t>
        </is>
      </c>
      <c r="C394" t="n">
        <v>19157984</v>
      </c>
      <c r="D394" t="inlineStr">
        <is>
          <t>CSIG财务管理</t>
        </is>
      </c>
      <c r="E394" t="inlineStr">
        <is>
          <t>产品财务管理中心</t>
        </is>
      </c>
      <c r="G394" t="inlineStr">
        <is>
          <t>S2职能系统－财经线/CSIG财务管理/产品财务管理中心</t>
        </is>
      </c>
      <c r="H394" s="188" t="n">
        <v>42721</v>
      </c>
      <c r="I394" t="inlineStr">
        <is>
          <t>社会招聘</t>
        </is>
      </c>
      <c r="J394" t="inlineStr">
        <is>
          <t>财经类－FN</t>
        </is>
      </c>
      <c r="K394" t="inlineStr">
        <is>
          <t>财务管理</t>
        </is>
      </c>
      <c r="M394" t="inlineStr">
        <is>
          <t>L2-2</t>
        </is>
      </c>
      <c r="N394" t="inlineStr">
        <is>
          <t>Others</t>
        </is>
      </c>
      <c r="Q394" t="inlineStr">
        <is>
          <t>G,O</t>
        </is>
      </c>
      <c r="U394" t="n">
        <v>53127.15</v>
      </c>
      <c r="V394" t="n">
        <v>0.083333</v>
      </c>
      <c r="W394" t="inlineStr">
        <is>
          <t>CNY</t>
        </is>
      </c>
      <c r="X394" t="n">
        <v>1</v>
      </c>
      <c r="Y394" t="n">
        <v>50563.58</v>
      </c>
      <c r="Z394" t="n">
        <v>0</v>
      </c>
      <c r="AA394" t="n">
        <v>159381.45</v>
      </c>
      <c r="AB394" t="n">
        <v>53050</v>
      </c>
      <c r="AC394" t="n">
        <v>0</v>
      </c>
      <c r="AF394" t="n">
        <v>7060</v>
      </c>
      <c r="AG394" t="n">
        <v>212431.45</v>
      </c>
      <c r="AH394" t="n">
        <v>4.201273920873483</v>
      </c>
      <c r="AI394" t="n">
        <v>219491.45</v>
      </c>
      <c r="AJ394" t="n">
        <v>4.340900110316556</v>
      </c>
      <c r="AK394" t="n">
        <v>4.340900110316556</v>
      </c>
      <c r="AQ394" t="n">
        <v>219491.45</v>
      </c>
      <c r="AR394" t="n">
        <v>4.340900110316556</v>
      </c>
      <c r="AS394" t="n">
        <v>1.335146750205298</v>
      </c>
      <c r="BL394" t="n">
        <v>1</v>
      </c>
      <c r="BM394" t="n">
        <v>47780</v>
      </c>
      <c r="BN394" t="n">
        <v>0</v>
      </c>
      <c r="BO394" t="n">
        <v>50250</v>
      </c>
      <c r="BP394" t="inlineStr">
        <is>
          <t>O,U</t>
        </is>
      </c>
      <c r="BQ394" t="inlineStr">
        <is>
          <t>Others</t>
        </is>
      </c>
      <c r="BR394" t="n">
        <v>164395</v>
      </c>
      <c r="BS394" t="n">
        <v>3.440665550439514</v>
      </c>
      <c r="BT394" t="n">
        <v>0</v>
      </c>
      <c r="BU394" t="n">
        <v>164395</v>
      </c>
      <c r="BV394" t="n">
        <v>3.440665550439514</v>
      </c>
      <c r="BY394" t="n">
        <v>164395</v>
      </c>
      <c r="BZ394" t="n">
        <v>3.440665550439514</v>
      </c>
      <c r="CP394" t="inlineStr">
        <is>
          <t>CSIG财务管理</t>
        </is>
      </c>
      <c r="CQ394" t="inlineStr">
        <is>
          <t>5,3</t>
        </is>
      </c>
      <c r="CR394" t="inlineStr">
        <is>
          <t>L2-2</t>
        </is>
      </c>
      <c r="CS394" t="inlineStr">
        <is>
          <t>Others</t>
        </is>
      </c>
      <c r="CT394" t="inlineStr">
        <is>
          <t>N</t>
        </is>
      </c>
    </row>
    <row r="395">
      <c r="A395" t="inlineStr">
        <is>
          <t>jamesLu(卢林)</t>
        </is>
      </c>
      <c r="C395" t="n">
        <v>93660466</v>
      </c>
      <c r="D395" t="inlineStr">
        <is>
          <t>S2人力资源中心</t>
        </is>
      </c>
      <c r="E395" t="inlineStr">
        <is>
          <t>S2人力资源中心</t>
        </is>
      </c>
      <c r="G395" t="inlineStr">
        <is>
          <t>S2职能系统－财经线/S2人力资源中心</t>
        </is>
      </c>
      <c r="H395" s="188" t="n">
        <v>45111</v>
      </c>
      <c r="I395" t="inlineStr">
        <is>
          <t>社会招聘</t>
        </is>
      </c>
      <c r="J395" t="inlineStr">
        <is>
          <t>财经类－FN</t>
        </is>
      </c>
      <c r="K395" t="inlineStr">
        <is>
          <t>财经系统交付管理</t>
        </is>
      </c>
      <c r="M395" t="inlineStr">
        <is>
          <t>L3-3</t>
        </is>
      </c>
      <c r="N395" t="inlineStr">
        <is>
          <t>T1#</t>
        </is>
      </c>
      <c r="Q395" t="inlineStr">
        <is>
          <t>G,G</t>
        </is>
      </c>
      <c r="U395" t="n">
        <v>67274.3</v>
      </c>
      <c r="V395" t="n">
        <v>0.083333</v>
      </c>
      <c r="W395" t="inlineStr">
        <is>
          <t>CNY</t>
        </is>
      </c>
      <c r="X395" t="n">
        <v>1</v>
      </c>
      <c r="Y395" t="n">
        <v>61094.72</v>
      </c>
      <c r="Z395" t="n">
        <v>0</v>
      </c>
      <c r="AA395" t="n">
        <v>134548.6</v>
      </c>
      <c r="AB395" t="n">
        <v>217105</v>
      </c>
      <c r="AC395" t="n">
        <v>99795</v>
      </c>
      <c r="AF395" t="n">
        <v>39600</v>
      </c>
      <c r="AG395" t="n">
        <v>451448.6</v>
      </c>
      <c r="AH395" t="n">
        <v>7.389322677966279</v>
      </c>
      <c r="AI395" t="n">
        <v>491048.6</v>
      </c>
      <c r="AJ395" t="n">
        <v>8.037496529978368</v>
      </c>
      <c r="AK395" t="n">
        <v>6.404049318828206</v>
      </c>
      <c r="AQ395" t="n">
        <v>491048.6</v>
      </c>
      <c r="AR395" t="n">
        <v>8.037496529978368</v>
      </c>
      <c r="AS395" t="n">
        <v>18.15336783733826</v>
      </c>
      <c r="BL395" t="n">
        <v>0.493150684931506</v>
      </c>
      <c r="BM395" t="n">
        <v>54860</v>
      </c>
      <c r="BN395" t="n">
        <v>0</v>
      </c>
      <c r="BO395" t="n">
        <v>54860</v>
      </c>
      <c r="BP395" t="inlineStr">
        <is>
          <t>N,G</t>
        </is>
      </c>
      <c r="BQ395" t="inlineStr">
        <is>
          <t>T2</t>
        </is>
      </c>
      <c r="BR395" t="n">
        <v>27050</v>
      </c>
      <c r="BS395" t="n">
        <v>0.493073277433467</v>
      </c>
      <c r="BT395" t="n">
        <v>0</v>
      </c>
      <c r="BU395" t="n">
        <v>27050</v>
      </c>
      <c r="BV395" t="n">
        <v>0.493073277433467</v>
      </c>
      <c r="BY395" t="n">
        <v>27050</v>
      </c>
      <c r="BZ395" t="n">
        <v>0.493073277433467</v>
      </c>
      <c r="CP395" t="inlineStr">
        <is>
          <t>S2人力资源中心</t>
        </is>
      </c>
      <c r="CQ395" t="inlineStr">
        <is>
          <t>3,3</t>
        </is>
      </c>
      <c r="CR395" t="inlineStr">
        <is>
          <t>L3-3</t>
        </is>
      </c>
      <c r="CS395" t="inlineStr">
        <is>
          <t>T1#</t>
        </is>
      </c>
      <c r="CT395" t="inlineStr">
        <is>
          <t>N</t>
        </is>
      </c>
    </row>
    <row r="396">
      <c r="A396" t="inlineStr">
        <is>
          <t>madelynQiu(邱红芳)</t>
        </is>
      </c>
      <c r="C396" t="n">
        <v>56979741</v>
      </c>
      <c r="D396" t="inlineStr">
        <is>
          <t>风险管理和内部控制</t>
        </is>
      </c>
      <c r="E396" t="inlineStr">
        <is>
          <t>CSIG风控中心</t>
        </is>
      </c>
      <c r="G396" t="inlineStr">
        <is>
          <t>S2职能系统－财经线/风险管理和内部控制/CSIG风控中心</t>
        </is>
      </c>
      <c r="H396" s="188" t="n">
        <v>44132</v>
      </c>
      <c r="I396" t="inlineStr">
        <is>
          <t>社会招聘</t>
        </is>
      </c>
      <c r="J396" t="inlineStr">
        <is>
          <t>财经类－FN</t>
        </is>
      </c>
      <c r="K396" t="inlineStr">
        <is>
          <t>风险管理</t>
        </is>
      </c>
      <c r="L396" t="inlineStr">
        <is>
          <t>S11</t>
        </is>
      </c>
      <c r="N396" t="inlineStr">
        <is>
          <t>T2</t>
        </is>
      </c>
      <c r="Q396" t="inlineStr">
        <is>
          <t>G,G</t>
        </is>
      </c>
      <c r="U396" t="n">
        <v>48671.85</v>
      </c>
      <c r="V396" t="n">
        <v>0.083333</v>
      </c>
      <c r="W396" t="inlineStr">
        <is>
          <t>CNY</t>
        </is>
      </c>
      <c r="X396" t="n">
        <v>1</v>
      </c>
      <c r="Y396" t="n">
        <v>43967.94</v>
      </c>
      <c r="Z396" t="n">
        <v>0</v>
      </c>
      <c r="AA396" t="n">
        <v>97343.7</v>
      </c>
      <c r="AB396" t="n">
        <v>70155</v>
      </c>
      <c r="AC396" t="n">
        <v>0</v>
      </c>
      <c r="AF396" t="n">
        <v>0</v>
      </c>
      <c r="AG396" t="n">
        <v>167498.7</v>
      </c>
      <c r="AH396" t="n">
        <v>3.809564423532237</v>
      </c>
      <c r="AI396" t="n">
        <v>167498.7</v>
      </c>
      <c r="AJ396" t="n">
        <v>3.809564423532237</v>
      </c>
      <c r="AK396" t="n">
        <v>3.809564423532237</v>
      </c>
      <c r="AQ396" t="n">
        <v>167498.7</v>
      </c>
      <c r="AR396" t="n">
        <v>3.809564423532237</v>
      </c>
      <c r="AS396" t="n">
        <v>0.9042985558105008</v>
      </c>
      <c r="BL396" t="n">
        <v>1</v>
      </c>
      <c r="BM396" t="n">
        <v>39605</v>
      </c>
      <c r="BN396" t="n">
        <v>0</v>
      </c>
      <c r="BO396" t="n">
        <v>41330</v>
      </c>
      <c r="BP396" t="inlineStr">
        <is>
          <t>O,G</t>
        </is>
      </c>
      <c r="BQ396" t="inlineStr">
        <is>
          <t>T2</t>
        </is>
      </c>
      <c r="BR396" t="n">
        <v>185225</v>
      </c>
      <c r="BS396" t="n">
        <v>4.676808483777301</v>
      </c>
      <c r="BT396" t="n">
        <v>0</v>
      </c>
      <c r="BU396" t="n">
        <v>185225</v>
      </c>
      <c r="BV396" t="n">
        <v>4.676808483777301</v>
      </c>
      <c r="BY396" t="n">
        <v>185225</v>
      </c>
      <c r="BZ396" t="n">
        <v>4.676808483777301</v>
      </c>
      <c r="CP396" t="inlineStr">
        <is>
          <t>风险管理和内部控制</t>
        </is>
      </c>
      <c r="CQ396" t="inlineStr">
        <is>
          <t>3,3</t>
        </is>
      </c>
      <c r="CR396" t="n">
        <v>11</v>
      </c>
      <c r="CS396" t="inlineStr">
        <is>
          <t>T2</t>
        </is>
      </c>
      <c r="CT396" t="inlineStr">
        <is>
          <t>N</t>
        </is>
      </c>
    </row>
    <row r="397">
      <c r="A397" t="inlineStr">
        <is>
          <t>audreyZheng(郑倩曼)</t>
        </is>
      </c>
      <c r="C397" t="n">
        <v>69167935</v>
      </c>
      <c r="D397" t="inlineStr">
        <is>
          <t>财会及报告管理部</t>
        </is>
      </c>
      <c r="E397" t="inlineStr">
        <is>
          <t>海外财会管理中心</t>
        </is>
      </c>
      <c r="G397" t="inlineStr">
        <is>
          <t>S2职能系统－财经线/财会及报告管理部/海外财会管理中心</t>
        </is>
      </c>
      <c r="H397" s="188" t="n">
        <v>41640</v>
      </c>
      <c r="I397" t="inlineStr">
        <is>
          <t>社会招聘</t>
        </is>
      </c>
      <c r="J397" t="inlineStr">
        <is>
          <t>财经类－FN</t>
        </is>
      </c>
      <c r="K397" t="inlineStr">
        <is>
          <t>会计</t>
        </is>
      </c>
      <c r="L397" t="inlineStr">
        <is>
          <t>S9</t>
        </is>
      </c>
      <c r="N397" t="inlineStr">
        <is>
          <t>T2</t>
        </is>
      </c>
      <c r="Q397" t="inlineStr">
        <is>
          <t>G,G</t>
        </is>
      </c>
      <c r="U397" t="n">
        <v>50361.25</v>
      </c>
      <c r="V397" t="n">
        <v>0.083333</v>
      </c>
      <c r="W397" t="inlineStr">
        <is>
          <t>CNY</t>
        </is>
      </c>
      <c r="X397" t="n">
        <v>1</v>
      </c>
      <c r="Y397" t="n">
        <v>47905.35</v>
      </c>
      <c r="Z397" t="n">
        <v>0</v>
      </c>
      <c r="AA397" t="n">
        <v>100722.5</v>
      </c>
      <c r="AB397" t="n">
        <v>58895</v>
      </c>
      <c r="AC397" t="n">
        <v>0</v>
      </c>
      <c r="AF397" t="n">
        <v>0</v>
      </c>
      <c r="AG397" t="n">
        <v>159617.5</v>
      </c>
      <c r="AH397" t="n">
        <v>3.331934742153016</v>
      </c>
      <c r="AI397" t="n">
        <v>159617.5</v>
      </c>
      <c r="AJ397" t="n">
        <v>3.331934742153016</v>
      </c>
      <c r="AK397" t="n">
        <v>3.331934742153016</v>
      </c>
      <c r="AQ397" t="n">
        <v>159617.5</v>
      </c>
      <c r="AR397" t="n">
        <v>3.331934742153016</v>
      </c>
      <c r="AS397" t="n">
        <v>1.568722358722359</v>
      </c>
      <c r="BL397" t="n">
        <v>1</v>
      </c>
      <c r="BM397" t="n">
        <v>40965</v>
      </c>
      <c r="BN397" t="n">
        <v>0</v>
      </c>
      <c r="BO397" t="n">
        <v>44505</v>
      </c>
      <c r="BP397" t="inlineStr">
        <is>
          <t>G,U</t>
        </is>
      </c>
      <c r="BQ397" t="inlineStr">
        <is>
          <t>T2</t>
        </is>
      </c>
      <c r="BR397" t="n">
        <v>101750</v>
      </c>
      <c r="BS397" t="n">
        <v>2.483827657756621</v>
      </c>
      <c r="BT397" t="n">
        <v>0</v>
      </c>
      <c r="BU397" t="n">
        <v>101750</v>
      </c>
      <c r="BV397" t="n">
        <v>2.483827657756621</v>
      </c>
      <c r="BY397" t="n">
        <v>101750</v>
      </c>
      <c r="BZ397" t="n">
        <v>2.483827657756621</v>
      </c>
      <c r="CP397" t="inlineStr">
        <is>
          <t>财会及报告管理部</t>
        </is>
      </c>
      <c r="CQ397" t="inlineStr">
        <is>
          <t>3,3</t>
        </is>
      </c>
      <c r="CR397" t="n">
        <v>9</v>
      </c>
      <c r="CS397" t="inlineStr">
        <is>
          <t>T2</t>
        </is>
      </c>
      <c r="CT397" t="inlineStr">
        <is>
          <t>N</t>
        </is>
      </c>
    </row>
    <row r="398">
      <c r="A398" t="inlineStr">
        <is>
          <t>sophieYao(姚素)</t>
        </is>
      </c>
      <c r="C398" t="n">
        <v>76787031</v>
      </c>
      <c r="D398" t="inlineStr">
        <is>
          <t>CDG财务管理</t>
        </is>
      </c>
      <c r="E398" t="inlineStr">
        <is>
          <t>子公司财务管理组</t>
        </is>
      </c>
      <c r="G398" t="inlineStr">
        <is>
          <t>S2职能系统－财经线/CDG财务管理/子公司财务管理组</t>
        </is>
      </c>
      <c r="H398" s="188" t="n">
        <v>40524</v>
      </c>
      <c r="I398" t="inlineStr">
        <is>
          <t>高校招聘</t>
        </is>
      </c>
      <c r="J398" t="inlineStr">
        <is>
          <t>财经类－FN</t>
        </is>
      </c>
      <c r="K398" t="inlineStr">
        <is>
          <t>财务管理</t>
        </is>
      </c>
      <c r="L398" t="inlineStr">
        <is>
          <t>S6</t>
        </is>
      </c>
      <c r="N398" t="inlineStr">
        <is>
          <t>T1</t>
        </is>
      </c>
      <c r="Q398" t="inlineStr">
        <is>
          <t>G,G</t>
        </is>
      </c>
      <c r="U398" t="n">
        <v>24060.1</v>
      </c>
      <c r="V398" t="n">
        <v>0.083333</v>
      </c>
      <c r="W398" t="inlineStr">
        <is>
          <t>CNY</t>
        </is>
      </c>
      <c r="X398" t="n">
        <v>1</v>
      </c>
      <c r="Y398" t="n">
        <v>22473.7</v>
      </c>
      <c r="Z398" t="n">
        <v>0</v>
      </c>
      <c r="AA398" t="n">
        <v>48120.2</v>
      </c>
      <c r="AB398" t="n">
        <v>58560</v>
      </c>
      <c r="AC398" t="n">
        <v>37260</v>
      </c>
      <c r="AF398" t="n">
        <v>0</v>
      </c>
      <c r="AG398" t="n">
        <v>143940.2</v>
      </c>
      <c r="AH398" t="n">
        <v>6.404828755389634</v>
      </c>
      <c r="AI398" t="n">
        <v>143940.2</v>
      </c>
      <c r="AJ398" t="n">
        <v>6.404828755389634</v>
      </c>
      <c r="AK398" t="n">
        <v>4.746890810146971</v>
      </c>
      <c r="AQ398" t="n">
        <v>143940.2</v>
      </c>
      <c r="AR398" t="n">
        <v>6.404828755389634</v>
      </c>
      <c r="AS398" t="n">
        <v>1.397409834474055</v>
      </c>
      <c r="BL398" t="n">
        <v>1</v>
      </c>
      <c r="BM398" t="n">
        <v>19800</v>
      </c>
      <c r="BN398" t="n">
        <v>0</v>
      </c>
      <c r="BO398" t="n">
        <v>20855</v>
      </c>
      <c r="BP398" t="inlineStr">
        <is>
          <t>G,G</t>
        </is>
      </c>
      <c r="BQ398" t="inlineStr">
        <is>
          <t>T1</t>
        </is>
      </c>
      <c r="BR398" t="n">
        <v>70245</v>
      </c>
      <c r="BS398" t="n">
        <v>3.547727272727273</v>
      </c>
      <c r="BT398" t="n">
        <v>32760</v>
      </c>
      <c r="BU398" t="n">
        <v>103005</v>
      </c>
      <c r="BV398" t="n">
        <v>5.202272727272727</v>
      </c>
      <c r="BY398" t="n">
        <v>103005</v>
      </c>
      <c r="BZ398" t="n">
        <v>5.202272727272727</v>
      </c>
      <c r="CP398" t="inlineStr">
        <is>
          <t>CDG财务管理</t>
        </is>
      </c>
      <c r="CQ398" t="inlineStr">
        <is>
          <t>3,3</t>
        </is>
      </c>
      <c r="CR398" t="n">
        <v>6</v>
      </c>
      <c r="CS398" t="inlineStr">
        <is>
          <t>T1</t>
        </is>
      </c>
      <c r="CT398" t="inlineStr">
        <is>
          <t>N</t>
        </is>
      </c>
    </row>
    <row r="399">
      <c r="A399" t="inlineStr">
        <is>
          <t>davidJin(金梓)</t>
        </is>
      </c>
      <c r="C399" t="n">
        <v>96738183</v>
      </c>
      <c r="D399" t="inlineStr">
        <is>
          <t>在线视频财务管理中心</t>
        </is>
      </c>
      <c r="E399" t="inlineStr">
        <is>
          <t>OVB长视频财务管理组</t>
        </is>
      </c>
      <c r="G399" t="inlineStr">
        <is>
          <t>S2职能系统－财经线/在线视频财务管理中心/OVB长视频财务管理组</t>
        </is>
      </c>
      <c r="H399" s="188" t="n">
        <v>39318</v>
      </c>
      <c r="I399" t="inlineStr">
        <is>
          <t>社会招聘</t>
        </is>
      </c>
      <c r="J399" t="inlineStr">
        <is>
          <t>财经类－FN</t>
        </is>
      </c>
      <c r="K399" t="inlineStr">
        <is>
          <t>财务管理</t>
        </is>
      </c>
      <c r="L399" t="inlineStr">
        <is>
          <t>S8</t>
        </is>
      </c>
      <c r="N399" t="inlineStr">
        <is>
          <t>T2</t>
        </is>
      </c>
      <c r="Q399" t="inlineStr">
        <is>
          <t>O,G</t>
        </is>
      </c>
      <c r="U399" t="n">
        <v>51939.25</v>
      </c>
      <c r="V399" t="n">
        <v>0.083333</v>
      </c>
      <c r="W399" t="inlineStr">
        <is>
          <t>CNY</t>
        </is>
      </c>
      <c r="X399" t="n">
        <v>1</v>
      </c>
      <c r="Y399" t="n">
        <v>47775.06</v>
      </c>
      <c r="Z399" t="n">
        <v>0</v>
      </c>
      <c r="AA399" t="n">
        <v>155817.75</v>
      </c>
      <c r="AB399" t="n">
        <v>68020</v>
      </c>
      <c r="AC399" t="n">
        <v>0</v>
      </c>
      <c r="AF399" t="n">
        <v>0</v>
      </c>
      <c r="AG399" t="n">
        <v>223837.75</v>
      </c>
      <c r="AH399" t="n">
        <v>4.685242676827617</v>
      </c>
      <c r="AI399" t="n">
        <v>223837.75</v>
      </c>
      <c r="AJ399" t="n">
        <v>4.685242676827617</v>
      </c>
      <c r="AK399" t="n">
        <v>4.685242676827617</v>
      </c>
      <c r="AQ399" t="n">
        <v>223837.75</v>
      </c>
      <c r="AR399" t="n">
        <v>4.685242676827617</v>
      </c>
      <c r="AS399" t="n">
        <v>1.389692369777116</v>
      </c>
      <c r="BL399" t="n">
        <v>1</v>
      </c>
      <c r="BM399" t="n">
        <v>44105</v>
      </c>
      <c r="BN399" t="n">
        <v>0</v>
      </c>
      <c r="BO399" t="n">
        <v>46375</v>
      </c>
      <c r="BP399" t="inlineStr">
        <is>
          <t>G,G</t>
        </is>
      </c>
      <c r="BQ399" t="inlineStr">
        <is>
          <t>T2</t>
        </is>
      </c>
      <c r="BR399" t="n">
        <v>161070</v>
      </c>
      <c r="BS399" t="n">
        <v>3.651966897177191</v>
      </c>
      <c r="BT399" t="n">
        <v>0</v>
      </c>
      <c r="BU399" t="n">
        <v>161070</v>
      </c>
      <c r="BV399" t="n">
        <v>3.651966897177191</v>
      </c>
      <c r="BY399" t="n">
        <v>161070</v>
      </c>
      <c r="BZ399" t="n">
        <v>3.651966897177191</v>
      </c>
      <c r="CP399" t="inlineStr">
        <is>
          <t>在线视频财务管理中心</t>
        </is>
      </c>
      <c r="CQ399" t="inlineStr">
        <is>
          <t>5,3</t>
        </is>
      </c>
      <c r="CR399" t="n">
        <v>8</v>
      </c>
      <c r="CS399" t="inlineStr">
        <is>
          <t>T2</t>
        </is>
      </c>
      <c r="CT399" t="inlineStr">
        <is>
          <t>N</t>
        </is>
      </c>
    </row>
    <row r="400">
      <c r="A400" t="inlineStr">
        <is>
          <t>masonZheng(郑天卓)</t>
        </is>
      </c>
      <c r="C400" t="n">
        <v>83187800</v>
      </c>
      <c r="D400" t="inlineStr">
        <is>
          <t>财会及报告管理部</t>
        </is>
      </c>
      <c r="E400" t="inlineStr">
        <is>
          <t>专业支持中心</t>
        </is>
      </c>
      <c r="G400" t="inlineStr">
        <is>
          <t>S2职能系统－财经线/财会及报告管理部/专业支持中心</t>
        </is>
      </c>
      <c r="H400" s="188" t="n">
        <v>44842</v>
      </c>
      <c r="I400" t="inlineStr">
        <is>
          <t>社会招聘</t>
        </is>
      </c>
      <c r="J400" t="inlineStr">
        <is>
          <t>财经类－FN</t>
        </is>
      </c>
      <c r="K400" t="inlineStr">
        <is>
          <t>会计</t>
        </is>
      </c>
      <c r="L400" t="inlineStr">
        <is>
          <t>S6</t>
        </is>
      </c>
      <c r="N400" t="inlineStr">
        <is>
          <t>T1#</t>
        </is>
      </c>
      <c r="Q400" t="inlineStr">
        <is>
          <t>G,G</t>
        </is>
      </c>
      <c r="U400" t="n">
        <v>33236.55</v>
      </c>
      <c r="V400" t="n">
        <v>0.083333</v>
      </c>
      <c r="W400" t="inlineStr">
        <is>
          <t>CNY</t>
        </is>
      </c>
      <c r="X400" t="n">
        <v>1</v>
      </c>
      <c r="Y400" t="n">
        <v>31065.45</v>
      </c>
      <c r="Z400" t="n">
        <v>0</v>
      </c>
      <c r="AA400" t="n">
        <v>66473.10000000001</v>
      </c>
      <c r="AB400" t="n">
        <v>113540</v>
      </c>
      <c r="AC400" t="n">
        <v>54325</v>
      </c>
      <c r="AF400" t="n">
        <v>0</v>
      </c>
      <c r="AG400" t="n">
        <v>234338.1</v>
      </c>
      <c r="AH400" t="n">
        <v>7.543367309985852</v>
      </c>
      <c r="AI400" t="n">
        <v>234338.1</v>
      </c>
      <c r="AJ400" t="n">
        <v>7.543367309985852</v>
      </c>
      <c r="AK400" t="n">
        <v>5.794640026138363</v>
      </c>
      <c r="AQ400" t="n">
        <v>234338.1</v>
      </c>
      <c r="AR400" t="n">
        <v>7.543367309985852</v>
      </c>
      <c r="AS400" t="n">
        <v>0.9796948096741153</v>
      </c>
      <c r="BL400" t="n">
        <v>1</v>
      </c>
      <c r="BM400" t="n">
        <v>29630</v>
      </c>
      <c r="BN400" t="n">
        <v>0</v>
      </c>
      <c r="BO400" t="n">
        <v>30305</v>
      </c>
      <c r="BP400" t="inlineStr">
        <is>
          <t>G,O</t>
        </is>
      </c>
      <c r="BQ400" t="inlineStr">
        <is>
          <t>T1#</t>
        </is>
      </c>
      <c r="BR400" t="n">
        <v>183765</v>
      </c>
      <c r="BS400" t="n">
        <v>6.201991225109686</v>
      </c>
      <c r="BT400" t="n">
        <v>55430</v>
      </c>
      <c r="BU400" t="n">
        <v>239195</v>
      </c>
      <c r="BV400" t="n">
        <v>8.07273034087074</v>
      </c>
      <c r="BY400" t="n">
        <v>239195</v>
      </c>
      <c r="BZ400" t="n">
        <v>8.07273034087074</v>
      </c>
      <c r="CP400" t="inlineStr">
        <is>
          <t>财会及报告管理部</t>
        </is>
      </c>
      <c r="CQ400" t="inlineStr">
        <is>
          <t>3,3</t>
        </is>
      </c>
      <c r="CR400" t="n">
        <v>6</v>
      </c>
      <c r="CS400" t="inlineStr">
        <is>
          <t>T1#</t>
        </is>
      </c>
      <c r="CT400" t="inlineStr">
        <is>
          <t>N</t>
        </is>
      </c>
    </row>
    <row r="401">
      <c r="A401" t="inlineStr">
        <is>
          <t>raymondXiong(熊勇)</t>
        </is>
      </c>
      <c r="C401" t="n">
        <v>44112239</v>
      </c>
      <c r="D401" t="inlineStr">
        <is>
          <t>CFO办公室</t>
        </is>
      </c>
      <c r="E401" t="inlineStr">
        <is>
          <t>集团个税及综合项目组</t>
        </is>
      </c>
      <c r="G401" t="inlineStr">
        <is>
          <t>S2职能系统－财经线/CFO办公室/集团个税及综合项目组</t>
        </is>
      </c>
      <c r="H401" s="188" t="n">
        <v>38331</v>
      </c>
      <c r="I401" t="inlineStr">
        <is>
          <t>高校招聘</t>
        </is>
      </c>
      <c r="J401" t="inlineStr">
        <is>
          <t>财经类－FN</t>
        </is>
      </c>
      <c r="K401" t="inlineStr">
        <is>
          <t>投资者关系</t>
        </is>
      </c>
      <c r="L401" t="inlineStr">
        <is>
          <t>S10</t>
        </is>
      </c>
      <c r="N401" t="inlineStr">
        <is>
          <t>T1</t>
        </is>
      </c>
      <c r="Q401" t="inlineStr">
        <is>
          <t>G,G</t>
        </is>
      </c>
      <c r="U401" t="n">
        <v>37724.7</v>
      </c>
      <c r="V401" t="n">
        <v>0.083333</v>
      </c>
      <c r="W401" t="inlineStr">
        <is>
          <t>CNY</t>
        </is>
      </c>
      <c r="X401" t="n">
        <v>1</v>
      </c>
      <c r="Y401" t="n">
        <v>37289.34</v>
      </c>
      <c r="Z401" t="n">
        <v>0</v>
      </c>
      <c r="AA401" t="n">
        <v>75449.39999999999</v>
      </c>
      <c r="AB401" t="n">
        <v>76750</v>
      </c>
      <c r="AC401" t="n">
        <v>74020</v>
      </c>
      <c r="AF401" t="n">
        <v>0</v>
      </c>
      <c r="AG401" t="n">
        <v>226219.4</v>
      </c>
      <c r="AH401" t="n">
        <v>6.06659704891532</v>
      </c>
      <c r="AI401" t="n">
        <v>226219.4</v>
      </c>
      <c r="AJ401" t="n">
        <v>6.06659704891532</v>
      </c>
      <c r="AK401" t="n">
        <v>4.08157934680528</v>
      </c>
      <c r="AQ401" t="n">
        <v>226219.4</v>
      </c>
      <c r="AR401" t="n">
        <v>6.06659704891532</v>
      </c>
      <c r="AS401" t="n">
        <v>1.396890302263114</v>
      </c>
      <c r="BL401" t="n">
        <v>1</v>
      </c>
      <c r="BM401" t="n">
        <v>32345</v>
      </c>
      <c r="BN401" t="n">
        <v>0</v>
      </c>
      <c r="BO401" t="n">
        <v>34485</v>
      </c>
      <c r="BP401" t="inlineStr">
        <is>
          <t>G,G</t>
        </is>
      </c>
      <c r="BQ401" t="inlineStr">
        <is>
          <t>T1</t>
        </is>
      </c>
      <c r="BR401" t="n">
        <v>116440</v>
      </c>
      <c r="BS401" t="n">
        <v>3.599938166640903</v>
      </c>
      <c r="BT401" t="n">
        <v>45505</v>
      </c>
      <c r="BU401" t="n">
        <v>161945</v>
      </c>
      <c r="BV401" t="n">
        <v>5.006801669500696</v>
      </c>
      <c r="BY401" t="n">
        <v>161945</v>
      </c>
      <c r="BZ401" t="n">
        <v>5.006801669500696</v>
      </c>
      <c r="CP401" t="inlineStr">
        <is>
          <t>CFO办公室</t>
        </is>
      </c>
      <c r="CQ401" t="inlineStr">
        <is>
          <t>3,3</t>
        </is>
      </c>
      <c r="CR401" t="n">
        <v>10</v>
      </c>
      <c r="CS401" t="inlineStr">
        <is>
          <t>T1</t>
        </is>
      </c>
      <c r="CT401" t="inlineStr">
        <is>
          <t>N</t>
        </is>
      </c>
    </row>
    <row r="402">
      <c r="A402" t="inlineStr">
        <is>
          <t>jordanFang(方骏晨)</t>
        </is>
      </c>
      <c r="C402" t="n">
        <v>6851318</v>
      </c>
      <c r="D402" t="inlineStr">
        <is>
          <t>FiT财务管理</t>
        </is>
      </c>
      <c r="E402" t="inlineStr">
        <is>
          <t>业务支持与分析中心</t>
        </is>
      </c>
      <c r="G402" t="inlineStr">
        <is>
          <t>S2职能系统－财经线/FiT财务管理/业务支持与分析中心</t>
        </is>
      </c>
      <c r="H402" s="188" t="n">
        <v>41970</v>
      </c>
      <c r="I402" t="inlineStr">
        <is>
          <t>高校招聘</t>
        </is>
      </c>
      <c r="J402" t="inlineStr">
        <is>
          <t>财经类－FN</t>
        </is>
      </c>
      <c r="K402" t="inlineStr">
        <is>
          <t>财务管理</t>
        </is>
      </c>
      <c r="L402" t="inlineStr">
        <is>
          <t>S8</t>
        </is>
      </c>
      <c r="N402" t="inlineStr">
        <is>
          <t>T1</t>
        </is>
      </c>
      <c r="Q402" t="inlineStr">
        <is>
          <t>U,G</t>
        </is>
      </c>
      <c r="U402" t="n">
        <v>28631.4</v>
      </c>
      <c r="V402" t="n">
        <v>0.083333</v>
      </c>
      <c r="W402" t="inlineStr">
        <is>
          <t>CNY</t>
        </is>
      </c>
      <c r="X402" t="n">
        <v>1</v>
      </c>
      <c r="Y402" t="n">
        <v>28195.45</v>
      </c>
      <c r="Z402" t="n">
        <v>0</v>
      </c>
      <c r="AA402" t="n">
        <v>28631.4</v>
      </c>
      <c r="AB402" t="n">
        <v>68695</v>
      </c>
      <c r="AC402" t="n">
        <v>0</v>
      </c>
      <c r="AF402" t="n">
        <v>0</v>
      </c>
      <c r="AG402" t="n">
        <v>97326.39999999999</v>
      </c>
      <c r="AH402" t="n">
        <v>3.451847727204212</v>
      </c>
      <c r="AI402" t="n">
        <v>97326.39999999999</v>
      </c>
      <c r="AJ402" t="n">
        <v>3.451847727204212</v>
      </c>
      <c r="AK402" t="n">
        <v>3.451847727204212</v>
      </c>
      <c r="AQ402" t="n">
        <v>97326.39999999999</v>
      </c>
      <c r="AR402" t="n">
        <v>3.451847727204212</v>
      </c>
      <c r="AS402" t="n">
        <v>0.8213198312236286</v>
      </c>
      <c r="BL402" t="n">
        <v>1</v>
      </c>
      <c r="BM402" t="n">
        <v>25125</v>
      </c>
      <c r="BN402" t="n">
        <v>0</v>
      </c>
      <c r="BO402" t="n">
        <v>27590</v>
      </c>
      <c r="BP402" t="inlineStr">
        <is>
          <t>G,G</t>
        </is>
      </c>
      <c r="BQ402" t="inlineStr">
        <is>
          <t>T1</t>
        </is>
      </c>
      <c r="BR402" t="n">
        <v>90305</v>
      </c>
      <c r="BS402" t="n">
        <v>3.594228855721393</v>
      </c>
      <c r="BT402" t="n">
        <v>28195</v>
      </c>
      <c r="BU402" t="n">
        <v>118500</v>
      </c>
      <c r="BV402" t="n">
        <v>4.716417910447761</v>
      </c>
      <c r="BY402" t="n">
        <v>118500</v>
      </c>
      <c r="BZ402" t="n">
        <v>4.716417910447761</v>
      </c>
      <c r="CP402" t="inlineStr">
        <is>
          <t>FiT财务管理</t>
        </is>
      </c>
      <c r="CQ402" t="inlineStr">
        <is>
          <t>3,1</t>
        </is>
      </c>
      <c r="CR402" t="n">
        <v>8</v>
      </c>
      <c r="CS402" t="inlineStr">
        <is>
          <t>T1</t>
        </is>
      </c>
      <c r="CT402" t="inlineStr">
        <is>
          <t>N</t>
        </is>
      </c>
    </row>
    <row r="403">
      <c r="A403" t="inlineStr">
        <is>
          <t>judithHong(洪璐茜)</t>
        </is>
      </c>
      <c r="C403" t="n">
        <v>86943353</v>
      </c>
      <c r="D403" t="inlineStr">
        <is>
          <t>风险管理和内部控制</t>
        </is>
      </c>
      <c r="E403" t="inlineStr">
        <is>
          <t>集团风控组</t>
        </is>
      </c>
      <c r="G403" t="inlineStr">
        <is>
          <t>S2职能系统－财经线/风险管理和内部控制/集团风控组</t>
        </is>
      </c>
      <c r="H403" s="188" t="n">
        <v>43084</v>
      </c>
      <c r="I403" t="inlineStr">
        <is>
          <t>社会招聘</t>
        </is>
      </c>
      <c r="J403" t="inlineStr">
        <is>
          <t>财经类－FN</t>
        </is>
      </c>
      <c r="K403" t="inlineStr">
        <is>
          <t>风险管理</t>
        </is>
      </c>
      <c r="L403" t="inlineStr">
        <is>
          <t>S10</t>
        </is>
      </c>
      <c r="N403" t="inlineStr">
        <is>
          <t>Others</t>
        </is>
      </c>
      <c r="Q403" t="inlineStr">
        <is>
          <t>G,O</t>
        </is>
      </c>
      <c r="U403" t="n">
        <v>44800.8</v>
      </c>
      <c r="V403" t="n">
        <v>0.083333</v>
      </c>
      <c r="W403" t="inlineStr">
        <is>
          <t>CNY</t>
        </is>
      </c>
      <c r="X403" t="n">
        <v>1</v>
      </c>
      <c r="Y403" t="n">
        <v>40613.72</v>
      </c>
      <c r="Z403" t="n">
        <v>0</v>
      </c>
      <c r="AA403" t="n">
        <v>134402.4</v>
      </c>
      <c r="AB403" t="n">
        <v>34745</v>
      </c>
      <c r="AC403" t="n">
        <v>0</v>
      </c>
      <c r="AF403" t="n">
        <v>0</v>
      </c>
      <c r="AG403" t="n">
        <v>169147.4</v>
      </c>
      <c r="AH403" t="n">
        <v>4.164784708221753</v>
      </c>
      <c r="AI403" t="n">
        <v>169147.4</v>
      </c>
      <c r="AJ403" t="n">
        <v>4.164784708221753</v>
      </c>
      <c r="AK403" t="n">
        <v>4.164784708221753</v>
      </c>
      <c r="AQ403" t="n">
        <v>169147.4</v>
      </c>
      <c r="AR403" t="n">
        <v>4.164784708221753</v>
      </c>
      <c r="AS403" t="n">
        <v>1.648047936863643</v>
      </c>
      <c r="BL403" t="n">
        <v>1</v>
      </c>
      <c r="BM403" t="n">
        <v>40260</v>
      </c>
      <c r="BN403" t="n">
        <v>0</v>
      </c>
      <c r="BO403" t="n">
        <v>43050</v>
      </c>
      <c r="BP403" t="inlineStr">
        <is>
          <t>U,G</t>
        </is>
      </c>
      <c r="BQ403" t="inlineStr">
        <is>
          <t>T1</t>
        </is>
      </c>
      <c r="BR403" t="n">
        <v>102635</v>
      </c>
      <c r="BS403" t="n">
        <v>2.549304520615996</v>
      </c>
      <c r="BT403" t="n">
        <v>0</v>
      </c>
      <c r="BU403" t="n">
        <v>102635</v>
      </c>
      <c r="BV403" t="n">
        <v>2.549304520615996</v>
      </c>
      <c r="BY403" t="n">
        <v>102635</v>
      </c>
      <c r="BZ403" t="n">
        <v>2.549304520615996</v>
      </c>
      <c r="CP403" t="inlineStr">
        <is>
          <t>风险管理和内部控制</t>
        </is>
      </c>
      <c r="CQ403" t="inlineStr">
        <is>
          <t>5,3</t>
        </is>
      </c>
      <c r="CR403" t="n">
        <v>10</v>
      </c>
      <c r="CS403" t="inlineStr">
        <is>
          <t>Others</t>
        </is>
      </c>
      <c r="CT403" t="inlineStr">
        <is>
          <t>N</t>
        </is>
      </c>
    </row>
    <row r="404">
      <c r="A404" t="inlineStr">
        <is>
          <t>charlesJia(贾宇)</t>
        </is>
      </c>
      <c r="C404" t="n">
        <v>95935375</v>
      </c>
      <c r="D404" t="inlineStr">
        <is>
          <t>CDG财务管理</t>
        </is>
      </c>
      <c r="E404" t="inlineStr">
        <is>
          <t>综合财务管理中心</t>
        </is>
      </c>
      <c r="G404" t="inlineStr">
        <is>
          <t>S2职能系统－财经线/CDG财务管理/综合财务管理中心</t>
        </is>
      </c>
      <c r="H404" s="188" t="n">
        <v>36514</v>
      </c>
      <c r="I404" t="inlineStr">
        <is>
          <t>社会招聘</t>
        </is>
      </c>
      <c r="J404" t="inlineStr">
        <is>
          <t>财经类－FN</t>
        </is>
      </c>
      <c r="K404" t="inlineStr">
        <is>
          <t>财务管理</t>
        </is>
      </c>
      <c r="L404" t="inlineStr">
        <is>
          <t>S8</t>
        </is>
      </c>
      <c r="N404" t="inlineStr">
        <is>
          <t>T2</t>
        </is>
      </c>
      <c r="Q404" t="inlineStr">
        <is>
          <t>O,G</t>
        </is>
      </c>
      <c r="U404" t="n">
        <v>31824.85</v>
      </c>
      <c r="V404" t="n">
        <v>0.083333</v>
      </c>
      <c r="W404" t="inlineStr">
        <is>
          <t>CNY</t>
        </is>
      </c>
      <c r="X404" t="n">
        <v>1</v>
      </c>
      <c r="Y404" t="n">
        <v>29139.35</v>
      </c>
      <c r="Z404" t="n">
        <v>0</v>
      </c>
      <c r="AA404" t="n">
        <v>95474.55</v>
      </c>
      <c r="AB404" t="n">
        <v>39800</v>
      </c>
      <c r="AC404" t="n">
        <v>0</v>
      </c>
      <c r="AF404" t="n">
        <v>0</v>
      </c>
      <c r="AG404" t="n">
        <v>135274.55</v>
      </c>
      <c r="AH404" t="n">
        <v>4.642332447360699</v>
      </c>
      <c r="AI404" t="n">
        <v>135274.55</v>
      </c>
      <c r="AJ404" t="n">
        <v>4.642332447360699</v>
      </c>
      <c r="AK404" t="n">
        <v>4.642332447360699</v>
      </c>
      <c r="AQ404" t="n">
        <v>135274.55</v>
      </c>
      <c r="AR404" t="n">
        <v>4.642332447360699</v>
      </c>
      <c r="AS404" t="n">
        <v>1.28508573599962</v>
      </c>
      <c r="BL404" t="n">
        <v>1</v>
      </c>
      <c r="BM404" t="n">
        <v>28410</v>
      </c>
      <c r="BN404" t="n">
        <v>0</v>
      </c>
      <c r="BO404" t="n">
        <v>30290</v>
      </c>
      <c r="BP404" t="inlineStr">
        <is>
          <t>G,G</t>
        </is>
      </c>
      <c r="BQ404" t="inlineStr">
        <is>
          <t>T2</t>
        </is>
      </c>
      <c r="BR404" t="n">
        <v>105265</v>
      </c>
      <c r="BS404" t="n">
        <v>3.705209433298135</v>
      </c>
      <c r="BT404" t="n">
        <v>0</v>
      </c>
      <c r="BU404" t="n">
        <v>105265</v>
      </c>
      <c r="BV404" t="n">
        <v>3.705209433298135</v>
      </c>
      <c r="BY404" t="n">
        <v>105265</v>
      </c>
      <c r="BZ404" t="n">
        <v>3.705209433298135</v>
      </c>
      <c r="CP404" t="inlineStr">
        <is>
          <t>CDG财务管理</t>
        </is>
      </c>
      <c r="CQ404" t="inlineStr">
        <is>
          <t>5,3</t>
        </is>
      </c>
      <c r="CR404" t="n">
        <v>8</v>
      </c>
      <c r="CS404" t="inlineStr">
        <is>
          <t>T2</t>
        </is>
      </c>
      <c r="CT404" t="inlineStr">
        <is>
          <t>N</t>
        </is>
      </c>
    </row>
    <row r="405">
      <c r="A405" t="inlineStr">
        <is>
          <t>ryanWei(韦荣)</t>
        </is>
      </c>
      <c r="C405" t="n">
        <v>88478782</v>
      </c>
      <c r="D405" t="inlineStr">
        <is>
          <t>财经IT管理部</t>
        </is>
      </c>
      <c r="E405" t="inlineStr">
        <is>
          <t>平台建设中心</t>
        </is>
      </c>
      <c r="G405" t="inlineStr">
        <is>
          <t>S2职能系统－财经线/财经IT管理部/平台建设中心</t>
        </is>
      </c>
      <c r="H405" s="188" t="n">
        <v>39069</v>
      </c>
      <c r="I405" t="inlineStr">
        <is>
          <t>社会招聘</t>
        </is>
      </c>
      <c r="J405" t="inlineStr">
        <is>
          <t>技术研发类－TRD</t>
        </is>
      </c>
      <c r="K405" t="inlineStr">
        <is>
          <t>应用开发</t>
        </is>
      </c>
      <c r="L405" t="inlineStr">
        <is>
          <t>T5</t>
        </is>
      </c>
      <c r="N405" t="inlineStr">
        <is>
          <t>T1#</t>
        </is>
      </c>
      <c r="Q405" t="inlineStr">
        <is>
          <t>G,U</t>
        </is>
      </c>
      <c r="U405" t="n">
        <v>31038.9</v>
      </c>
      <c r="V405" t="n">
        <v>0.083333</v>
      </c>
      <c r="W405" t="inlineStr">
        <is>
          <t>CNY</t>
        </is>
      </c>
      <c r="X405" t="n">
        <v>1</v>
      </c>
      <c r="Y405" t="n">
        <v>29915.41</v>
      </c>
      <c r="Z405" t="n">
        <v>0</v>
      </c>
      <c r="AA405" t="n">
        <v>31038.9</v>
      </c>
      <c r="AB405" t="n">
        <v>98295</v>
      </c>
      <c r="AC405" t="n">
        <v>0</v>
      </c>
      <c r="AF405" t="n">
        <v>0</v>
      </c>
      <c r="AG405" t="n">
        <v>129333.9</v>
      </c>
      <c r="AH405" t="n">
        <v>4.323320322201835</v>
      </c>
      <c r="AI405" t="n">
        <v>129333.9</v>
      </c>
      <c r="AJ405" t="n">
        <v>4.323320322201835</v>
      </c>
      <c r="AK405" t="n">
        <v>4.323320322201835</v>
      </c>
      <c r="AQ405" t="n">
        <v>129333.9</v>
      </c>
      <c r="AR405" t="n">
        <v>4.323320322201835</v>
      </c>
      <c r="AS405" t="n">
        <v>0.5541891805034815</v>
      </c>
      <c r="BL405" t="n">
        <v>1</v>
      </c>
      <c r="BM405" t="n">
        <v>27900</v>
      </c>
      <c r="BN405" t="n">
        <v>0</v>
      </c>
      <c r="BO405" t="n">
        <v>29450</v>
      </c>
      <c r="BP405" t="inlineStr">
        <is>
          <t>G,O</t>
        </is>
      </c>
      <c r="BQ405" t="inlineStr">
        <is>
          <t>T1#</t>
        </is>
      </c>
      <c r="BR405" t="n">
        <v>187880</v>
      </c>
      <c r="BS405" t="n">
        <v>6.73405017921147</v>
      </c>
      <c r="BT405" t="n">
        <v>45495</v>
      </c>
      <c r="BU405" t="n">
        <v>233375</v>
      </c>
      <c r="BV405" t="n">
        <v>8.364695340501791</v>
      </c>
      <c r="BY405" t="n">
        <v>233375</v>
      </c>
      <c r="BZ405" t="n">
        <v>8.364695340501791</v>
      </c>
      <c r="CP405" t="inlineStr">
        <is>
          <t>财经IT管理部</t>
        </is>
      </c>
      <c r="CQ405" t="inlineStr">
        <is>
          <t>3,1</t>
        </is>
      </c>
      <c r="CR405" t="n">
        <v>5</v>
      </c>
      <c r="CS405" t="inlineStr">
        <is>
          <t>T1#</t>
        </is>
      </c>
      <c r="CT405" t="inlineStr">
        <is>
          <t>N</t>
        </is>
      </c>
    </row>
    <row r="406">
      <c r="A406" t="inlineStr">
        <is>
          <t>raymondWei(韦熙)</t>
        </is>
      </c>
      <c r="C406" t="n">
        <v>55954453</v>
      </c>
      <c r="D406" t="inlineStr">
        <is>
          <t>财经投资并购及管理部</t>
        </is>
      </c>
      <c r="E406" t="inlineStr">
        <is>
          <t>行业及项目管理中心</t>
        </is>
      </c>
      <c r="G406" t="inlineStr">
        <is>
          <t>S2职能系统－财经线/财经投资并购及管理部/行业及项目管理中心</t>
        </is>
      </c>
      <c r="H406" s="188" t="n">
        <v>44626</v>
      </c>
      <c r="I406" t="inlineStr">
        <is>
          <t>高校招聘</t>
        </is>
      </c>
      <c r="J406" t="inlineStr">
        <is>
          <t>财经类－FN</t>
        </is>
      </c>
      <c r="K406" t="inlineStr">
        <is>
          <t>投资并购</t>
        </is>
      </c>
      <c r="M406" t="inlineStr">
        <is>
          <t>L3-2</t>
        </is>
      </c>
      <c r="N406" t="inlineStr">
        <is>
          <t>T1#</t>
        </is>
      </c>
      <c r="Q406" t="inlineStr">
        <is>
          <t>G,O</t>
        </is>
      </c>
      <c r="U406" t="n">
        <v>63934.5</v>
      </c>
      <c r="V406" t="n">
        <v>0.083333</v>
      </c>
      <c r="W406" t="inlineStr">
        <is>
          <t>CNY</t>
        </is>
      </c>
      <c r="X406" t="n">
        <v>1</v>
      </c>
      <c r="Y406" t="n">
        <v>62127.06</v>
      </c>
      <c r="Z406" t="n">
        <v>0</v>
      </c>
      <c r="AA406" t="n">
        <v>191803.5</v>
      </c>
      <c r="AB406" t="n">
        <v>203100</v>
      </c>
      <c r="AC406" t="n">
        <v>99390</v>
      </c>
      <c r="AF406" t="n">
        <v>37795</v>
      </c>
      <c r="AG406" t="n">
        <v>494293.5</v>
      </c>
      <c r="AH406" t="n">
        <v>7.956170789346865</v>
      </c>
      <c r="AI406" t="n">
        <v>532088.5</v>
      </c>
      <c r="AJ406" t="n">
        <v>8.564520838423707</v>
      </c>
      <c r="AK406" t="n">
        <v>6.964734851447984</v>
      </c>
      <c r="AQ406" t="n">
        <v>532088.5</v>
      </c>
      <c r="AR406" t="n">
        <v>8.564520838423707</v>
      </c>
      <c r="AS406" t="n">
        <v>1.980896094709802</v>
      </c>
      <c r="BL406" t="n">
        <v>1</v>
      </c>
      <c r="BM406" t="n">
        <v>54825</v>
      </c>
      <c r="BN406" t="n">
        <v>0</v>
      </c>
      <c r="BO406" t="n">
        <v>60235</v>
      </c>
      <c r="BP406" t="inlineStr">
        <is>
          <t>U,G</t>
        </is>
      </c>
      <c r="BQ406" t="inlineStr">
        <is>
          <t>T1#</t>
        </is>
      </c>
      <c r="BR406" t="n">
        <v>268610</v>
      </c>
      <c r="BS406" t="n">
        <v>4.899407204742362</v>
      </c>
      <c r="BT406" t="n">
        <v>0</v>
      </c>
      <c r="BU406" t="n">
        <v>268610</v>
      </c>
      <c r="BV406" t="n">
        <v>4.899407204742362</v>
      </c>
      <c r="BY406" t="n">
        <v>268610</v>
      </c>
      <c r="BZ406" t="n">
        <v>4.899407204742362</v>
      </c>
      <c r="CP406" t="inlineStr">
        <is>
          <t>财经投资并购及管理部</t>
        </is>
      </c>
      <c r="CQ406" t="inlineStr">
        <is>
          <t>5,3</t>
        </is>
      </c>
      <c r="CR406" t="inlineStr">
        <is>
          <t>L3-2</t>
        </is>
      </c>
      <c r="CS406" t="inlineStr">
        <is>
          <t>T1#</t>
        </is>
      </c>
      <c r="CT406" t="inlineStr">
        <is>
          <t>N</t>
        </is>
      </c>
    </row>
    <row r="407">
      <c r="A407" t="inlineStr">
        <is>
          <t>russellTian(田伟)</t>
        </is>
      </c>
      <c r="C407" t="n">
        <v>21696150</v>
      </c>
      <c r="D407" t="inlineStr">
        <is>
          <t>风险管理和内部控制</t>
        </is>
      </c>
      <c r="E407" t="inlineStr">
        <is>
          <t>PCG风控中心</t>
        </is>
      </c>
      <c r="G407" t="inlineStr">
        <is>
          <t>S2职能系统－财经线/风险管理和内部控制/PCG风控中心</t>
        </is>
      </c>
      <c r="H407" s="188" t="n">
        <v>43121</v>
      </c>
      <c r="I407" t="inlineStr">
        <is>
          <t>高校招聘</t>
        </is>
      </c>
      <c r="J407" t="inlineStr">
        <is>
          <t>财经类－FN</t>
        </is>
      </c>
      <c r="K407" t="inlineStr">
        <is>
          <t>风险管理</t>
        </is>
      </c>
      <c r="L407" t="inlineStr">
        <is>
          <t>S10</t>
        </is>
      </c>
      <c r="N407" t="inlineStr">
        <is>
          <t>Others</t>
        </is>
      </c>
      <c r="Q407" t="inlineStr">
        <is>
          <t>G,G</t>
        </is>
      </c>
      <c r="U407" t="n">
        <v>37807.3</v>
      </c>
      <c r="V407" t="n">
        <v>0.083333</v>
      </c>
      <c r="W407" t="inlineStr">
        <is>
          <t>CNY</t>
        </is>
      </c>
      <c r="X407" t="n">
        <v>1</v>
      </c>
      <c r="Y407" t="n">
        <v>34735.56</v>
      </c>
      <c r="Z407" t="n">
        <v>0</v>
      </c>
      <c r="AA407" t="n">
        <v>75614.60000000001</v>
      </c>
      <c r="AB407" t="n">
        <v>25110</v>
      </c>
      <c r="AC407" t="n">
        <v>0</v>
      </c>
      <c r="AF407" t="n">
        <v>0</v>
      </c>
      <c r="AG407" t="n">
        <v>100724.6</v>
      </c>
      <c r="AH407" t="n">
        <v>2.899754603063835</v>
      </c>
      <c r="AI407" t="n">
        <v>100724.6</v>
      </c>
      <c r="AJ407" t="n">
        <v>2.899754603063835</v>
      </c>
      <c r="AK407" t="n">
        <v>2.899754603063835</v>
      </c>
      <c r="AQ407" t="n">
        <v>100724.6</v>
      </c>
      <c r="AR407" t="n">
        <v>2.899754603063835</v>
      </c>
      <c r="AS407" t="n">
        <v>0.6854345015311331</v>
      </c>
      <c r="BL407" t="n">
        <v>1</v>
      </c>
      <c r="BM407" t="n">
        <v>32100</v>
      </c>
      <c r="BN407" t="n">
        <v>0</v>
      </c>
      <c r="BO407" t="n">
        <v>33000</v>
      </c>
      <c r="BP407" t="inlineStr">
        <is>
          <t>G,O</t>
        </is>
      </c>
      <c r="BQ407" t="inlineStr">
        <is>
          <t>Others</t>
        </is>
      </c>
      <c r="BR407" t="n">
        <v>146950</v>
      </c>
      <c r="BS407" t="n">
        <v>4.577881619937695</v>
      </c>
      <c r="BT407" t="n">
        <v>0</v>
      </c>
      <c r="BU407" t="n">
        <v>146950</v>
      </c>
      <c r="BV407" t="n">
        <v>4.577881619937695</v>
      </c>
      <c r="BY407" t="n">
        <v>146950</v>
      </c>
      <c r="BZ407" t="n">
        <v>4.577881619937695</v>
      </c>
      <c r="CP407" t="inlineStr">
        <is>
          <t>风险管理和内部控制</t>
        </is>
      </c>
      <c r="CQ407" t="inlineStr">
        <is>
          <t>3,3</t>
        </is>
      </c>
      <c r="CR407" t="n">
        <v>10</v>
      </c>
      <c r="CS407" t="inlineStr">
        <is>
          <t>Others</t>
        </is>
      </c>
      <c r="CT407" t="inlineStr">
        <is>
          <t>N</t>
        </is>
      </c>
    </row>
    <row r="408">
      <c r="A408" t="inlineStr">
        <is>
          <t>paulKang(康龙骏)</t>
        </is>
      </c>
      <c r="C408" t="n">
        <v>72934521</v>
      </c>
      <c r="D408" t="inlineStr">
        <is>
          <t>CSIG财务管理</t>
        </is>
      </c>
      <c r="E408" t="inlineStr">
        <is>
          <t>综合财务管理中心</t>
        </is>
      </c>
      <c r="G408" t="inlineStr">
        <is>
          <t>S2职能系统－财经线/CSIG财务管理/综合财务管理中心</t>
        </is>
      </c>
      <c r="H408" s="188" t="n">
        <v>43896</v>
      </c>
      <c r="I408" t="inlineStr">
        <is>
          <t>社会招聘</t>
        </is>
      </c>
      <c r="J408" t="inlineStr">
        <is>
          <t>财经类－FN</t>
        </is>
      </c>
      <c r="K408" t="inlineStr">
        <is>
          <t>财务管理</t>
        </is>
      </c>
      <c r="L408" t="inlineStr">
        <is>
          <t>S7</t>
        </is>
      </c>
      <c r="N408" t="inlineStr">
        <is>
          <t>T1#</t>
        </is>
      </c>
      <c r="Q408" t="inlineStr">
        <is>
          <t>G,G</t>
        </is>
      </c>
      <c r="U408" t="n">
        <v>33627.4</v>
      </c>
      <c r="V408" t="n">
        <v>0.083333</v>
      </c>
      <c r="W408" t="inlineStr">
        <is>
          <t>CNY</t>
        </is>
      </c>
      <c r="X408" t="n">
        <v>1</v>
      </c>
      <c r="Y408" t="n">
        <v>32732.33</v>
      </c>
      <c r="Z408" t="n">
        <v>0</v>
      </c>
      <c r="AA408" t="n">
        <v>67254.8</v>
      </c>
      <c r="AB408" t="n">
        <v>114485</v>
      </c>
      <c r="AC408" t="n">
        <v>36205</v>
      </c>
      <c r="AF408" t="n">
        <v>0</v>
      </c>
      <c r="AG408" t="n">
        <v>217944.8</v>
      </c>
      <c r="AH408" t="n">
        <v>6.658395537378487</v>
      </c>
      <c r="AI408" t="n">
        <v>217944.8</v>
      </c>
      <c r="AJ408" t="n">
        <v>6.658395537378487</v>
      </c>
      <c r="AK408" t="n">
        <v>5.552302570577774</v>
      </c>
      <c r="AQ408" t="n">
        <v>217944.8</v>
      </c>
      <c r="AR408" t="n">
        <v>6.658395537378487</v>
      </c>
      <c r="AS408" t="n">
        <v>1.004076292269419</v>
      </c>
      <c r="BL408" t="n">
        <v>1</v>
      </c>
      <c r="BM408" t="n">
        <v>29525</v>
      </c>
      <c r="BN408" t="n">
        <v>0</v>
      </c>
      <c r="BO408" t="n">
        <v>32150</v>
      </c>
      <c r="BP408" t="inlineStr">
        <is>
          <t>G,G</t>
        </is>
      </c>
      <c r="BQ408" t="inlineStr">
        <is>
          <t>T1#</t>
        </is>
      </c>
      <c r="BR408" t="n">
        <v>164275</v>
      </c>
      <c r="BS408" t="n">
        <v>5.563928873835732</v>
      </c>
      <c r="BT408" t="n">
        <v>52785</v>
      </c>
      <c r="BU408" t="n">
        <v>217060</v>
      </c>
      <c r="BV408" t="n">
        <v>7.351735817104149</v>
      </c>
      <c r="BY408" t="n">
        <v>217060</v>
      </c>
      <c r="BZ408" t="n">
        <v>7.351735817104149</v>
      </c>
      <c r="CP408" t="inlineStr">
        <is>
          <t>CSIG财务管理</t>
        </is>
      </c>
      <c r="CQ408" t="inlineStr">
        <is>
          <t>3,3</t>
        </is>
      </c>
      <c r="CR408" t="n">
        <v>7</v>
      </c>
      <c r="CS408" t="inlineStr">
        <is>
          <t>T1#</t>
        </is>
      </c>
      <c r="CT408" t="inlineStr">
        <is>
          <t>N</t>
        </is>
      </c>
    </row>
    <row r="409">
      <c r="A409" t="inlineStr">
        <is>
          <t>tylerHuang(黄哲成)</t>
        </is>
      </c>
      <c r="C409" t="n">
        <v>35181081</v>
      </c>
      <c r="D409" t="inlineStr">
        <is>
          <t>财会及报告管理部</t>
        </is>
      </c>
      <c r="E409" t="inlineStr">
        <is>
          <t>供应商支付管理中心</t>
        </is>
      </c>
      <c r="G409" t="inlineStr">
        <is>
          <t>S2职能系统－财经线/财会及报告管理部/供应商支付管理中心</t>
        </is>
      </c>
      <c r="H409" s="188" t="n">
        <v>43861</v>
      </c>
      <c r="I409" t="inlineStr">
        <is>
          <t>高校招聘</t>
        </is>
      </c>
      <c r="J409" t="inlineStr">
        <is>
          <t>财经类－FN</t>
        </is>
      </c>
      <c r="K409" t="inlineStr">
        <is>
          <t>会计</t>
        </is>
      </c>
      <c r="L409" t="inlineStr">
        <is>
          <t>S9</t>
        </is>
      </c>
      <c r="N409" t="inlineStr">
        <is>
          <t>T2</t>
        </is>
      </c>
      <c r="Q409" t="inlineStr">
        <is>
          <t>G,G</t>
        </is>
      </c>
      <c r="U409" t="n">
        <v>56092.3</v>
      </c>
      <c r="V409" t="n">
        <v>0.083333</v>
      </c>
      <c r="W409" t="inlineStr">
        <is>
          <t>CNY</t>
        </is>
      </c>
      <c r="X409" t="n">
        <v>1</v>
      </c>
      <c r="Y409" t="n">
        <v>53475.04</v>
      </c>
      <c r="Z409" t="n">
        <v>0</v>
      </c>
      <c r="AA409" t="n">
        <v>112184.6</v>
      </c>
      <c r="AB409" t="n">
        <v>65020</v>
      </c>
      <c r="AC409" t="n">
        <v>0</v>
      </c>
      <c r="AF409" t="n">
        <v>0</v>
      </c>
      <c r="AG409" t="n">
        <v>177204.6</v>
      </c>
      <c r="AH409" t="n">
        <v>3.313781532468232</v>
      </c>
      <c r="AI409" t="n">
        <v>177204.6</v>
      </c>
      <c r="AJ409" t="n">
        <v>3.313781532468232</v>
      </c>
      <c r="AK409" t="n">
        <v>3.313781532468232</v>
      </c>
      <c r="AQ409" t="n">
        <v>177204.6</v>
      </c>
      <c r="AR409" t="n">
        <v>3.313781532468232</v>
      </c>
      <c r="AS409" t="n">
        <v>1.192614328498839</v>
      </c>
      <c r="BL409" t="n">
        <v>1</v>
      </c>
      <c r="BM409" t="n">
        <v>47885</v>
      </c>
      <c r="BN409" t="n">
        <v>0</v>
      </c>
      <c r="BO409" t="n">
        <v>48230</v>
      </c>
      <c r="BP409" t="inlineStr">
        <is>
          <t>G,G</t>
        </is>
      </c>
      <c r="BQ409" t="inlineStr">
        <is>
          <t>T2</t>
        </is>
      </c>
      <c r="BR409" t="n">
        <v>148585</v>
      </c>
      <c r="BS409" t="n">
        <v>3.102954996345411</v>
      </c>
      <c r="BT409" t="n">
        <v>0</v>
      </c>
      <c r="BU409" t="n">
        <v>148585</v>
      </c>
      <c r="BV409" t="n">
        <v>3.102954996345411</v>
      </c>
      <c r="BY409" t="n">
        <v>148585</v>
      </c>
      <c r="BZ409" t="n">
        <v>3.102954996345411</v>
      </c>
      <c r="CP409" t="inlineStr">
        <is>
          <t>财会及报告管理部</t>
        </is>
      </c>
      <c r="CQ409" t="inlineStr">
        <is>
          <t>3,3</t>
        </is>
      </c>
      <c r="CR409" t="n">
        <v>9</v>
      </c>
      <c r="CS409" t="inlineStr">
        <is>
          <t>T2</t>
        </is>
      </c>
      <c r="CT409" t="inlineStr">
        <is>
          <t>N</t>
        </is>
      </c>
    </row>
    <row r="410">
      <c r="A410" t="inlineStr">
        <is>
          <t>victoriaXu(徐英)</t>
        </is>
      </c>
      <c r="C410" t="n">
        <v>22937930</v>
      </c>
      <c r="D410" t="inlineStr">
        <is>
          <t>税务部</t>
        </is>
      </c>
      <c r="E410" t="inlineStr">
        <is>
          <t>印章及文档管理组</t>
        </is>
      </c>
      <c r="G410" t="inlineStr">
        <is>
          <t>S2职能系统－财经线/税务部/印章及文档管理组</t>
        </is>
      </c>
      <c r="H410" s="188" t="n">
        <v>38379</v>
      </c>
      <c r="I410" t="inlineStr">
        <is>
          <t>社会招聘</t>
        </is>
      </c>
      <c r="J410" t="inlineStr">
        <is>
          <t>财经类－FN</t>
        </is>
      </c>
      <c r="K410" t="inlineStr">
        <is>
          <t>税务</t>
        </is>
      </c>
      <c r="M410" t="inlineStr">
        <is>
          <t>L2-2</t>
        </is>
      </c>
      <c r="N410" t="inlineStr">
        <is>
          <t>T1</t>
        </is>
      </c>
      <c r="Q410" t="inlineStr">
        <is>
          <t>O,G</t>
        </is>
      </c>
      <c r="U410" t="n">
        <v>63845.25</v>
      </c>
      <c r="V410" t="n">
        <v>0.083333</v>
      </c>
      <c r="W410" t="inlineStr">
        <is>
          <t>CNY</t>
        </is>
      </c>
      <c r="X410" t="n">
        <v>1</v>
      </c>
      <c r="Y410" t="n">
        <v>62194.19</v>
      </c>
      <c r="Z410" t="n">
        <v>0</v>
      </c>
      <c r="AA410" t="n">
        <v>191535.75</v>
      </c>
      <c r="AB410" t="n">
        <v>152715</v>
      </c>
      <c r="AC410" t="n">
        <v>77785</v>
      </c>
      <c r="AF410" t="n">
        <v>5130</v>
      </c>
      <c r="AG410" t="n">
        <v>422035.75</v>
      </c>
      <c r="AH410" t="n">
        <v>6.785774523311582</v>
      </c>
      <c r="AI410" t="n">
        <v>427165.75</v>
      </c>
      <c r="AJ410" t="n">
        <v>6.868258112212732</v>
      </c>
      <c r="AK410" t="n">
        <v>5.617578587324636</v>
      </c>
      <c r="AQ410" t="n">
        <v>427165.75</v>
      </c>
      <c r="AR410" t="n">
        <v>6.868258112212732</v>
      </c>
      <c r="AS410" t="n">
        <v>1.554573658927142</v>
      </c>
      <c r="BL410" t="n">
        <v>1</v>
      </c>
      <c r="BM410" t="n">
        <v>54105</v>
      </c>
      <c r="BN410" t="n">
        <v>0</v>
      </c>
      <c r="BO410" t="n">
        <v>57260</v>
      </c>
      <c r="BP410" t="inlineStr">
        <is>
          <t>G,G</t>
        </is>
      </c>
      <c r="BQ410" t="inlineStr">
        <is>
          <t>T1</t>
        </is>
      </c>
      <c r="BR410" t="n">
        <v>187555</v>
      </c>
      <c r="BS410" t="n">
        <v>3.466500323445153</v>
      </c>
      <c r="BT410" t="n">
        <v>87225</v>
      </c>
      <c r="BU410" t="n">
        <v>274780</v>
      </c>
      <c r="BV410" t="n">
        <v>5.078643378615655</v>
      </c>
      <c r="BY410" t="n">
        <v>274780</v>
      </c>
      <c r="BZ410" t="n">
        <v>5.078643378615655</v>
      </c>
      <c r="CP410" t="inlineStr">
        <is>
          <t>税务部</t>
        </is>
      </c>
      <c r="CQ410" t="inlineStr">
        <is>
          <t>5,3</t>
        </is>
      </c>
      <c r="CR410" t="inlineStr">
        <is>
          <t>L2-2</t>
        </is>
      </c>
      <c r="CS410" t="inlineStr">
        <is>
          <t>T1</t>
        </is>
      </c>
      <c r="CT410" t="inlineStr">
        <is>
          <t>N</t>
        </is>
      </c>
    </row>
    <row r="411">
      <c r="A411" t="inlineStr">
        <is>
          <t>georgeTang(唐睿涛)</t>
        </is>
      </c>
      <c r="C411" t="n">
        <v>20864385</v>
      </c>
      <c r="D411" t="inlineStr">
        <is>
          <t>财会及报告管理部</t>
        </is>
      </c>
      <c r="E411" t="inlineStr">
        <is>
          <t>供应商支付管理中心</t>
        </is>
      </c>
      <c r="G411" t="inlineStr">
        <is>
          <t>S2职能系统－财经线/财会及报告管理部/供应商支付管理中心</t>
        </is>
      </c>
      <c r="H411" s="188" t="n">
        <v>38959</v>
      </c>
      <c r="I411" t="inlineStr">
        <is>
          <t>社会招聘</t>
        </is>
      </c>
      <c r="J411" t="inlineStr">
        <is>
          <t>财经类－FN</t>
        </is>
      </c>
      <c r="K411" t="inlineStr">
        <is>
          <t>会计</t>
        </is>
      </c>
      <c r="L411" t="inlineStr">
        <is>
          <t>S9</t>
        </is>
      </c>
      <c r="N411" t="inlineStr">
        <is>
          <t>T1</t>
        </is>
      </c>
      <c r="Q411" t="inlineStr">
        <is>
          <t>G,O</t>
        </is>
      </c>
      <c r="U411" t="n">
        <v>48810.35</v>
      </c>
      <c r="V411" t="n">
        <v>0.083333</v>
      </c>
      <c r="W411" t="inlineStr">
        <is>
          <t>CNY</t>
        </is>
      </c>
      <c r="X411" t="n">
        <v>1</v>
      </c>
      <c r="Y411" t="n">
        <v>44445.97</v>
      </c>
      <c r="Z411" t="n">
        <v>0</v>
      </c>
      <c r="AA411" t="n">
        <v>146431.05</v>
      </c>
      <c r="AB411" t="n">
        <v>107210</v>
      </c>
      <c r="AC411" t="n">
        <v>95565</v>
      </c>
      <c r="AF411" t="n">
        <v>0</v>
      </c>
      <c r="AG411" t="n">
        <v>349206.05</v>
      </c>
      <c r="AH411" t="n">
        <v>7.856866438059513</v>
      </c>
      <c r="AI411" t="n">
        <v>349206.05</v>
      </c>
      <c r="AJ411" t="n">
        <v>7.856866438059513</v>
      </c>
      <c r="AK411" t="n">
        <v>5.70672774157027</v>
      </c>
      <c r="AQ411" t="n">
        <v>349206.05</v>
      </c>
      <c r="AR411" t="n">
        <v>7.856866438059513</v>
      </c>
      <c r="AS411" t="n">
        <v>1.87639262781763</v>
      </c>
      <c r="BL411" t="n">
        <v>1</v>
      </c>
      <c r="BM411" t="n">
        <v>41110</v>
      </c>
      <c r="BN411" t="n">
        <v>0</v>
      </c>
      <c r="BO411" t="n">
        <v>44735</v>
      </c>
      <c r="BP411" t="inlineStr">
        <is>
          <t>G,G</t>
        </is>
      </c>
      <c r="BQ411" t="inlineStr">
        <is>
          <t>T1</t>
        </is>
      </c>
      <c r="BR411" t="n">
        <v>141210</v>
      </c>
      <c r="BS411" t="n">
        <v>3.434930673801995</v>
      </c>
      <c r="BT411" t="n">
        <v>44895</v>
      </c>
      <c r="BU411" t="n">
        <v>186105</v>
      </c>
      <c r="BV411" t="n">
        <v>4.527000729749453</v>
      </c>
      <c r="BY411" t="n">
        <v>186105</v>
      </c>
      <c r="BZ411" t="n">
        <v>4.527000729749453</v>
      </c>
      <c r="CP411" t="inlineStr">
        <is>
          <t>财会及报告管理部</t>
        </is>
      </c>
      <c r="CQ411" t="inlineStr">
        <is>
          <t>5,3</t>
        </is>
      </c>
      <c r="CR411" t="n">
        <v>9</v>
      </c>
      <c r="CS411" t="inlineStr">
        <is>
          <t>T1</t>
        </is>
      </c>
      <c r="CT411" t="inlineStr">
        <is>
          <t>N</t>
        </is>
      </c>
    </row>
    <row r="412">
      <c r="A412" t="inlineStr">
        <is>
          <t>dylanCao(曹坚韬)</t>
        </is>
      </c>
      <c r="C412" t="n">
        <v>61388878</v>
      </c>
      <c r="D412" t="inlineStr">
        <is>
          <t>税务部</t>
        </is>
      </c>
      <c r="E412" t="inlineStr">
        <is>
          <t>BG税务组</t>
        </is>
      </c>
      <c r="G412" t="inlineStr">
        <is>
          <t>S2职能系统－财经线/税务部/BG税务组</t>
        </is>
      </c>
      <c r="H412" s="188" t="n">
        <v>42650</v>
      </c>
      <c r="I412" t="inlineStr">
        <is>
          <t>社会招聘</t>
        </is>
      </c>
      <c r="J412" t="inlineStr">
        <is>
          <t>财经类－FN</t>
        </is>
      </c>
      <c r="K412" t="inlineStr">
        <is>
          <t>税务</t>
        </is>
      </c>
      <c r="L412" t="inlineStr">
        <is>
          <t>S6</t>
        </is>
      </c>
      <c r="N412" t="inlineStr">
        <is>
          <t>T1</t>
        </is>
      </c>
      <c r="Q412" t="inlineStr">
        <is>
          <t>U,G</t>
        </is>
      </c>
      <c r="U412" t="n">
        <v>22305</v>
      </c>
      <c r="V412" t="n">
        <v>0.083333</v>
      </c>
      <c r="W412" t="inlineStr">
        <is>
          <t>CNY</t>
        </is>
      </c>
      <c r="X412" t="n">
        <v>1</v>
      </c>
      <c r="Y412" t="n">
        <v>20120.2</v>
      </c>
      <c r="Z412" t="n">
        <v>0</v>
      </c>
      <c r="AA412" t="n">
        <v>22305</v>
      </c>
      <c r="AB412" t="n">
        <v>47850</v>
      </c>
      <c r="AC412" t="n">
        <v>0</v>
      </c>
      <c r="AF412" t="n">
        <v>0</v>
      </c>
      <c r="AG412" t="n">
        <v>70155</v>
      </c>
      <c r="AH412" t="n">
        <v>3.486794365861174</v>
      </c>
      <c r="AI412" t="n">
        <v>70155</v>
      </c>
      <c r="AJ412" t="n">
        <v>3.486794365861174</v>
      </c>
      <c r="AK412" t="n">
        <v>3.486794365861174</v>
      </c>
      <c r="AQ412" t="n">
        <v>70155</v>
      </c>
      <c r="AR412" t="n">
        <v>3.486794365861174</v>
      </c>
      <c r="AS412" t="n">
        <v>1.145481263776635</v>
      </c>
      <c r="BL412" t="n">
        <v>1</v>
      </c>
      <c r="BM412" t="n">
        <v>18165</v>
      </c>
      <c r="BN412" t="n">
        <v>0</v>
      </c>
      <c r="BO412" t="n">
        <v>19545</v>
      </c>
      <c r="BP412" t="inlineStr">
        <is>
          <t>G,G</t>
        </is>
      </c>
      <c r="BQ412" t="inlineStr">
        <is>
          <t>T2</t>
        </is>
      </c>
      <c r="BR412" t="n">
        <v>61245</v>
      </c>
      <c r="BS412" t="n">
        <v>3.37159372419488</v>
      </c>
      <c r="BT412" t="n">
        <v>0</v>
      </c>
      <c r="BU412" t="n">
        <v>61245</v>
      </c>
      <c r="BV412" t="n">
        <v>3.37159372419488</v>
      </c>
      <c r="BY412" t="n">
        <v>61245</v>
      </c>
      <c r="BZ412" t="n">
        <v>3.37159372419488</v>
      </c>
      <c r="CP412" t="inlineStr">
        <is>
          <t>税务部</t>
        </is>
      </c>
      <c r="CQ412" t="inlineStr">
        <is>
          <t>3,1</t>
        </is>
      </c>
      <c r="CR412" t="n">
        <v>6</v>
      </c>
      <c r="CS412" t="inlineStr">
        <is>
          <t>T1</t>
        </is>
      </c>
      <c r="CT412" t="inlineStr">
        <is>
          <t>N</t>
        </is>
      </c>
    </row>
    <row r="413">
      <c r="A413" t="inlineStr">
        <is>
          <t>claireCui(崔娇)</t>
        </is>
      </c>
      <c r="C413" t="n">
        <v>7826884</v>
      </c>
      <c r="D413" t="inlineStr">
        <is>
          <t>FiT财务管理</t>
        </is>
      </c>
      <c r="E413" t="inlineStr">
        <is>
          <t>财经金融专项中心</t>
        </is>
      </c>
      <c r="G413" t="inlineStr">
        <is>
          <t>S2职能系统－财经线/FiT财务管理/财经金融专项中心</t>
        </is>
      </c>
      <c r="H413" s="188" t="n">
        <v>37006</v>
      </c>
      <c r="I413" t="inlineStr">
        <is>
          <t>社会招聘</t>
        </is>
      </c>
      <c r="J413" t="inlineStr">
        <is>
          <t>财经类－FN</t>
        </is>
      </c>
      <c r="K413" t="inlineStr">
        <is>
          <t>财务管理</t>
        </is>
      </c>
      <c r="L413" t="inlineStr">
        <is>
          <t>S8</t>
        </is>
      </c>
      <c r="N413" t="inlineStr">
        <is>
          <t>T1</t>
        </is>
      </c>
      <c r="Q413" t="inlineStr">
        <is>
          <t>G,G</t>
        </is>
      </c>
      <c r="U413" t="n">
        <v>34455.3</v>
      </c>
      <c r="V413" t="n">
        <v>0.083333</v>
      </c>
      <c r="W413" t="inlineStr">
        <is>
          <t>CNY</t>
        </is>
      </c>
      <c r="X413" t="n">
        <v>1</v>
      </c>
      <c r="Y413" t="n">
        <v>31465.61</v>
      </c>
      <c r="Z413" t="n">
        <v>0</v>
      </c>
      <c r="AA413" t="n">
        <v>68910.60000000001</v>
      </c>
      <c r="AB413" t="n">
        <v>78895</v>
      </c>
      <c r="AC413" t="n">
        <v>39210</v>
      </c>
      <c r="AF413" t="n">
        <v>0</v>
      </c>
      <c r="AG413" t="n">
        <v>187015.6</v>
      </c>
      <c r="AH413" t="n">
        <v>5.943491958363432</v>
      </c>
      <c r="AI413" t="n">
        <v>187015.6</v>
      </c>
      <c r="AJ413" t="n">
        <v>5.943491958363432</v>
      </c>
      <c r="AK413" t="n">
        <v>4.697369604466591</v>
      </c>
      <c r="AQ413" t="n">
        <v>187015.6</v>
      </c>
      <c r="AR413" t="n">
        <v>5.943491958363432</v>
      </c>
      <c r="AS413" t="n">
        <v>1.115013265762409</v>
      </c>
      <c r="BL413" t="n">
        <v>1</v>
      </c>
      <c r="BM413" t="n">
        <v>28950</v>
      </c>
      <c r="BN413" t="n">
        <v>0</v>
      </c>
      <c r="BO413" t="n">
        <v>31355</v>
      </c>
      <c r="BP413" t="inlineStr">
        <is>
          <t>O,G</t>
        </is>
      </c>
      <c r="BQ413" t="inlineStr">
        <is>
          <t>T1</t>
        </is>
      </c>
      <c r="BR413" t="n">
        <v>131845</v>
      </c>
      <c r="BS413" t="n">
        <v>4.554231433506045</v>
      </c>
      <c r="BT413" t="n">
        <v>35880</v>
      </c>
      <c r="BU413" t="n">
        <v>167725</v>
      </c>
      <c r="BV413" t="n">
        <v>5.793609671848014</v>
      </c>
      <c r="BY413" t="n">
        <v>167725</v>
      </c>
      <c r="BZ413" t="n">
        <v>5.793609671848014</v>
      </c>
      <c r="CP413" t="inlineStr">
        <is>
          <t>FiT财务管理</t>
        </is>
      </c>
      <c r="CQ413" t="inlineStr">
        <is>
          <t>3,3</t>
        </is>
      </c>
      <c r="CR413" t="n">
        <v>8</v>
      </c>
      <c r="CS413" t="inlineStr">
        <is>
          <t>T1</t>
        </is>
      </c>
      <c r="CT413" t="inlineStr">
        <is>
          <t>N</t>
        </is>
      </c>
    </row>
    <row r="414">
      <c r="A414" t="inlineStr">
        <is>
          <t>barbaraXu(徐雅)</t>
        </is>
      </c>
      <c r="C414" t="n">
        <v>99360253</v>
      </c>
      <c r="D414" t="inlineStr">
        <is>
          <t>CSIG财务管理</t>
        </is>
      </c>
      <c r="E414" t="inlineStr">
        <is>
          <t>行业财务管理1中心</t>
        </is>
      </c>
      <c r="G414" t="inlineStr">
        <is>
          <t>S2职能系统－财经线/CSIG财务管理/行业财务管理1中心</t>
        </is>
      </c>
      <c r="H414" s="188" t="n">
        <v>39169</v>
      </c>
      <c r="I414" t="inlineStr">
        <is>
          <t>社会招聘</t>
        </is>
      </c>
      <c r="J414" t="inlineStr">
        <is>
          <t>财经类－FN</t>
        </is>
      </c>
      <c r="K414" t="inlineStr">
        <is>
          <t>财务管理</t>
        </is>
      </c>
      <c r="L414" t="inlineStr">
        <is>
          <t>S8</t>
        </is>
      </c>
      <c r="N414" t="inlineStr">
        <is>
          <t>T1#</t>
        </is>
      </c>
      <c r="Q414" t="inlineStr">
        <is>
          <t>G,G</t>
        </is>
      </c>
      <c r="U414" t="n">
        <v>47815.3</v>
      </c>
      <c r="V414" t="n">
        <v>0.083333</v>
      </c>
      <c r="W414" t="inlineStr">
        <is>
          <t>CNY</t>
        </is>
      </c>
      <c r="X414" t="n">
        <v>1</v>
      </c>
      <c r="Y414" t="n">
        <v>44488.28</v>
      </c>
      <c r="Z414" t="n">
        <v>0</v>
      </c>
      <c r="AA414" t="n">
        <v>95630.60000000001</v>
      </c>
      <c r="AB414" t="n">
        <v>162705</v>
      </c>
      <c r="AC414" t="n">
        <v>51600</v>
      </c>
      <c r="AF414" t="n">
        <v>0</v>
      </c>
      <c r="AG414" t="n">
        <v>309935.6</v>
      </c>
      <c r="AH414" t="n">
        <v>6.966679763749014</v>
      </c>
      <c r="AI414" t="n">
        <v>309935.6</v>
      </c>
      <c r="AJ414" t="n">
        <v>6.966679763749014</v>
      </c>
      <c r="AK414" t="n">
        <v>5.806823729755343</v>
      </c>
      <c r="AQ414" t="n">
        <v>309935.6</v>
      </c>
      <c r="AR414" t="n">
        <v>6.966679763749014</v>
      </c>
      <c r="AS414" t="n">
        <v>1.089194004673965</v>
      </c>
      <c r="BL414" t="n">
        <v>1</v>
      </c>
      <c r="BM414" t="n">
        <v>39540</v>
      </c>
      <c r="BN414" t="n">
        <v>0</v>
      </c>
      <c r="BO414" t="n">
        <v>42550</v>
      </c>
      <c r="BP414" t="inlineStr">
        <is>
          <t>G,G</t>
        </is>
      </c>
      <c r="BQ414" t="inlineStr">
        <is>
          <t>T1#</t>
        </is>
      </c>
      <c r="BR414" t="n">
        <v>225995</v>
      </c>
      <c r="BS414" t="n">
        <v>5.715604451188669</v>
      </c>
      <c r="BT414" t="n">
        <v>58560</v>
      </c>
      <c r="BU414" t="n">
        <v>284555</v>
      </c>
      <c r="BV414" t="n">
        <v>7.196636317653009</v>
      </c>
      <c r="BY414" t="n">
        <v>284555</v>
      </c>
      <c r="BZ414" t="n">
        <v>7.196636317653009</v>
      </c>
      <c r="CP414" t="inlineStr">
        <is>
          <t>CSIG财务管理</t>
        </is>
      </c>
      <c r="CQ414" t="inlineStr">
        <is>
          <t>3,3</t>
        </is>
      </c>
      <c r="CR414" t="n">
        <v>8</v>
      </c>
      <c r="CS414" t="inlineStr">
        <is>
          <t>T1#</t>
        </is>
      </c>
      <c r="CT414" t="inlineStr">
        <is>
          <t>N</t>
        </is>
      </c>
    </row>
    <row r="415">
      <c r="A415" t="inlineStr">
        <is>
          <t>robertRen(任安帆)</t>
        </is>
      </c>
      <c r="C415" t="n">
        <v>55802098</v>
      </c>
      <c r="D415" t="inlineStr">
        <is>
          <t>税务部</t>
        </is>
      </c>
      <c r="E415" t="inlineStr">
        <is>
          <t>海外税务中心</t>
        </is>
      </c>
      <c r="G415" t="inlineStr">
        <is>
          <t>S2职能系统－财经线/税务部/海外税务中心</t>
        </is>
      </c>
      <c r="H415" s="188" t="n">
        <v>37583</v>
      </c>
      <c r="I415" t="inlineStr">
        <is>
          <t>社会招聘</t>
        </is>
      </c>
      <c r="J415" t="inlineStr">
        <is>
          <t>财经类－FN</t>
        </is>
      </c>
      <c r="K415" t="inlineStr">
        <is>
          <t>税务</t>
        </is>
      </c>
      <c r="L415" t="inlineStr">
        <is>
          <t>S11</t>
        </is>
      </c>
      <c r="N415" t="inlineStr">
        <is>
          <t>T2</t>
        </is>
      </c>
      <c r="Q415" t="inlineStr">
        <is>
          <t>G,G</t>
        </is>
      </c>
      <c r="U415" t="n">
        <v>61544.75</v>
      </c>
      <c r="V415" t="n">
        <v>0.083333</v>
      </c>
      <c r="W415" t="inlineStr">
        <is>
          <t>CNY</t>
        </is>
      </c>
      <c r="X415" t="n">
        <v>1</v>
      </c>
      <c r="Y415" t="n">
        <v>57807.75</v>
      </c>
      <c r="Z415" t="n">
        <v>0</v>
      </c>
      <c r="AA415" t="n">
        <v>123089.5</v>
      </c>
      <c r="AB415" t="n">
        <v>77750</v>
      </c>
      <c r="AC415" t="n">
        <v>0</v>
      </c>
      <c r="AF415" t="n">
        <v>0</v>
      </c>
      <c r="AG415" t="n">
        <v>200839.5</v>
      </c>
      <c r="AH415" t="n">
        <v>3.474265993746513</v>
      </c>
      <c r="AI415" t="n">
        <v>200839.5</v>
      </c>
      <c r="AJ415" t="n">
        <v>3.474265993746513</v>
      </c>
      <c r="AK415" t="n">
        <v>3.474265993746513</v>
      </c>
      <c r="AQ415" t="n">
        <v>200839.5</v>
      </c>
      <c r="AR415" t="n">
        <v>3.474265993746513</v>
      </c>
      <c r="AS415" t="n">
        <v>1.642590169297456</v>
      </c>
      <c r="BL415" t="n">
        <v>1</v>
      </c>
      <c r="BM415" t="n">
        <v>52285</v>
      </c>
      <c r="BN415" t="n">
        <v>0</v>
      </c>
      <c r="BO415" t="n">
        <v>52900</v>
      </c>
      <c r="BP415" t="inlineStr">
        <is>
          <t>G,U</t>
        </is>
      </c>
      <c r="BQ415" t="inlineStr">
        <is>
          <t>T2</t>
        </is>
      </c>
      <c r="BR415" t="n">
        <v>122270</v>
      </c>
      <c r="BS415" t="n">
        <v>2.338529214879985</v>
      </c>
      <c r="BT415" t="n">
        <v>0</v>
      </c>
      <c r="BU415" t="n">
        <v>122270</v>
      </c>
      <c r="BV415" t="n">
        <v>2.338529214879985</v>
      </c>
      <c r="BY415" t="n">
        <v>122270</v>
      </c>
      <c r="BZ415" t="n">
        <v>2.338529214879985</v>
      </c>
      <c r="CP415" t="inlineStr">
        <is>
          <t>税务部</t>
        </is>
      </c>
      <c r="CQ415" t="inlineStr">
        <is>
          <t>3,3</t>
        </is>
      </c>
      <c r="CR415" t="n">
        <v>11</v>
      </c>
      <c r="CS415" t="inlineStr">
        <is>
          <t>T2</t>
        </is>
      </c>
      <c r="CT415" t="inlineStr">
        <is>
          <t>N</t>
        </is>
      </c>
    </row>
    <row r="416">
      <c r="A416" t="inlineStr">
        <is>
          <t>frankQiu(邱飞)</t>
        </is>
      </c>
      <c r="C416" t="n">
        <v>10486928</v>
      </c>
      <c r="D416" t="inlineStr">
        <is>
          <t>IEG财务管理</t>
        </is>
      </c>
      <c r="E416" t="inlineStr">
        <is>
          <t>自研财务管理组</t>
        </is>
      </c>
      <c r="G416" t="inlineStr">
        <is>
          <t>S2职能系统－财经线/IEG财务管理/自研财务管理组</t>
        </is>
      </c>
      <c r="H416" s="188" t="n">
        <v>42166</v>
      </c>
      <c r="I416" t="inlineStr">
        <is>
          <t>社会招聘</t>
        </is>
      </c>
      <c r="J416" t="inlineStr">
        <is>
          <t>财经类－FN</t>
        </is>
      </c>
      <c r="K416" t="inlineStr">
        <is>
          <t>财务管理</t>
        </is>
      </c>
      <c r="L416" t="inlineStr">
        <is>
          <t>S12</t>
        </is>
      </c>
      <c r="M416" t="inlineStr">
        <is>
          <t>L1-2</t>
        </is>
      </c>
      <c r="N416" t="inlineStr">
        <is>
          <t>T1</t>
        </is>
      </c>
      <c r="Q416" t="inlineStr">
        <is>
          <t>O,G</t>
        </is>
      </c>
      <c r="U416" t="n">
        <v>51538.75</v>
      </c>
      <c r="V416" t="n">
        <v>0.083333</v>
      </c>
      <c r="W416" t="inlineStr">
        <is>
          <t>CNY</t>
        </is>
      </c>
      <c r="X416" t="n">
        <v>1</v>
      </c>
      <c r="Y416" t="n">
        <v>47066.66</v>
      </c>
      <c r="Z416" t="n">
        <v>0</v>
      </c>
      <c r="AA416" t="n">
        <v>154616.25</v>
      </c>
      <c r="AB416" t="n">
        <v>115745</v>
      </c>
      <c r="AC416" t="n">
        <v>60755</v>
      </c>
      <c r="AF416" t="n">
        <v>14795</v>
      </c>
      <c r="AG416" t="n">
        <v>331116.25</v>
      </c>
      <c r="AH416" t="n">
        <v>7.035048800998413</v>
      </c>
      <c r="AI416" t="n">
        <v>345911.25</v>
      </c>
      <c r="AJ416" t="n">
        <v>7.349390205296062</v>
      </c>
      <c r="AK416" t="n">
        <v>6.058561410561106</v>
      </c>
      <c r="AQ416" t="n">
        <v>345911.25</v>
      </c>
      <c r="AR416" t="n">
        <v>7.349390205296062</v>
      </c>
      <c r="AS416" t="n">
        <v>1.554622368036673</v>
      </c>
      <c r="BL416" t="n">
        <v>1</v>
      </c>
      <c r="BM416" t="n">
        <v>42755</v>
      </c>
      <c r="BN416" t="n">
        <v>0</v>
      </c>
      <c r="BO416" t="n">
        <v>46030</v>
      </c>
      <c r="BP416" t="inlineStr">
        <is>
          <t>G,G</t>
        </is>
      </c>
      <c r="BQ416" t="inlineStr">
        <is>
          <t>T1</t>
        </is>
      </c>
      <c r="BR416" t="n">
        <v>149615</v>
      </c>
      <c r="BS416" t="n">
        <v>3.499356800374225</v>
      </c>
      <c r="BT416" t="n">
        <v>72890</v>
      </c>
      <c r="BU416" t="n">
        <v>222505</v>
      </c>
      <c r="BV416" t="n">
        <v>5.204186644836861</v>
      </c>
      <c r="BY416" t="n">
        <v>222505</v>
      </c>
      <c r="BZ416" t="n">
        <v>5.204186644836861</v>
      </c>
      <c r="CP416" t="inlineStr">
        <is>
          <t>IEG财务管理</t>
        </is>
      </c>
      <c r="CQ416" t="inlineStr">
        <is>
          <t>5,3</t>
        </is>
      </c>
      <c r="CR416" t="n">
        <v>12</v>
      </c>
      <c r="CS416" t="inlineStr">
        <is>
          <t>T1</t>
        </is>
      </c>
      <c r="CT416" t="inlineStr">
        <is>
          <t>N</t>
        </is>
      </c>
    </row>
    <row r="417">
      <c r="A417" t="inlineStr">
        <is>
          <t>nancyYin(尹珊菲)</t>
        </is>
      </c>
      <c r="C417" t="n">
        <v>75518173</v>
      </c>
      <c r="D417" t="inlineStr">
        <is>
          <t>财经IT管理部</t>
        </is>
      </c>
      <c r="E417" t="inlineStr">
        <is>
          <t>国际业务支持中心</t>
        </is>
      </c>
      <c r="G417" t="inlineStr">
        <is>
          <t>S2职能系统－财经线/财经IT管理部/国际业务支持中心</t>
        </is>
      </c>
      <c r="H417" s="188" t="n">
        <v>44856</v>
      </c>
      <c r="I417" t="inlineStr">
        <is>
          <t>社会招聘</t>
        </is>
      </c>
      <c r="J417" t="inlineStr">
        <is>
          <t>技术研发类－TRD</t>
        </is>
      </c>
      <c r="K417" t="inlineStr">
        <is>
          <t>应用开发</t>
        </is>
      </c>
      <c r="L417" t="inlineStr">
        <is>
          <t>T10</t>
        </is>
      </c>
      <c r="N417" t="inlineStr">
        <is>
          <t>Others</t>
        </is>
      </c>
      <c r="Q417" t="inlineStr">
        <is>
          <t>G,G</t>
        </is>
      </c>
      <c r="U417" t="n">
        <v>58749.1</v>
      </c>
      <c r="V417" t="n">
        <v>0.083333</v>
      </c>
      <c r="W417" t="inlineStr">
        <is>
          <t>CNY</t>
        </is>
      </c>
      <c r="X417" t="n">
        <v>1</v>
      </c>
      <c r="Y417" t="n">
        <v>54685.94</v>
      </c>
      <c r="Z417" t="n">
        <v>0</v>
      </c>
      <c r="AA417" t="n">
        <v>117498.2</v>
      </c>
      <c r="AB417" t="n">
        <v>34780</v>
      </c>
      <c r="AC417" t="n">
        <v>0</v>
      </c>
      <c r="AF417" t="n">
        <v>0</v>
      </c>
      <c r="AG417" t="n">
        <v>152278.2</v>
      </c>
      <c r="AH417" t="n">
        <v>2.784595089706788</v>
      </c>
      <c r="AI417" t="n">
        <v>152278.2</v>
      </c>
      <c r="AJ417" t="n">
        <v>2.784595089706788</v>
      </c>
      <c r="AK417" t="n">
        <v>2.784595089706788</v>
      </c>
      <c r="AQ417" t="n">
        <v>152278.2</v>
      </c>
      <c r="AR417" t="n">
        <v>2.784595089706788</v>
      </c>
      <c r="AS417" t="n">
        <v>0.733464345061773</v>
      </c>
      <c r="BL417" t="n">
        <v>1</v>
      </c>
      <c r="BM417" t="n">
        <v>48280</v>
      </c>
      <c r="BN417" t="n">
        <v>0</v>
      </c>
      <c r="BO417" t="n">
        <v>51225</v>
      </c>
      <c r="BP417" t="inlineStr">
        <is>
          <t>O,G</t>
        </is>
      </c>
      <c r="BQ417" t="inlineStr">
        <is>
          <t>Others</t>
        </is>
      </c>
      <c r="BR417" t="n">
        <v>207615</v>
      </c>
      <c r="BS417" t="n">
        <v>4.300227837613919</v>
      </c>
      <c r="BT417" t="n">
        <v>0</v>
      </c>
      <c r="BU417" t="n">
        <v>207615</v>
      </c>
      <c r="BV417" t="n">
        <v>4.300227837613919</v>
      </c>
      <c r="BY417" t="n">
        <v>207615</v>
      </c>
      <c r="BZ417" t="n">
        <v>4.300227837613919</v>
      </c>
      <c r="CP417" t="inlineStr">
        <is>
          <t>财经IT管理部</t>
        </is>
      </c>
      <c r="CQ417" t="inlineStr">
        <is>
          <t>3,3</t>
        </is>
      </c>
      <c r="CR417" t="n">
        <v>10</v>
      </c>
      <c r="CS417" t="inlineStr">
        <is>
          <t>Others</t>
        </is>
      </c>
      <c r="CT417" t="inlineStr">
        <is>
          <t>N</t>
        </is>
      </c>
    </row>
    <row r="418">
      <c r="A418" t="inlineStr">
        <is>
          <t>sophiaMeng(孟苑)</t>
        </is>
      </c>
      <c r="C418" t="n">
        <v>99207267</v>
      </c>
      <c r="D418" t="inlineStr">
        <is>
          <t>CSIG财务管理</t>
        </is>
      </c>
      <c r="E418" t="inlineStr">
        <is>
          <t>行业财务管理2中心</t>
        </is>
      </c>
      <c r="G418" t="inlineStr">
        <is>
          <t>S2职能系统－财经线/CSIG财务管理/行业财务管理2中心</t>
        </is>
      </c>
      <c r="H418" s="188" t="n">
        <v>36884</v>
      </c>
      <c r="I418" t="inlineStr">
        <is>
          <t>社会招聘</t>
        </is>
      </c>
      <c r="J418" t="inlineStr">
        <is>
          <t>财经类－FN</t>
        </is>
      </c>
      <c r="K418" t="inlineStr">
        <is>
          <t>财务管理</t>
        </is>
      </c>
      <c r="L418" t="inlineStr">
        <is>
          <t>S6</t>
        </is>
      </c>
      <c r="N418" t="inlineStr">
        <is>
          <t>T1</t>
        </is>
      </c>
      <c r="Q418" t="inlineStr">
        <is>
          <t>G,G</t>
        </is>
      </c>
      <c r="U418" t="n">
        <v>38218.55</v>
      </c>
      <c r="V418" t="n">
        <v>0.083333</v>
      </c>
      <c r="W418" t="inlineStr">
        <is>
          <t>CNY</t>
        </is>
      </c>
      <c r="X418" t="n">
        <v>1</v>
      </c>
      <c r="Y418" t="n">
        <v>36754.3</v>
      </c>
      <c r="Z418" t="n">
        <v>0</v>
      </c>
      <c r="AA418" t="n">
        <v>76437.10000000001</v>
      </c>
      <c r="AB418" t="n">
        <v>90880</v>
      </c>
      <c r="AC418" t="n">
        <v>70520</v>
      </c>
      <c r="AF418" t="n">
        <v>0</v>
      </c>
      <c r="AG418" t="n">
        <v>237837.1</v>
      </c>
      <c r="AH418" t="n">
        <v>6.471000672030211</v>
      </c>
      <c r="AI418" t="n">
        <v>237837.1</v>
      </c>
      <c r="AJ418" t="n">
        <v>6.471000672030211</v>
      </c>
      <c r="AK418" t="n">
        <v>4.55231360684328</v>
      </c>
      <c r="AQ418" t="n">
        <v>237837.1</v>
      </c>
      <c r="AR418" t="n">
        <v>6.471000672030211</v>
      </c>
      <c r="AS418" t="n">
        <v>3.067282692803714</v>
      </c>
      <c r="BL418" t="n">
        <v>1</v>
      </c>
      <c r="BM418" t="n">
        <v>33135</v>
      </c>
      <c r="BN418" t="n">
        <v>0</v>
      </c>
      <c r="BO418" t="n">
        <v>35435</v>
      </c>
      <c r="BP418" t="inlineStr">
        <is>
          <t>G,U</t>
        </is>
      </c>
      <c r="BQ418" t="inlineStr">
        <is>
          <t>T1</t>
        </is>
      </c>
      <c r="BR418" t="n">
        <v>77540</v>
      </c>
      <c r="BS418" t="n">
        <v>2.340123736230572</v>
      </c>
      <c r="BT418" t="n">
        <v>0</v>
      </c>
      <c r="BU418" t="n">
        <v>77540</v>
      </c>
      <c r="BV418" t="n">
        <v>2.340123736230572</v>
      </c>
      <c r="BY418" t="n">
        <v>77540</v>
      </c>
      <c r="BZ418" t="n">
        <v>2.340123736230572</v>
      </c>
      <c r="CP418" t="inlineStr">
        <is>
          <t>CSIG财务管理</t>
        </is>
      </c>
      <c r="CQ418" t="inlineStr">
        <is>
          <t>3,3</t>
        </is>
      </c>
      <c r="CR418" t="n">
        <v>6</v>
      </c>
      <c r="CS418" t="inlineStr">
        <is>
          <t>T1</t>
        </is>
      </c>
      <c r="CT418" t="inlineStr">
        <is>
          <t>N</t>
        </is>
      </c>
    </row>
    <row r="419">
      <c r="A419" t="inlineStr">
        <is>
          <t>brandonShao(邵建)</t>
        </is>
      </c>
      <c r="C419" t="n">
        <v>32515316</v>
      </c>
      <c r="D419" t="inlineStr">
        <is>
          <t>PCG财务管理</t>
        </is>
      </c>
      <c r="E419" t="inlineStr">
        <is>
          <t>内平财务管理组</t>
        </is>
      </c>
      <c r="G419" t="inlineStr">
        <is>
          <t>S2职能系统－财经线/PCG财务管理/内平财务管理组</t>
        </is>
      </c>
      <c r="H419" s="188" t="n">
        <v>38525</v>
      </c>
      <c r="I419" t="inlineStr">
        <is>
          <t>社会招聘</t>
        </is>
      </c>
      <c r="J419" t="inlineStr">
        <is>
          <t>财经类－FN</t>
        </is>
      </c>
      <c r="K419" t="inlineStr">
        <is>
          <t>财务管理</t>
        </is>
      </c>
      <c r="L419" t="inlineStr">
        <is>
          <t>S8</t>
        </is>
      </c>
      <c r="N419" t="inlineStr">
        <is>
          <t>Others</t>
        </is>
      </c>
      <c r="Q419" t="inlineStr">
        <is>
          <t>U,O</t>
        </is>
      </c>
      <c r="U419" t="n">
        <v>50247.6</v>
      </c>
      <c r="V419" t="n">
        <v>0.083333</v>
      </c>
      <c r="W419" t="inlineStr">
        <is>
          <t>CNY</t>
        </is>
      </c>
      <c r="X419" t="n">
        <v>1</v>
      </c>
      <c r="Y419" t="n">
        <v>46196.2</v>
      </c>
      <c r="Z419" t="n">
        <v>0</v>
      </c>
      <c r="AA419" t="n">
        <v>100495.2</v>
      </c>
      <c r="AB419" t="n">
        <v>25790</v>
      </c>
      <c r="AC419" t="n">
        <v>0</v>
      </c>
      <c r="AF419" t="n">
        <v>0</v>
      </c>
      <c r="AG419" t="n">
        <v>126285.2</v>
      </c>
      <c r="AH419" t="n">
        <v>2.733670734822345</v>
      </c>
      <c r="AI419" t="n">
        <v>126285.2</v>
      </c>
      <c r="AJ419" t="n">
        <v>2.733670734822345</v>
      </c>
      <c r="AK419" t="n">
        <v>2.733670734822345</v>
      </c>
      <c r="AQ419" t="n">
        <v>126285.2</v>
      </c>
      <c r="AR419" t="n">
        <v>2.733670734822345</v>
      </c>
      <c r="AS419" t="n">
        <v>0.5378530207202027</v>
      </c>
      <c r="BL419" t="n">
        <v>1</v>
      </c>
      <c r="BM419" t="n">
        <v>41140</v>
      </c>
      <c r="BN419" t="n">
        <v>0</v>
      </c>
      <c r="BO419" t="n">
        <v>43205</v>
      </c>
      <c r="BP419" t="inlineStr">
        <is>
          <t>O,O</t>
        </is>
      </c>
      <c r="BQ419" t="inlineStr">
        <is>
          <t>Others</t>
        </is>
      </c>
      <c r="BR419" t="n">
        <v>234795</v>
      </c>
      <c r="BS419" t="n">
        <v>5.707219251336898</v>
      </c>
      <c r="BT419" t="n">
        <v>0</v>
      </c>
      <c r="BU419" t="n">
        <v>234795</v>
      </c>
      <c r="BV419" t="n">
        <v>5.707219251336898</v>
      </c>
      <c r="BY419" t="n">
        <v>234795</v>
      </c>
      <c r="BZ419" t="n">
        <v>5.707219251336898</v>
      </c>
      <c r="CP419" t="inlineStr">
        <is>
          <t>PCG财务管理</t>
        </is>
      </c>
      <c r="CQ419" t="inlineStr">
        <is>
          <t>5,1</t>
        </is>
      </c>
      <c r="CR419" t="n">
        <v>8</v>
      </c>
      <c r="CS419" t="inlineStr">
        <is>
          <t>Others</t>
        </is>
      </c>
      <c r="CT419" t="inlineStr">
        <is>
          <t>N</t>
        </is>
      </c>
    </row>
    <row r="420">
      <c r="A420" t="inlineStr">
        <is>
          <t>victoriaLi(李月)</t>
        </is>
      </c>
      <c r="C420" t="n">
        <v>70241121</v>
      </c>
      <c r="D420" t="inlineStr">
        <is>
          <t>CDG财务管理</t>
        </is>
      </c>
      <c r="E420" t="inlineStr">
        <is>
          <t>AMS客户管理中心</t>
        </is>
      </c>
      <c r="G420" t="inlineStr">
        <is>
          <t>S2职能系统－财经线/CDG财务管理/AMS客户管理中心</t>
        </is>
      </c>
      <c r="H420" s="188" t="n">
        <v>42546</v>
      </c>
      <c r="I420" t="inlineStr">
        <is>
          <t>社会招聘</t>
        </is>
      </c>
      <c r="J420" t="inlineStr">
        <is>
          <t>财经类－FN</t>
        </is>
      </c>
      <c r="K420" t="inlineStr">
        <is>
          <t>财务管理</t>
        </is>
      </c>
      <c r="L420" t="inlineStr">
        <is>
          <t>S5</t>
        </is>
      </c>
      <c r="N420" t="inlineStr">
        <is>
          <t>T2</t>
        </is>
      </c>
      <c r="Q420" t="inlineStr">
        <is>
          <t>U,G</t>
        </is>
      </c>
      <c r="U420" t="n">
        <v>20390.45</v>
      </c>
      <c r="V420" t="n">
        <v>0.083333</v>
      </c>
      <c r="W420" t="inlineStr">
        <is>
          <t>CNY</t>
        </is>
      </c>
      <c r="X420" t="n">
        <v>1</v>
      </c>
      <c r="Y420" t="n">
        <v>18970.89</v>
      </c>
      <c r="Z420" t="n">
        <v>0</v>
      </c>
      <c r="AA420" t="n">
        <v>20390.45</v>
      </c>
      <c r="AB420" t="n">
        <v>26475</v>
      </c>
      <c r="AC420" t="n">
        <v>0</v>
      </c>
      <c r="AF420" t="n">
        <v>0</v>
      </c>
      <c r="AG420" t="n">
        <v>46865.45</v>
      </c>
      <c r="AH420" t="n">
        <v>2.470387525308512</v>
      </c>
      <c r="AI420" t="n">
        <v>46865.45</v>
      </c>
      <c r="AJ420" t="n">
        <v>2.470387525308512</v>
      </c>
      <c r="AK420" t="n">
        <v>2.470387525308512</v>
      </c>
      <c r="AQ420" t="n">
        <v>46865.45</v>
      </c>
      <c r="AR420" t="n">
        <v>2.470387525308512</v>
      </c>
      <c r="AS420" t="n">
        <v>0.7585247228291656</v>
      </c>
      <c r="BL420" t="n">
        <v>1</v>
      </c>
      <c r="BM420" t="n">
        <v>17225</v>
      </c>
      <c r="BN420" t="n">
        <v>0</v>
      </c>
      <c r="BO420" t="n">
        <v>18520</v>
      </c>
      <c r="BP420" t="inlineStr">
        <is>
          <t>G,G</t>
        </is>
      </c>
      <c r="BQ420" t="inlineStr">
        <is>
          <t>T2</t>
        </is>
      </c>
      <c r="BR420" t="n">
        <v>61785</v>
      </c>
      <c r="BS420" t="n">
        <v>3.586937590711176</v>
      </c>
      <c r="BT420" t="n">
        <v>0</v>
      </c>
      <c r="BU420" t="n">
        <v>61785</v>
      </c>
      <c r="BV420" t="n">
        <v>3.586937590711176</v>
      </c>
      <c r="BY420" t="n">
        <v>61785</v>
      </c>
      <c r="BZ420" t="n">
        <v>3.586937590711176</v>
      </c>
      <c r="CP420" t="inlineStr">
        <is>
          <t>CDG财务管理</t>
        </is>
      </c>
      <c r="CQ420" t="inlineStr">
        <is>
          <t>3,1</t>
        </is>
      </c>
      <c r="CR420" t="n">
        <v>5</v>
      </c>
      <c r="CS420" t="inlineStr">
        <is>
          <t>T2</t>
        </is>
      </c>
      <c r="CT420" t="inlineStr">
        <is>
          <t>N</t>
        </is>
      </c>
    </row>
    <row r="421">
      <c r="A421" t="inlineStr">
        <is>
          <t>audreyZhong(钟娇君)</t>
        </is>
      </c>
      <c r="C421" t="n">
        <v>71834408</v>
      </c>
      <c r="D421" t="inlineStr">
        <is>
          <t>审计监察</t>
        </is>
      </c>
      <c r="E421" t="inlineStr">
        <is>
          <t>常规审计组</t>
        </is>
      </c>
      <c r="G421" t="inlineStr">
        <is>
          <t>S2职能系统－财经线/审计监察/常规审计组</t>
        </is>
      </c>
      <c r="H421" s="188" t="n">
        <v>43701</v>
      </c>
      <c r="I421" t="inlineStr">
        <is>
          <t>社会招聘</t>
        </is>
      </c>
      <c r="J421" t="inlineStr">
        <is>
          <t>财经类－FN</t>
        </is>
      </c>
      <c r="K421" t="inlineStr">
        <is>
          <t>风险管理</t>
        </is>
      </c>
      <c r="L421" t="inlineStr">
        <is>
          <t>S10</t>
        </is>
      </c>
      <c r="N421" t="inlineStr">
        <is>
          <t>T1#</t>
        </is>
      </c>
      <c r="Q421" t="inlineStr">
        <is>
          <t>U,G</t>
        </is>
      </c>
      <c r="U421" t="n">
        <v>37754.4</v>
      </c>
      <c r="V421" t="n">
        <v>0.083333</v>
      </c>
      <c r="W421" t="inlineStr">
        <is>
          <t>CNY</t>
        </is>
      </c>
      <c r="X421" t="n">
        <v>1</v>
      </c>
      <c r="Y421" t="n">
        <v>35429.44</v>
      </c>
      <c r="Z421" t="n">
        <v>0</v>
      </c>
      <c r="AA421" t="n">
        <v>37754.4</v>
      </c>
      <c r="AB421" t="n">
        <v>113810</v>
      </c>
      <c r="AC421" t="n">
        <v>0</v>
      </c>
      <c r="AF421" t="n">
        <v>0</v>
      </c>
      <c r="AG421" t="n">
        <v>151564.4</v>
      </c>
      <c r="AH421" t="n">
        <v>4.277922541253827</v>
      </c>
      <c r="AI421" t="n">
        <v>151564.4</v>
      </c>
      <c r="AJ421" t="n">
        <v>4.277922541253827</v>
      </c>
      <c r="AK421" t="n">
        <v>4.277922541253827</v>
      </c>
      <c r="AQ421" t="n">
        <v>151564.4</v>
      </c>
      <c r="AR421" t="n">
        <v>4.277922541253827</v>
      </c>
      <c r="AS421" t="n">
        <v>0.8566590363148227</v>
      </c>
      <c r="BL421" t="n">
        <v>1</v>
      </c>
      <c r="BM421" t="n">
        <v>31965</v>
      </c>
      <c r="BN421" t="n">
        <v>0</v>
      </c>
      <c r="BO421" t="n">
        <v>34200</v>
      </c>
      <c r="BP421" t="inlineStr">
        <is>
          <t>U,O</t>
        </is>
      </c>
      <c r="BQ421" t="inlineStr">
        <is>
          <t>T1#</t>
        </is>
      </c>
      <c r="BR421" t="n">
        <v>176925</v>
      </c>
      <c r="BS421" t="n">
        <v>5.534960112623182</v>
      </c>
      <c r="BT421" t="n">
        <v>0</v>
      </c>
      <c r="BU421" t="n">
        <v>176925</v>
      </c>
      <c r="BV421" t="n">
        <v>5.534960112623182</v>
      </c>
      <c r="BY421" t="n">
        <v>176925</v>
      </c>
      <c r="BZ421" t="n">
        <v>5.534960112623182</v>
      </c>
      <c r="CP421" t="inlineStr">
        <is>
          <t>审计监察</t>
        </is>
      </c>
      <c r="CQ421" t="inlineStr">
        <is>
          <t>3,1</t>
        </is>
      </c>
      <c r="CR421" t="n">
        <v>10</v>
      </c>
      <c r="CS421" t="inlineStr">
        <is>
          <t>T1#</t>
        </is>
      </c>
      <c r="CT421" t="inlineStr">
        <is>
          <t>N</t>
        </is>
      </c>
    </row>
    <row r="422">
      <c r="A422" t="inlineStr">
        <is>
          <t>elizabethFu(傅怀丹)</t>
        </is>
      </c>
      <c r="C422" t="n">
        <v>49514124</v>
      </c>
      <c r="D422" t="inlineStr">
        <is>
          <t>财经线-公共</t>
        </is>
      </c>
      <c r="E422" t="inlineStr">
        <is>
          <t>财经线-公共</t>
        </is>
      </c>
      <c r="G422" t="inlineStr">
        <is>
          <t>S2职能系统－财经线/财经线-公共</t>
        </is>
      </c>
      <c r="H422" s="188" t="n">
        <v>40152</v>
      </c>
      <c r="I422" t="inlineStr">
        <is>
          <t>社会招聘</t>
        </is>
      </c>
      <c r="J422" t="inlineStr">
        <is>
          <t>财经类－FN</t>
        </is>
      </c>
      <c r="K422" t="inlineStr">
        <is>
          <t>财务管理</t>
        </is>
      </c>
      <c r="L422" t="inlineStr">
        <is>
          <t>S7</t>
        </is>
      </c>
      <c r="N422" t="inlineStr">
        <is>
          <t>T1</t>
        </is>
      </c>
      <c r="Q422" t="inlineStr">
        <is>
          <t>G,O</t>
        </is>
      </c>
      <c r="U422" t="n">
        <v>42008.05</v>
      </c>
      <c r="V422" t="n">
        <v>0.083333</v>
      </c>
      <c r="W422" t="inlineStr">
        <is>
          <t>CNY</t>
        </is>
      </c>
      <c r="X422" t="n">
        <v>1</v>
      </c>
      <c r="Y422" t="n">
        <v>38175.19</v>
      </c>
      <c r="Z422" t="n">
        <v>0</v>
      </c>
      <c r="AA422" t="n">
        <v>126024.15</v>
      </c>
      <c r="AB422" t="n">
        <v>95960</v>
      </c>
      <c r="AC422" t="n">
        <v>54350</v>
      </c>
      <c r="AF422" t="n">
        <v>0</v>
      </c>
      <c r="AG422" t="n">
        <v>276334.15</v>
      </c>
      <c r="AH422" t="n">
        <v>7.238579559132515</v>
      </c>
      <c r="AI422" t="n">
        <v>276334.15</v>
      </c>
      <c r="AJ422" t="n">
        <v>7.238579559132515</v>
      </c>
      <c r="AK422" t="n">
        <v>5.814880030721523</v>
      </c>
      <c r="AQ422" t="n">
        <v>276334.15</v>
      </c>
      <c r="AR422" t="n">
        <v>7.238579559132515</v>
      </c>
      <c r="AS422" t="n">
        <v>1.846783064893404</v>
      </c>
      <c r="BL422" t="n">
        <v>1</v>
      </c>
      <c r="BM422" t="n">
        <v>34365</v>
      </c>
      <c r="BN422" t="n">
        <v>0</v>
      </c>
      <c r="BO422" t="n">
        <v>34720</v>
      </c>
      <c r="BP422" t="inlineStr">
        <is>
          <t>G,G</t>
        </is>
      </c>
      <c r="BQ422" t="inlineStr">
        <is>
          <t>T1</t>
        </is>
      </c>
      <c r="BR422" t="n">
        <v>113375</v>
      </c>
      <c r="BS422" t="n">
        <v>3.299141568456278</v>
      </c>
      <c r="BT422" t="n">
        <v>36255</v>
      </c>
      <c r="BU422" t="n">
        <v>149630</v>
      </c>
      <c r="BV422" t="n">
        <v>4.354139386003201</v>
      </c>
      <c r="BY422" t="n">
        <v>149630</v>
      </c>
      <c r="BZ422" t="n">
        <v>4.354139386003201</v>
      </c>
      <c r="CP422" t="inlineStr">
        <is>
          <t>财经线-公共</t>
        </is>
      </c>
      <c r="CQ422" t="inlineStr">
        <is>
          <t>5,3</t>
        </is>
      </c>
      <c r="CR422" t="n">
        <v>7</v>
      </c>
      <c r="CS422" t="inlineStr">
        <is>
          <t>T1</t>
        </is>
      </c>
      <c r="CT422" t="inlineStr">
        <is>
          <t>N</t>
        </is>
      </c>
    </row>
    <row r="423">
      <c r="A423" t="inlineStr">
        <is>
          <t>bryanZheng(郑杰旭)</t>
        </is>
      </c>
      <c r="C423" t="n">
        <v>55452305</v>
      </c>
      <c r="D423" t="inlineStr">
        <is>
          <t>财经投资并购及管理部</t>
        </is>
      </c>
      <c r="E423" t="inlineStr">
        <is>
          <t>运营支持中心</t>
        </is>
      </c>
      <c r="G423" t="inlineStr">
        <is>
          <t>S2职能系统－财经线/财经投资并购及管理部/运营支持中心</t>
        </is>
      </c>
      <c r="H423" s="188" t="n">
        <v>41359</v>
      </c>
      <c r="I423" t="inlineStr">
        <is>
          <t>高校招聘</t>
        </is>
      </c>
      <c r="J423" t="inlineStr">
        <is>
          <t>财经类－FN</t>
        </is>
      </c>
      <c r="K423" t="inlineStr">
        <is>
          <t>投资并购</t>
        </is>
      </c>
      <c r="L423" t="inlineStr">
        <is>
          <t>S12</t>
        </is>
      </c>
      <c r="M423" t="inlineStr">
        <is>
          <t>L1-2</t>
        </is>
      </c>
      <c r="N423" t="inlineStr">
        <is>
          <t>T2</t>
        </is>
      </c>
      <c r="Q423" t="inlineStr">
        <is>
          <t>G,G</t>
        </is>
      </c>
      <c r="U423" t="n">
        <v>72572.10000000001</v>
      </c>
      <c r="V423" t="n">
        <v>0.083333</v>
      </c>
      <c r="W423" t="inlineStr">
        <is>
          <t>CNY</t>
        </is>
      </c>
      <c r="X423" t="n">
        <v>1</v>
      </c>
      <c r="Y423" t="n">
        <v>71620.24000000001</v>
      </c>
      <c r="Z423" t="n">
        <v>0</v>
      </c>
      <c r="AA423" t="n">
        <v>145144.2</v>
      </c>
      <c r="AB423" t="n">
        <v>75615</v>
      </c>
      <c r="AC423" t="n">
        <v>0</v>
      </c>
      <c r="AF423" t="n">
        <v>37395</v>
      </c>
      <c r="AG423" t="n">
        <v>220759.2</v>
      </c>
      <c r="AH423" t="n">
        <v>3.082357724576181</v>
      </c>
      <c r="AI423" t="n">
        <v>258154.2</v>
      </c>
      <c r="AJ423" t="n">
        <v>3.604486664663508</v>
      </c>
      <c r="AK423" t="n">
        <v>3.604486664663508</v>
      </c>
      <c r="AQ423" t="n">
        <v>258154.2</v>
      </c>
      <c r="AR423" t="n">
        <v>3.604486664663508</v>
      </c>
      <c r="AS423" t="n">
        <v>1.271288503681087</v>
      </c>
      <c r="BL423" t="n">
        <v>1</v>
      </c>
      <c r="BM423" t="n">
        <v>59650</v>
      </c>
      <c r="BN423" t="n">
        <v>0</v>
      </c>
      <c r="BO423" t="n">
        <v>65325</v>
      </c>
      <c r="BP423" t="inlineStr">
        <is>
          <t>G,G</t>
        </is>
      </c>
      <c r="BQ423" t="inlineStr">
        <is>
          <t>T2</t>
        </is>
      </c>
      <c r="BR423" t="n">
        <v>203065</v>
      </c>
      <c r="BS423" t="n">
        <v>3.404274937133278</v>
      </c>
      <c r="BT423" t="n">
        <v>0</v>
      </c>
      <c r="BU423" t="n">
        <v>203065</v>
      </c>
      <c r="BV423" t="n">
        <v>3.404274937133278</v>
      </c>
      <c r="BY423" t="n">
        <v>203065</v>
      </c>
      <c r="BZ423" t="n">
        <v>3.404274937133278</v>
      </c>
      <c r="CP423" t="inlineStr">
        <is>
          <t>财经投资并购及管理部</t>
        </is>
      </c>
      <c r="CQ423" t="inlineStr">
        <is>
          <t>3,3</t>
        </is>
      </c>
      <c r="CR423" t="n">
        <v>12</v>
      </c>
      <c r="CS423" t="inlineStr">
        <is>
          <t>T2</t>
        </is>
      </c>
      <c r="CT423" t="inlineStr">
        <is>
          <t>N</t>
        </is>
      </c>
    </row>
    <row r="424">
      <c r="A424" t="inlineStr">
        <is>
          <t>rogerShao(邵威轩)</t>
        </is>
      </c>
      <c r="C424" t="n">
        <v>74199097</v>
      </c>
      <c r="D424" t="inlineStr">
        <is>
          <t>海外财经中心</t>
        </is>
      </c>
      <c r="E424" t="inlineStr">
        <is>
          <t>海外财经办公室</t>
        </is>
      </c>
      <c r="G424" t="inlineStr">
        <is>
          <t>S2职能系统－财经线/海外财经中心/海外财经办公室</t>
        </is>
      </c>
      <c r="H424" s="188" t="n">
        <v>42696</v>
      </c>
      <c r="I424" t="inlineStr">
        <is>
          <t>社会招聘</t>
        </is>
      </c>
      <c r="J424" t="inlineStr">
        <is>
          <t>财经类－FN</t>
        </is>
      </c>
      <c r="K424" t="inlineStr">
        <is>
          <t>财务管理</t>
        </is>
      </c>
      <c r="L424" t="inlineStr">
        <is>
          <t>S9</t>
        </is>
      </c>
      <c r="N424" t="inlineStr">
        <is>
          <t>T1</t>
        </is>
      </c>
      <c r="Q424" t="inlineStr">
        <is>
          <t>O,G</t>
        </is>
      </c>
      <c r="U424" t="n">
        <v>46610.25</v>
      </c>
      <c r="V424" t="n">
        <v>0.083333</v>
      </c>
      <c r="W424" t="inlineStr">
        <is>
          <t>CNY</t>
        </is>
      </c>
      <c r="X424" t="n">
        <v>1</v>
      </c>
      <c r="Y424" t="n">
        <v>45202.33</v>
      </c>
      <c r="Z424" t="n">
        <v>0</v>
      </c>
      <c r="AA424" t="n">
        <v>139830.75</v>
      </c>
      <c r="AB424" t="n">
        <v>98950</v>
      </c>
      <c r="AC424" t="n">
        <v>50605</v>
      </c>
      <c r="AF424" t="n">
        <v>0</v>
      </c>
      <c r="AG424" t="n">
        <v>289385.75</v>
      </c>
      <c r="AH424" t="n">
        <v>6.402009586673961</v>
      </c>
      <c r="AI424" t="n">
        <v>289385.75</v>
      </c>
      <c r="AJ424" t="n">
        <v>6.402009586673961</v>
      </c>
      <c r="AK424" t="n">
        <v>5.282487650525979</v>
      </c>
      <c r="AQ424" t="n">
        <v>289385.75</v>
      </c>
      <c r="AR424" t="n">
        <v>6.402009586673961</v>
      </c>
      <c r="AS424" t="n">
        <v>1.469933204652817</v>
      </c>
      <c r="BL424" t="n">
        <v>1</v>
      </c>
      <c r="BM424" t="n">
        <v>37875</v>
      </c>
      <c r="BN424" t="n">
        <v>0</v>
      </c>
      <c r="BO424" t="n">
        <v>39710</v>
      </c>
      <c r="BP424" t="inlineStr">
        <is>
          <t>G,G</t>
        </is>
      </c>
      <c r="BQ424" t="inlineStr">
        <is>
          <t>T1</t>
        </is>
      </c>
      <c r="BR424" t="n">
        <v>129495</v>
      </c>
      <c r="BS424" t="n">
        <v>3.419009900990099</v>
      </c>
      <c r="BT424" t="n">
        <v>67375</v>
      </c>
      <c r="BU424" t="n">
        <v>196870</v>
      </c>
      <c r="BV424" t="n">
        <v>5.197887788778877</v>
      </c>
      <c r="BY424" t="n">
        <v>196870</v>
      </c>
      <c r="BZ424" t="n">
        <v>5.197887788778877</v>
      </c>
      <c r="CP424" t="inlineStr">
        <is>
          <t>海外财经中心</t>
        </is>
      </c>
      <c r="CQ424" t="inlineStr">
        <is>
          <t>5,3</t>
        </is>
      </c>
      <c r="CR424" t="n">
        <v>9</v>
      </c>
      <c r="CS424" t="inlineStr">
        <is>
          <t>T1</t>
        </is>
      </c>
      <c r="CT424" t="inlineStr">
        <is>
          <t>N</t>
        </is>
      </c>
    </row>
    <row r="425">
      <c r="A425" t="inlineStr">
        <is>
          <t>claireZhang(张柔)</t>
        </is>
      </c>
      <c r="C425" t="n">
        <v>61798332</v>
      </c>
      <c r="D425" t="inlineStr">
        <is>
          <t>财会及报告管理部</t>
        </is>
      </c>
      <c r="E425" t="inlineStr">
        <is>
          <t>账务中心</t>
        </is>
      </c>
      <c r="G425" t="inlineStr">
        <is>
          <t>S2职能系统－财经线/财会及报告管理部/账务中心</t>
        </is>
      </c>
      <c r="H425" s="188" t="n">
        <v>38820</v>
      </c>
      <c r="I425" t="inlineStr">
        <is>
          <t>社会招聘</t>
        </is>
      </c>
      <c r="J425" t="inlineStr">
        <is>
          <t>财经类－FN</t>
        </is>
      </c>
      <c r="K425" t="inlineStr">
        <is>
          <t>会计</t>
        </is>
      </c>
      <c r="L425" t="inlineStr">
        <is>
          <t>S6</t>
        </is>
      </c>
      <c r="N425" t="inlineStr">
        <is>
          <t>T1</t>
        </is>
      </c>
      <c r="Q425" t="inlineStr">
        <is>
          <t>U,G</t>
        </is>
      </c>
      <c r="U425" t="n">
        <v>21655.8</v>
      </c>
      <c r="V425" t="n">
        <v>0.083333</v>
      </c>
      <c r="W425" t="inlineStr">
        <is>
          <t>CNY</t>
        </is>
      </c>
      <c r="X425" t="n">
        <v>1</v>
      </c>
      <c r="Y425" t="n">
        <v>19645.65</v>
      </c>
      <c r="Z425" t="n">
        <v>0</v>
      </c>
      <c r="AA425" t="n">
        <v>21655.8</v>
      </c>
      <c r="AB425" t="n">
        <v>52835</v>
      </c>
      <c r="AC425" t="n">
        <v>0</v>
      </c>
      <c r="AF425" t="n">
        <v>0</v>
      </c>
      <c r="AG425" t="n">
        <v>74490.8</v>
      </c>
      <c r="AH425" t="n">
        <v>3.791719795476352</v>
      </c>
      <c r="AI425" t="n">
        <v>74490.8</v>
      </c>
      <c r="AJ425" t="n">
        <v>3.791719795476352</v>
      </c>
      <c r="AK425" t="n">
        <v>3.791719795476352</v>
      </c>
      <c r="AQ425" t="n">
        <v>74490.8</v>
      </c>
      <c r="AR425" t="n">
        <v>3.791719795476352</v>
      </c>
      <c r="AS425" t="n">
        <v>0.5903066804025676</v>
      </c>
      <c r="BL425" t="n">
        <v>1</v>
      </c>
      <c r="BM425" t="n">
        <v>17775</v>
      </c>
      <c r="BN425" t="n">
        <v>0</v>
      </c>
      <c r="BO425" t="n">
        <v>18000</v>
      </c>
      <c r="BP425" t="inlineStr">
        <is>
          <t>O,O</t>
        </is>
      </c>
      <c r="BQ425" t="inlineStr">
        <is>
          <t>T1</t>
        </is>
      </c>
      <c r="BR425" t="n">
        <v>98860</v>
      </c>
      <c r="BS425" t="n">
        <v>5.561744022503516</v>
      </c>
      <c r="BT425" t="n">
        <v>27330</v>
      </c>
      <c r="BU425" t="n">
        <v>126190</v>
      </c>
      <c r="BV425" t="n">
        <v>7.09929676511955</v>
      </c>
      <c r="BY425" t="n">
        <v>126190</v>
      </c>
      <c r="BZ425" t="n">
        <v>7.09929676511955</v>
      </c>
      <c r="CP425" t="inlineStr">
        <is>
          <t>财会及报告管理部</t>
        </is>
      </c>
      <c r="CQ425" t="inlineStr">
        <is>
          <t>3,1</t>
        </is>
      </c>
      <c r="CR425" t="n">
        <v>6</v>
      </c>
      <c r="CS425" t="inlineStr">
        <is>
          <t>T1</t>
        </is>
      </c>
      <c r="CT425" t="inlineStr">
        <is>
          <t>N</t>
        </is>
      </c>
    </row>
    <row r="426">
      <c r="A426" t="inlineStr">
        <is>
          <t>geraldZhao(赵恒)</t>
        </is>
      </c>
      <c r="C426" t="n">
        <v>12444955</v>
      </c>
      <c r="D426" t="inlineStr">
        <is>
          <t>财经IT管理部</t>
        </is>
      </c>
      <c r="E426" t="inlineStr">
        <is>
          <t>国际业务支持中心</t>
        </is>
      </c>
      <c r="G426" t="inlineStr">
        <is>
          <t>S2职能系统－财经线/财经IT管理部/国际业务支持中心</t>
        </is>
      </c>
      <c r="H426" s="188" t="n">
        <v>39106</v>
      </c>
      <c r="I426" t="inlineStr">
        <is>
          <t>社会招聘</t>
        </is>
      </c>
      <c r="J426" t="inlineStr">
        <is>
          <t>技术研发类－TRD</t>
        </is>
      </c>
      <c r="K426" t="inlineStr">
        <is>
          <t>应用开发</t>
        </is>
      </c>
      <c r="L426" t="inlineStr">
        <is>
          <t>T8</t>
        </is>
      </c>
      <c r="N426" t="inlineStr">
        <is>
          <t>Others</t>
        </is>
      </c>
      <c r="Q426" t="inlineStr">
        <is>
          <t>U,U</t>
        </is>
      </c>
      <c r="U426" t="n">
        <v>39048.05</v>
      </c>
      <c r="V426" t="n">
        <v>0.083333</v>
      </c>
      <c r="W426" t="inlineStr">
        <is>
          <t>CNY</t>
        </is>
      </c>
      <c r="X426" t="n">
        <v>1</v>
      </c>
      <c r="Y426" t="n">
        <v>37052.97</v>
      </c>
      <c r="Z426" t="n">
        <v>0</v>
      </c>
      <c r="AA426" t="n">
        <v>0</v>
      </c>
      <c r="AB426" t="n">
        <v>31080</v>
      </c>
      <c r="AC426" t="n">
        <v>0</v>
      </c>
      <c r="AF426" t="n">
        <v>0</v>
      </c>
      <c r="AG426" t="n">
        <v>31080</v>
      </c>
      <c r="AH426" t="n">
        <v>0.8387991569906542</v>
      </c>
      <c r="AI426" t="n">
        <v>31080</v>
      </c>
      <c r="AJ426" t="n">
        <v>0.8387991569906542</v>
      </c>
      <c r="AK426" t="n">
        <v>0.8387991569906542</v>
      </c>
      <c r="AQ426" t="n">
        <v>31080</v>
      </c>
      <c r="AR426" t="n">
        <v>0.8387991569906542</v>
      </c>
      <c r="AS426" t="n">
        <v>0.2981580966999233</v>
      </c>
      <c r="BL426" t="n">
        <v>1</v>
      </c>
      <c r="BM426" t="n">
        <v>32905</v>
      </c>
      <c r="BN426" t="n">
        <v>0</v>
      </c>
      <c r="BO426" t="n">
        <v>33410</v>
      </c>
      <c r="BP426" t="inlineStr">
        <is>
          <t>G,G</t>
        </is>
      </c>
      <c r="BQ426" t="inlineStr">
        <is>
          <t>Others</t>
        </is>
      </c>
      <c r="BR426" t="n">
        <v>104240</v>
      </c>
      <c r="BS426" t="n">
        <v>3.167907612824798</v>
      </c>
      <c r="BT426" t="n">
        <v>0</v>
      </c>
      <c r="BU426" t="n">
        <v>104240</v>
      </c>
      <c r="BV426" t="n">
        <v>3.167907612824798</v>
      </c>
      <c r="BY426" t="n">
        <v>104240</v>
      </c>
      <c r="BZ426" t="n">
        <v>3.167907612824798</v>
      </c>
      <c r="CP426" t="inlineStr">
        <is>
          <t>财经IT管理部</t>
        </is>
      </c>
      <c r="CQ426" t="inlineStr">
        <is>
          <t>1,1</t>
        </is>
      </c>
      <c r="CR426" t="n">
        <v>8</v>
      </c>
      <c r="CS426" t="inlineStr">
        <is>
          <t>Others</t>
        </is>
      </c>
      <c r="CT426" t="inlineStr">
        <is>
          <t>N</t>
        </is>
      </c>
    </row>
    <row r="427">
      <c r="A427" t="inlineStr">
        <is>
          <t>eugeneYu(于韬杰)</t>
        </is>
      </c>
      <c r="C427" t="n">
        <v>64342838</v>
      </c>
      <c r="D427" t="inlineStr">
        <is>
          <t>CDG财务管理</t>
        </is>
      </c>
      <c r="E427" t="inlineStr">
        <is>
          <t>综合财务管理中心</t>
        </is>
      </c>
      <c r="G427" t="inlineStr">
        <is>
          <t>S2职能系统－财经线/CDG财务管理/综合财务管理中心</t>
        </is>
      </c>
      <c r="H427" s="188" t="n">
        <v>39222</v>
      </c>
      <c r="I427" t="inlineStr">
        <is>
          <t>高校招聘</t>
        </is>
      </c>
      <c r="J427" t="inlineStr">
        <is>
          <t>财经类－FN</t>
        </is>
      </c>
      <c r="K427" t="inlineStr">
        <is>
          <t>财务管理</t>
        </is>
      </c>
      <c r="L427" t="inlineStr">
        <is>
          <t>S7</t>
        </is>
      </c>
      <c r="N427" t="inlineStr">
        <is>
          <t>T2</t>
        </is>
      </c>
      <c r="Q427" t="inlineStr">
        <is>
          <t>G,G</t>
        </is>
      </c>
      <c r="U427" t="n">
        <v>43680.55</v>
      </c>
      <c r="V427" t="n">
        <v>0.083333</v>
      </c>
      <c r="W427" t="inlineStr">
        <is>
          <t>CNY</t>
        </is>
      </c>
      <c r="X427" t="n">
        <v>1</v>
      </c>
      <c r="Y427" t="n">
        <v>39330.85</v>
      </c>
      <c r="Z427" t="n">
        <v>0</v>
      </c>
      <c r="AA427" t="n">
        <v>87361.10000000001</v>
      </c>
      <c r="AB427" t="n">
        <v>53550</v>
      </c>
      <c r="AC427" t="n">
        <v>0</v>
      </c>
      <c r="AF427" t="n">
        <v>0</v>
      </c>
      <c r="AG427" t="n">
        <v>140911.1</v>
      </c>
      <c r="AH427" t="n">
        <v>3.582711789854529</v>
      </c>
      <c r="AI427" t="n">
        <v>140911.1</v>
      </c>
      <c r="AJ427" t="n">
        <v>3.582711789854529</v>
      </c>
      <c r="AK427" t="n">
        <v>3.582711789854529</v>
      </c>
      <c r="AQ427" t="n">
        <v>140911.1</v>
      </c>
      <c r="AR427" t="n">
        <v>3.582711789854529</v>
      </c>
      <c r="AS427" t="n">
        <v>0.8351772166903746</v>
      </c>
      <c r="BL427" t="n">
        <v>1</v>
      </c>
      <c r="BM427" t="n">
        <v>39105</v>
      </c>
      <c r="BN427" t="n">
        <v>0</v>
      </c>
      <c r="BO427" t="n">
        <v>41080</v>
      </c>
      <c r="BP427" t="inlineStr">
        <is>
          <t>G,O</t>
        </is>
      </c>
      <c r="BQ427" t="inlineStr">
        <is>
          <t>T2</t>
        </is>
      </c>
      <c r="BR427" t="n">
        <v>168720</v>
      </c>
      <c r="BS427" t="n">
        <v>4.314537782892213</v>
      </c>
      <c r="BT427" t="n">
        <v>0</v>
      </c>
      <c r="BU427" t="n">
        <v>168720</v>
      </c>
      <c r="BV427" t="n">
        <v>4.314537782892213</v>
      </c>
      <c r="BY427" t="n">
        <v>168720</v>
      </c>
      <c r="BZ427" t="n">
        <v>4.314537782892213</v>
      </c>
      <c r="CP427" t="inlineStr">
        <is>
          <t>CDG财务管理</t>
        </is>
      </c>
      <c r="CQ427" t="inlineStr">
        <is>
          <t>3,3</t>
        </is>
      </c>
      <c r="CR427" t="n">
        <v>7</v>
      </c>
      <c r="CS427" t="inlineStr">
        <is>
          <t>T2</t>
        </is>
      </c>
      <c r="CT427" t="inlineStr">
        <is>
          <t>N</t>
        </is>
      </c>
    </row>
    <row r="428">
      <c r="A428" t="inlineStr">
        <is>
          <t>elijahPeng(彭鹏荣)</t>
        </is>
      </c>
      <c r="C428" t="n">
        <v>75237097</v>
      </c>
      <c r="D428" t="inlineStr">
        <is>
          <t>FiT财务管理</t>
        </is>
      </c>
      <c r="E428" t="inlineStr">
        <is>
          <t>结算支持中心</t>
        </is>
      </c>
      <c r="G428" t="inlineStr">
        <is>
          <t>S2职能系统－财经线/FiT财务管理/结算支持中心</t>
        </is>
      </c>
      <c r="H428" s="188" t="n">
        <v>40891</v>
      </c>
      <c r="I428" t="inlineStr">
        <is>
          <t>社会招聘</t>
        </is>
      </c>
      <c r="J428" t="inlineStr">
        <is>
          <t>财经类－FN</t>
        </is>
      </c>
      <c r="K428" t="inlineStr">
        <is>
          <t>财务管理</t>
        </is>
      </c>
      <c r="L428" t="inlineStr">
        <is>
          <t>S9</t>
        </is>
      </c>
      <c r="N428" t="inlineStr">
        <is>
          <t>T1</t>
        </is>
      </c>
      <c r="Q428" t="inlineStr">
        <is>
          <t>U,G</t>
        </is>
      </c>
      <c r="U428" t="n">
        <v>35034.95</v>
      </c>
      <c r="V428" t="n">
        <v>0.083333</v>
      </c>
      <c r="W428" t="inlineStr">
        <is>
          <t>CNY</t>
        </is>
      </c>
      <c r="X428" t="n">
        <v>1</v>
      </c>
      <c r="Y428" t="n">
        <v>34007.18</v>
      </c>
      <c r="Z428" t="n">
        <v>0</v>
      </c>
      <c r="AA428" t="n">
        <v>35034.95</v>
      </c>
      <c r="AB428" t="n">
        <v>71980</v>
      </c>
      <c r="AC428" t="n">
        <v>0</v>
      </c>
      <c r="AF428" t="n">
        <v>0</v>
      </c>
      <c r="AG428" t="n">
        <v>107014.95</v>
      </c>
      <c r="AH428" t="n">
        <v>3.146833992115782</v>
      </c>
      <c r="AI428" t="n">
        <v>107014.95</v>
      </c>
      <c r="AJ428" t="n">
        <v>3.146833992115782</v>
      </c>
      <c r="AK428" t="n">
        <v>3.146833992115782</v>
      </c>
      <c r="AQ428" t="n">
        <v>107014.95</v>
      </c>
      <c r="AR428" t="n">
        <v>3.146833992115782</v>
      </c>
      <c r="AS428" t="n">
        <v>0.782130093184725</v>
      </c>
      <c r="BL428" t="n">
        <v>1</v>
      </c>
      <c r="BM428" t="n">
        <v>28990</v>
      </c>
      <c r="BN428" t="n">
        <v>0</v>
      </c>
      <c r="BO428" t="n">
        <v>29525</v>
      </c>
      <c r="BP428" t="inlineStr">
        <is>
          <t>G,G</t>
        </is>
      </c>
      <c r="BQ428" t="inlineStr">
        <is>
          <t>T1</t>
        </is>
      </c>
      <c r="BR428" t="n">
        <v>92885</v>
      </c>
      <c r="BS428" t="n">
        <v>3.204035874439462</v>
      </c>
      <c r="BT428" t="n">
        <v>43940</v>
      </c>
      <c r="BU428" t="n">
        <v>136825</v>
      </c>
      <c r="BV428" t="n">
        <v>4.719730941704036</v>
      </c>
      <c r="BY428" t="n">
        <v>136825</v>
      </c>
      <c r="BZ428" t="n">
        <v>4.719730941704036</v>
      </c>
      <c r="CP428" t="inlineStr">
        <is>
          <t>FiT财务管理</t>
        </is>
      </c>
      <c r="CQ428" t="inlineStr">
        <is>
          <t>3,1</t>
        </is>
      </c>
      <c r="CR428" t="n">
        <v>9</v>
      </c>
      <c r="CS428" t="inlineStr">
        <is>
          <t>T1</t>
        </is>
      </c>
      <c r="CT428" t="inlineStr">
        <is>
          <t>N</t>
        </is>
      </c>
    </row>
    <row r="429">
      <c r="A429" t="inlineStr">
        <is>
          <t>dianaLong(龙婧云)</t>
        </is>
      </c>
      <c r="C429" t="n">
        <v>61650797</v>
      </c>
      <c r="D429" t="inlineStr">
        <is>
          <t>财会及报告管理部</t>
        </is>
      </c>
      <c r="E429" t="inlineStr">
        <is>
          <t>供应商支付管理中心</t>
        </is>
      </c>
      <c r="G429" t="inlineStr">
        <is>
          <t>S2职能系统－财经线/财会及报告管理部/供应商支付管理中心</t>
        </is>
      </c>
      <c r="H429" s="188" t="n">
        <v>40714</v>
      </c>
      <c r="I429" t="inlineStr">
        <is>
          <t>高校招聘</t>
        </is>
      </c>
      <c r="J429" t="inlineStr">
        <is>
          <t>财经类－FN</t>
        </is>
      </c>
      <c r="K429" t="inlineStr">
        <is>
          <t>会计</t>
        </is>
      </c>
      <c r="L429" t="inlineStr">
        <is>
          <t>S8</t>
        </is>
      </c>
      <c r="N429" t="inlineStr">
        <is>
          <t>T1#</t>
        </is>
      </c>
      <c r="Q429" t="inlineStr">
        <is>
          <t>O,G</t>
        </is>
      </c>
      <c r="U429" t="n">
        <v>33436.55</v>
      </c>
      <c r="V429" t="n">
        <v>0.083333</v>
      </c>
      <c r="W429" t="inlineStr">
        <is>
          <t>CNY</t>
        </is>
      </c>
      <c r="X429" t="n">
        <v>1</v>
      </c>
      <c r="Y429" t="n">
        <v>32078.37</v>
      </c>
      <c r="Z429" t="n">
        <v>0</v>
      </c>
      <c r="AA429" t="n">
        <v>100309.65</v>
      </c>
      <c r="AB429" t="n">
        <v>112875</v>
      </c>
      <c r="AC429" t="n">
        <v>64535</v>
      </c>
      <c r="AF429" t="n">
        <v>0</v>
      </c>
      <c r="AG429" t="n">
        <v>277719.65</v>
      </c>
      <c r="AH429" t="n">
        <v>8.65753621521293</v>
      </c>
      <c r="AI429" t="n">
        <v>277719.65</v>
      </c>
      <c r="AJ429" t="n">
        <v>8.65753621521293</v>
      </c>
      <c r="AK429" t="n">
        <v>6.645744468936545</v>
      </c>
      <c r="AQ429" t="n">
        <v>277719.65</v>
      </c>
      <c r="AR429" t="n">
        <v>8.65753621521293</v>
      </c>
      <c r="AS429" t="n">
        <v>1.382549595519602</v>
      </c>
      <c r="BL429" t="n">
        <v>1</v>
      </c>
      <c r="BM429" t="n">
        <v>29445</v>
      </c>
      <c r="BN429" t="n">
        <v>0</v>
      </c>
      <c r="BO429" t="n">
        <v>29660</v>
      </c>
      <c r="BP429" t="inlineStr">
        <is>
          <t>G,G</t>
        </is>
      </c>
      <c r="BQ429" t="inlineStr">
        <is>
          <t>T1#</t>
        </is>
      </c>
      <c r="BR429" t="n">
        <v>148330</v>
      </c>
      <c r="BS429" t="n">
        <v>5.037527593818985</v>
      </c>
      <c r="BT429" t="n">
        <v>52545</v>
      </c>
      <c r="BU429" t="n">
        <v>200875</v>
      </c>
      <c r="BV429" t="n">
        <v>6.822041093564272</v>
      </c>
      <c r="BY429" t="n">
        <v>200875</v>
      </c>
      <c r="BZ429" t="n">
        <v>6.822041093564272</v>
      </c>
      <c r="CP429" t="inlineStr">
        <is>
          <t>财会及报告管理部</t>
        </is>
      </c>
      <c r="CQ429" t="inlineStr">
        <is>
          <t>5,3</t>
        </is>
      </c>
      <c r="CR429" t="n">
        <v>8</v>
      </c>
      <c r="CS429" t="inlineStr">
        <is>
          <t>T1#</t>
        </is>
      </c>
      <c r="CT429" t="inlineStr">
        <is>
          <t>N</t>
        </is>
      </c>
    </row>
    <row r="430">
      <c r="A430" t="inlineStr">
        <is>
          <t>claireNiu(牛思)</t>
        </is>
      </c>
      <c r="C430" t="n">
        <v>41368509</v>
      </c>
      <c r="D430" t="inlineStr">
        <is>
          <t>IEG财务管理</t>
        </is>
      </c>
      <c r="E430" t="inlineStr">
        <is>
          <t>自研财务管理组</t>
        </is>
      </c>
      <c r="G430" t="inlineStr">
        <is>
          <t>S2职能系统－财经线/IEG财务管理/自研财务管理组</t>
        </is>
      </c>
      <c r="H430" s="188" t="n">
        <v>43236</v>
      </c>
      <c r="I430" t="inlineStr">
        <is>
          <t>高校招聘</t>
        </is>
      </c>
      <c r="J430" t="inlineStr">
        <is>
          <t>财经类－FN</t>
        </is>
      </c>
      <c r="K430" t="inlineStr">
        <is>
          <t>财务管理</t>
        </is>
      </c>
      <c r="L430" t="inlineStr">
        <is>
          <t>S11</t>
        </is>
      </c>
      <c r="N430" t="inlineStr">
        <is>
          <t>T1</t>
        </is>
      </c>
      <c r="Q430" t="inlineStr">
        <is>
          <t>O,G</t>
        </is>
      </c>
      <c r="U430" t="n">
        <v>62826.4</v>
      </c>
      <c r="V430" t="n">
        <v>0.083333</v>
      </c>
      <c r="W430" t="inlineStr">
        <is>
          <t>CNY</t>
        </is>
      </c>
      <c r="X430" t="n">
        <v>1</v>
      </c>
      <c r="Y430" t="n">
        <v>60804.59</v>
      </c>
      <c r="Z430" t="n">
        <v>0</v>
      </c>
      <c r="AA430" t="n">
        <v>188479.2</v>
      </c>
      <c r="AB430" t="n">
        <v>150660</v>
      </c>
      <c r="AC430" t="n">
        <v>67700</v>
      </c>
      <c r="AF430" t="n">
        <v>0</v>
      </c>
      <c r="AG430" t="n">
        <v>406839.2</v>
      </c>
      <c r="AH430" t="n">
        <v>6.690929089399337</v>
      </c>
      <c r="AI430" t="n">
        <v>406839.2</v>
      </c>
      <c r="AJ430" t="n">
        <v>6.690929089399337</v>
      </c>
      <c r="AK430" t="n">
        <v>5.577526301879513</v>
      </c>
      <c r="AQ430" t="n">
        <v>406839.2</v>
      </c>
      <c r="AR430" t="n">
        <v>6.690929089399337</v>
      </c>
      <c r="AS430" t="n">
        <v>1.335168520888714</v>
      </c>
      <c r="BL430" t="n">
        <v>1</v>
      </c>
      <c r="BM430" t="n">
        <v>55295</v>
      </c>
      <c r="BN430" t="n">
        <v>0</v>
      </c>
      <c r="BO430" t="n">
        <v>59650</v>
      </c>
      <c r="BP430" t="inlineStr">
        <is>
          <t>G,G</t>
        </is>
      </c>
      <c r="BQ430" t="inlineStr">
        <is>
          <t>T1</t>
        </is>
      </c>
      <c r="BR430" t="n">
        <v>190850</v>
      </c>
      <c r="BS430" t="n">
        <v>3.451487476263677</v>
      </c>
      <c r="BT430" t="n">
        <v>113860</v>
      </c>
      <c r="BU430" t="n">
        <v>304710</v>
      </c>
      <c r="BV430" t="n">
        <v>5.510624830454833</v>
      </c>
      <c r="BY430" t="n">
        <v>304710</v>
      </c>
      <c r="BZ430" t="n">
        <v>5.510624830454833</v>
      </c>
      <c r="CP430" t="inlineStr">
        <is>
          <t>IEG财务管理</t>
        </is>
      </c>
      <c r="CQ430" t="inlineStr">
        <is>
          <t>5,3</t>
        </is>
      </c>
      <c r="CR430" t="n">
        <v>11</v>
      </c>
      <c r="CS430" t="inlineStr">
        <is>
          <t>T1</t>
        </is>
      </c>
      <c r="CT430" t="inlineStr">
        <is>
          <t>N</t>
        </is>
      </c>
    </row>
    <row r="431">
      <c r="A431" t="inlineStr">
        <is>
          <t>melissaXu(徐珊悦)</t>
        </is>
      </c>
      <c r="C431" t="n">
        <v>32781872</v>
      </c>
      <c r="D431" t="inlineStr">
        <is>
          <t>财经IT管理部</t>
        </is>
      </c>
      <c r="E431" t="inlineStr">
        <is>
          <t>业务开发中心</t>
        </is>
      </c>
      <c r="G431" t="inlineStr">
        <is>
          <t>S2职能系统－财经线/财经IT管理部/业务开发中心</t>
        </is>
      </c>
      <c r="H431" s="188" t="n">
        <v>44904</v>
      </c>
      <c r="I431" t="inlineStr">
        <is>
          <t>社会招聘</t>
        </is>
      </c>
      <c r="J431" t="inlineStr">
        <is>
          <t>技术研发类－TRD</t>
        </is>
      </c>
      <c r="K431" t="inlineStr">
        <is>
          <t>应用开发</t>
        </is>
      </c>
      <c r="L431" t="inlineStr">
        <is>
          <t>T6</t>
        </is>
      </c>
      <c r="N431" t="inlineStr">
        <is>
          <t>T1</t>
        </is>
      </c>
      <c r="Q431" t="inlineStr">
        <is>
          <t>U,G</t>
        </is>
      </c>
      <c r="U431" t="n">
        <v>35500.65</v>
      </c>
      <c r="V431" t="n">
        <v>0.083333</v>
      </c>
      <c r="W431" t="inlineStr">
        <is>
          <t>CNY</t>
        </is>
      </c>
      <c r="X431" t="n">
        <v>1</v>
      </c>
      <c r="Y431" t="n">
        <v>34504.51</v>
      </c>
      <c r="Z431" t="n">
        <v>0</v>
      </c>
      <c r="AA431" t="n">
        <v>35500.65</v>
      </c>
      <c r="AB431" t="n">
        <v>74295</v>
      </c>
      <c r="AC431" t="n">
        <v>0</v>
      </c>
      <c r="AF431" t="n">
        <v>0</v>
      </c>
      <c r="AG431" t="n">
        <v>109795.65</v>
      </c>
      <c r="AH431" t="n">
        <v>3.18206663418782</v>
      </c>
      <c r="AI431" t="n">
        <v>109795.65</v>
      </c>
      <c r="AJ431" t="n">
        <v>3.18206663418782</v>
      </c>
      <c r="AK431" t="n">
        <v>3.18206663418782</v>
      </c>
      <c r="AQ431" t="n">
        <v>109795.65</v>
      </c>
      <c r="AR431" t="n">
        <v>3.18206663418782</v>
      </c>
      <c r="AS431" t="n">
        <v>0.7827729654582397</v>
      </c>
      <c r="BL431" t="n">
        <v>1</v>
      </c>
      <c r="BM431" t="n">
        <v>29095</v>
      </c>
      <c r="BN431" t="n">
        <v>0</v>
      </c>
      <c r="BO431" t="n">
        <v>31445</v>
      </c>
      <c r="BP431" t="inlineStr">
        <is>
          <t>G,G</t>
        </is>
      </c>
      <c r="BQ431" t="inlineStr">
        <is>
          <t>T1</t>
        </is>
      </c>
      <c r="BR431" t="n">
        <v>94925</v>
      </c>
      <c r="BS431" t="n">
        <v>3.262588073552157</v>
      </c>
      <c r="BT431" t="n">
        <v>45340</v>
      </c>
      <c r="BU431" t="n">
        <v>140265</v>
      </c>
      <c r="BV431" t="n">
        <v>4.820931431517443</v>
      </c>
      <c r="BY431" t="n">
        <v>140265</v>
      </c>
      <c r="BZ431" t="n">
        <v>4.820931431517443</v>
      </c>
      <c r="CP431" t="inlineStr">
        <is>
          <t>财经IT管理部</t>
        </is>
      </c>
      <c r="CQ431" t="inlineStr">
        <is>
          <t>3,1</t>
        </is>
      </c>
      <c r="CR431" t="n">
        <v>6</v>
      </c>
      <c r="CS431" t="inlineStr">
        <is>
          <t>T1</t>
        </is>
      </c>
      <c r="CT431" t="inlineStr">
        <is>
          <t>N</t>
        </is>
      </c>
    </row>
    <row r="432">
      <c r="A432" t="inlineStr">
        <is>
          <t>addisonZou(邹涵丹)</t>
        </is>
      </c>
      <c r="C432" t="n">
        <v>78510654</v>
      </c>
      <c r="D432" t="inlineStr">
        <is>
          <t>财经IT管理部</t>
        </is>
      </c>
      <c r="E432" t="inlineStr">
        <is>
          <t>国际业务支持中心</t>
        </is>
      </c>
      <c r="G432" t="inlineStr">
        <is>
          <t>S2职能系统－财经线/财经IT管理部/国际业务支持中心</t>
        </is>
      </c>
      <c r="H432" s="188" t="n">
        <v>43974</v>
      </c>
      <c r="I432" t="inlineStr">
        <is>
          <t>社会招聘</t>
        </is>
      </c>
      <c r="J432" t="inlineStr">
        <is>
          <t>技术研发类－TRD</t>
        </is>
      </c>
      <c r="K432" t="inlineStr">
        <is>
          <t>应用开发</t>
        </is>
      </c>
      <c r="L432" t="inlineStr">
        <is>
          <t>T8</t>
        </is>
      </c>
      <c r="N432" t="inlineStr">
        <is>
          <t>T2</t>
        </is>
      </c>
      <c r="Q432" t="inlineStr">
        <is>
          <t>O,U</t>
        </is>
      </c>
      <c r="U432" t="n">
        <v>29392.8</v>
      </c>
      <c r="V432" t="n">
        <v>0.083333</v>
      </c>
      <c r="W432" t="inlineStr">
        <is>
          <t>CNY</t>
        </is>
      </c>
      <c r="X432" t="n">
        <v>1</v>
      </c>
      <c r="Y432" t="n">
        <v>27918.73</v>
      </c>
      <c r="Z432" t="n">
        <v>0</v>
      </c>
      <c r="AA432" t="n">
        <v>58785.6</v>
      </c>
      <c r="AB432" t="n">
        <v>38745</v>
      </c>
      <c r="AC432" t="n">
        <v>0</v>
      </c>
      <c r="AF432" t="n">
        <v>0</v>
      </c>
      <c r="AG432" t="n">
        <v>97530.60000000001</v>
      </c>
      <c r="AH432" t="n">
        <v>3.493375235907938</v>
      </c>
      <c r="AI432" t="n">
        <v>97530.60000000001</v>
      </c>
      <c r="AJ432" t="n">
        <v>3.493375235907938</v>
      </c>
      <c r="AK432" t="n">
        <v>3.493375235907938</v>
      </c>
      <c r="AQ432" t="n">
        <v>97530.60000000001</v>
      </c>
      <c r="AR432" t="n">
        <v>3.493375235907938</v>
      </c>
      <c r="AS432" t="n">
        <v>0.8711978561857973</v>
      </c>
      <c r="BL432" t="n">
        <v>1</v>
      </c>
      <c r="BM432" t="n">
        <v>25030</v>
      </c>
      <c r="BN432" t="n">
        <v>0</v>
      </c>
      <c r="BO432" t="n">
        <v>26710</v>
      </c>
      <c r="BP432" t="inlineStr">
        <is>
          <t>O,G</t>
        </is>
      </c>
      <c r="BQ432" t="inlineStr">
        <is>
          <t>T2</t>
        </is>
      </c>
      <c r="BR432" t="n">
        <v>111950</v>
      </c>
      <c r="BS432" t="n">
        <v>4.472632840591291</v>
      </c>
      <c r="BT432" t="n">
        <v>0</v>
      </c>
      <c r="BU432" t="n">
        <v>111950</v>
      </c>
      <c r="BV432" t="n">
        <v>4.472632840591291</v>
      </c>
      <c r="BY432" t="n">
        <v>111950</v>
      </c>
      <c r="BZ432" t="n">
        <v>4.472632840591291</v>
      </c>
      <c r="CP432" t="inlineStr">
        <is>
          <t>财经IT管理部</t>
        </is>
      </c>
      <c r="CQ432" t="inlineStr">
        <is>
          <t>5,1</t>
        </is>
      </c>
      <c r="CR432" t="n">
        <v>8</v>
      </c>
      <c r="CS432" t="inlineStr">
        <is>
          <t>T2</t>
        </is>
      </c>
      <c r="CT432" t="inlineStr">
        <is>
          <t>N</t>
        </is>
      </c>
    </row>
    <row r="433">
      <c r="A433" t="inlineStr">
        <is>
          <t>sharonGong(龚妍)</t>
        </is>
      </c>
      <c r="C433" t="n">
        <v>13576720</v>
      </c>
      <c r="D433" t="inlineStr">
        <is>
          <t>财会及报告管理部</t>
        </is>
      </c>
      <c r="E433" t="inlineStr">
        <is>
          <t>财报中心</t>
        </is>
      </c>
      <c r="G433" t="inlineStr">
        <is>
          <t>S2职能系统－财经线/财会及报告管理部/财报中心</t>
        </is>
      </c>
      <c r="H433" s="188" t="n">
        <v>44061</v>
      </c>
      <c r="I433" t="inlineStr">
        <is>
          <t>高校招聘</t>
        </is>
      </c>
      <c r="J433" t="inlineStr">
        <is>
          <t>财经类－FN</t>
        </is>
      </c>
      <c r="K433" t="inlineStr">
        <is>
          <t>会计</t>
        </is>
      </c>
      <c r="L433" t="inlineStr">
        <is>
          <t>S6</t>
        </is>
      </c>
      <c r="N433" t="inlineStr">
        <is>
          <t>T1</t>
        </is>
      </c>
      <c r="Q433" t="inlineStr">
        <is>
          <t>O,O</t>
        </is>
      </c>
      <c r="U433" t="n">
        <v>23247.75</v>
      </c>
      <c r="V433" t="n">
        <v>0.083333</v>
      </c>
      <c r="W433" t="inlineStr">
        <is>
          <t>CNY</t>
        </is>
      </c>
      <c r="X433" t="n">
        <v>1</v>
      </c>
      <c r="Y433" t="n">
        <v>21653.63</v>
      </c>
      <c r="Z433" t="n">
        <v>0</v>
      </c>
      <c r="AA433" t="n">
        <v>92991</v>
      </c>
      <c r="AB433" t="n">
        <v>53160</v>
      </c>
      <c r="AC433" t="n">
        <v>32170</v>
      </c>
      <c r="AF433" t="n">
        <v>0</v>
      </c>
      <c r="AG433" t="n">
        <v>178321</v>
      </c>
      <c r="AH433" t="n">
        <v>8.235155029433864</v>
      </c>
      <c r="AI433" t="n">
        <v>178321</v>
      </c>
      <c r="AJ433" t="n">
        <v>8.235155029433864</v>
      </c>
      <c r="AK433" t="n">
        <v>6.749491886579755</v>
      </c>
      <c r="AQ433" t="n">
        <v>178321</v>
      </c>
      <c r="AR433" t="n">
        <v>8.235155029433864</v>
      </c>
      <c r="AS433" t="n">
        <v>1.804594444163335</v>
      </c>
      <c r="BL433" t="n">
        <v>1</v>
      </c>
      <c r="BM433" t="n">
        <v>20775</v>
      </c>
      <c r="BN433" t="n">
        <v>0</v>
      </c>
      <c r="BO433" t="n">
        <v>22640</v>
      </c>
      <c r="BP433" t="inlineStr">
        <is>
          <t>G,O</t>
        </is>
      </c>
      <c r="BQ433" t="inlineStr">
        <is>
          <t>T2</t>
        </is>
      </c>
      <c r="BR433" t="n">
        <v>98815</v>
      </c>
      <c r="BS433" t="n">
        <v>4.756438026474128</v>
      </c>
      <c r="BT433" t="n">
        <v>0</v>
      </c>
      <c r="BU433" t="n">
        <v>98815</v>
      </c>
      <c r="BV433" t="n">
        <v>4.756438026474128</v>
      </c>
      <c r="BY433" t="n">
        <v>98815</v>
      </c>
      <c r="BZ433" t="n">
        <v>4.756438026474128</v>
      </c>
      <c r="CP433" t="inlineStr">
        <is>
          <t>财会及报告管理部</t>
        </is>
      </c>
      <c r="CQ433" t="inlineStr">
        <is>
          <t>5,5</t>
        </is>
      </c>
      <c r="CR433" t="n">
        <v>6</v>
      </c>
      <c r="CS433" t="inlineStr">
        <is>
          <t>T1</t>
        </is>
      </c>
      <c r="CT433" t="inlineStr">
        <is>
          <t>N</t>
        </is>
      </c>
    </row>
    <row r="434">
      <c r="A434" t="inlineStr">
        <is>
          <t>eugeneZeng(曾骏锐)</t>
        </is>
      </c>
      <c r="C434" t="n">
        <v>89781309</v>
      </c>
      <c r="D434" t="inlineStr">
        <is>
          <t>财会及报告管理部</t>
        </is>
      </c>
      <c r="E434" t="inlineStr">
        <is>
          <t>员工报销服务中心</t>
        </is>
      </c>
      <c r="G434" t="inlineStr">
        <is>
          <t>S2职能系统－财经线/财会及报告管理部/员工报销服务中心</t>
        </is>
      </c>
      <c r="H434" s="188" t="n">
        <v>41552</v>
      </c>
      <c r="I434" t="inlineStr">
        <is>
          <t>社会招聘</t>
        </is>
      </c>
      <c r="J434" t="inlineStr">
        <is>
          <t>财经类－FN</t>
        </is>
      </c>
      <c r="K434" t="inlineStr">
        <is>
          <t>会计</t>
        </is>
      </c>
      <c r="L434" t="inlineStr">
        <is>
          <t>S10</t>
        </is>
      </c>
      <c r="N434" t="inlineStr">
        <is>
          <t>T1#</t>
        </is>
      </c>
      <c r="Q434" t="inlineStr">
        <is>
          <t>G,O</t>
        </is>
      </c>
      <c r="U434" t="n">
        <v>48259.55</v>
      </c>
      <c r="V434" t="n">
        <v>0.083333</v>
      </c>
      <c r="W434" t="inlineStr">
        <is>
          <t>CNY</t>
        </is>
      </c>
      <c r="X434" t="n">
        <v>1</v>
      </c>
      <c r="Y434" t="n">
        <v>47132.38</v>
      </c>
      <c r="Z434" t="n">
        <v>0</v>
      </c>
      <c r="AA434" t="n">
        <v>144778.65</v>
      </c>
      <c r="AB434" t="n">
        <v>160830</v>
      </c>
      <c r="AC434" t="n">
        <v>61735</v>
      </c>
      <c r="AF434" t="n">
        <v>0</v>
      </c>
      <c r="AG434" t="n">
        <v>367343.65</v>
      </c>
      <c r="AH434" t="n">
        <v>7.793870158901377</v>
      </c>
      <c r="AI434" t="n">
        <v>367343.65</v>
      </c>
      <c r="AJ434" t="n">
        <v>7.793870158901377</v>
      </c>
      <c r="AK434" t="n">
        <v>6.484048757987609</v>
      </c>
      <c r="AQ434" t="n">
        <v>367343.65</v>
      </c>
      <c r="AR434" t="n">
        <v>7.793870158901377</v>
      </c>
      <c r="AS434" t="n">
        <v>1.468845815506418</v>
      </c>
      <c r="BL434" t="n">
        <v>1</v>
      </c>
      <c r="BM434" t="n">
        <v>39985</v>
      </c>
      <c r="BN434" t="n">
        <v>0</v>
      </c>
      <c r="BO434" t="n">
        <v>40435</v>
      </c>
      <c r="BP434" t="inlineStr">
        <is>
          <t>G,G</t>
        </is>
      </c>
      <c r="BQ434" t="inlineStr">
        <is>
          <t>T1#</t>
        </is>
      </c>
      <c r="BR434" t="n">
        <v>208570</v>
      </c>
      <c r="BS434" t="n">
        <v>5.216206077278979</v>
      </c>
      <c r="BT434" t="n">
        <v>41520</v>
      </c>
      <c r="BU434" t="n">
        <v>250090</v>
      </c>
      <c r="BV434" t="n">
        <v>6.254595473302488</v>
      </c>
      <c r="BY434" t="n">
        <v>250090</v>
      </c>
      <c r="BZ434" t="n">
        <v>6.254595473302488</v>
      </c>
      <c r="CP434" t="inlineStr">
        <is>
          <t>财会及报告管理部</t>
        </is>
      </c>
      <c r="CQ434" t="inlineStr">
        <is>
          <t>5,3</t>
        </is>
      </c>
      <c r="CR434" t="n">
        <v>10</v>
      </c>
      <c r="CS434" t="inlineStr">
        <is>
          <t>T1#</t>
        </is>
      </c>
      <c r="CT434" t="inlineStr">
        <is>
          <t>N</t>
        </is>
      </c>
    </row>
    <row r="435">
      <c r="A435" t="inlineStr">
        <is>
          <t>joshuaFang(方刚)</t>
        </is>
      </c>
      <c r="C435" t="n">
        <v>90614676</v>
      </c>
      <c r="D435" t="inlineStr">
        <is>
          <t>CDG财务管理</t>
        </is>
      </c>
      <c r="E435" t="inlineStr">
        <is>
          <t>AMS收入支持中心</t>
        </is>
      </c>
      <c r="G435" t="inlineStr">
        <is>
          <t>S2职能系统－财经线/CDG财务管理/AMS收入支持中心</t>
        </is>
      </c>
      <c r="H435" s="188" t="n">
        <v>45441</v>
      </c>
      <c r="I435" t="inlineStr">
        <is>
          <t>高校招聘</t>
        </is>
      </c>
      <c r="J435" t="inlineStr">
        <is>
          <t>财经类－FN</t>
        </is>
      </c>
      <c r="K435" t="inlineStr">
        <is>
          <t>财务管理</t>
        </is>
      </c>
      <c r="L435" t="inlineStr">
        <is>
          <t>S8</t>
        </is>
      </c>
      <c r="N435" t="inlineStr">
        <is>
          <t>T2</t>
        </is>
      </c>
      <c r="Q435" t="inlineStr">
        <is>
          <t>N,G</t>
        </is>
      </c>
      <c r="U435" t="n">
        <v>38916.35</v>
      </c>
      <c r="V435" t="n">
        <v>0.083333</v>
      </c>
      <c r="W435" t="inlineStr">
        <is>
          <t>CNY</t>
        </is>
      </c>
      <c r="X435" t="n">
        <v>0.591781</v>
      </c>
      <c r="Y435" t="n">
        <v>37798.73</v>
      </c>
      <c r="Z435" t="n">
        <v>0</v>
      </c>
      <c r="AA435" t="n">
        <v>23029.96</v>
      </c>
      <c r="AB435" t="n">
        <v>0</v>
      </c>
      <c r="AC435" t="n">
        <v>0</v>
      </c>
      <c r="AF435" t="n">
        <v>0</v>
      </c>
      <c r="AG435" t="n">
        <v>23029.96</v>
      </c>
      <c r="AH435" t="n">
        <v>0.6092786715320858</v>
      </c>
      <c r="AI435" t="n">
        <v>23029.96</v>
      </c>
      <c r="AJ435" t="n">
        <v>0.6092786715320858</v>
      </c>
      <c r="AK435" t="n">
        <v>0.6092786715320858</v>
      </c>
      <c r="AQ435" t="n">
        <v>23029.96</v>
      </c>
      <c r="AR435" t="n">
        <v>0.6092786715320858</v>
      </c>
      <c r="BM435" t="n">
        <v>0</v>
      </c>
      <c r="BN435" t="n">
        <v>0</v>
      </c>
      <c r="BO435" t="n">
        <v>0</v>
      </c>
      <c r="BR435" t="n">
        <v>0</v>
      </c>
      <c r="BT435" t="n">
        <v>0</v>
      </c>
      <c r="BU435" t="n">
        <v>0</v>
      </c>
      <c r="BY435" t="n">
        <v>0</v>
      </c>
      <c r="CP435" t="inlineStr">
        <is>
          <t>CDG财务管理</t>
        </is>
      </c>
      <c r="CQ435" t="n">
        <v>3</v>
      </c>
      <c r="CR435" t="n">
        <v>8</v>
      </c>
      <c r="CS435" t="inlineStr">
        <is>
          <t>T2</t>
        </is>
      </c>
      <c r="CT435" t="inlineStr">
        <is>
          <t>N</t>
        </is>
      </c>
    </row>
    <row r="436">
      <c r="A436" t="inlineStr">
        <is>
          <t>scarlettHong(洪蕾玲)</t>
        </is>
      </c>
      <c r="C436" t="n">
        <v>7495885</v>
      </c>
      <c r="D436" t="inlineStr">
        <is>
          <t>税务部</t>
        </is>
      </c>
      <c r="E436" t="inlineStr">
        <is>
          <t>国内主体税务中心</t>
        </is>
      </c>
      <c r="G436" t="inlineStr">
        <is>
          <t>S2职能系统－财经线/税务部/国内主体税务中心</t>
        </is>
      </c>
      <c r="H436" s="188" t="n">
        <v>43717</v>
      </c>
      <c r="I436" t="inlineStr">
        <is>
          <t>社会招聘</t>
        </is>
      </c>
      <c r="J436" t="inlineStr">
        <is>
          <t>财经类－FN</t>
        </is>
      </c>
      <c r="K436" t="inlineStr">
        <is>
          <t>税务</t>
        </is>
      </c>
      <c r="L436" t="inlineStr">
        <is>
          <t>S5</t>
        </is>
      </c>
      <c r="N436" t="inlineStr">
        <is>
          <t>T2</t>
        </is>
      </c>
      <c r="Q436" t="inlineStr">
        <is>
          <t>O,G</t>
        </is>
      </c>
      <c r="U436" t="n">
        <v>20533.8</v>
      </c>
      <c r="V436" t="n">
        <v>0.083333</v>
      </c>
      <c r="W436" t="inlineStr">
        <is>
          <t>CNY</t>
        </is>
      </c>
      <c r="X436" t="n">
        <v>1</v>
      </c>
      <c r="Y436" t="n">
        <v>18794.11</v>
      </c>
      <c r="Z436" t="n">
        <v>0</v>
      </c>
      <c r="AA436" t="n">
        <v>61601.4</v>
      </c>
      <c r="AB436" t="n">
        <v>30565</v>
      </c>
      <c r="AC436" t="n">
        <v>0</v>
      </c>
      <c r="AF436" t="n">
        <v>0</v>
      </c>
      <c r="AG436" t="n">
        <v>92166.39999999999</v>
      </c>
      <c r="AH436" t="n">
        <v>4.904004499281956</v>
      </c>
      <c r="AI436" t="n">
        <v>92166.39999999999</v>
      </c>
      <c r="AJ436" t="n">
        <v>4.904004499281956</v>
      </c>
      <c r="AK436" t="n">
        <v>4.904004499281956</v>
      </c>
      <c r="AQ436" t="n">
        <v>92166.39999999999</v>
      </c>
      <c r="AR436" t="n">
        <v>4.904004499281956</v>
      </c>
      <c r="AS436" t="n">
        <v>0.7248920523811396</v>
      </c>
      <c r="BL436" t="n">
        <v>1</v>
      </c>
      <c r="BM436" t="n">
        <v>17870</v>
      </c>
      <c r="BN436" t="n">
        <v>0</v>
      </c>
      <c r="BO436" t="n">
        <v>19235</v>
      </c>
      <c r="BP436" t="inlineStr">
        <is>
          <t>G,G</t>
        </is>
      </c>
      <c r="BQ436" t="inlineStr">
        <is>
          <t>T1#</t>
        </is>
      </c>
      <c r="BR436" t="n">
        <v>105040</v>
      </c>
      <c r="BS436" t="n">
        <v>5.878007834359261</v>
      </c>
      <c r="BT436" t="n">
        <v>22105</v>
      </c>
      <c r="BU436" t="n">
        <v>127145</v>
      </c>
      <c r="BV436" t="n">
        <v>7.11499720201455</v>
      </c>
      <c r="BY436" t="n">
        <v>127145</v>
      </c>
      <c r="BZ436" t="n">
        <v>7.11499720201455</v>
      </c>
      <c r="CP436" t="inlineStr">
        <is>
          <t>税务部</t>
        </is>
      </c>
      <c r="CQ436" t="inlineStr">
        <is>
          <t>5,3</t>
        </is>
      </c>
      <c r="CR436" t="n">
        <v>5</v>
      </c>
      <c r="CS436" t="inlineStr">
        <is>
          <t>T2</t>
        </is>
      </c>
      <c r="CT436" t="inlineStr">
        <is>
          <t>N</t>
        </is>
      </c>
    </row>
    <row r="437">
      <c r="A437" t="inlineStr">
        <is>
          <t>miaDing(丁荷)</t>
        </is>
      </c>
      <c r="C437" t="n">
        <v>97002457</v>
      </c>
      <c r="D437" t="inlineStr">
        <is>
          <t>财经IT管理部</t>
        </is>
      </c>
      <c r="E437" t="inlineStr">
        <is>
          <t>财经IT管理部</t>
        </is>
      </c>
      <c r="G437" t="inlineStr">
        <is>
          <t>S2职能系统－财经线/财经IT管理部</t>
        </is>
      </c>
      <c r="H437" s="188" t="n">
        <v>39094</v>
      </c>
      <c r="I437" t="inlineStr">
        <is>
          <t>社会招聘</t>
        </is>
      </c>
      <c r="J437" t="inlineStr">
        <is>
          <t>技术研发类－TRD</t>
        </is>
      </c>
      <c r="K437" t="inlineStr">
        <is>
          <t>应用开发</t>
        </is>
      </c>
      <c r="L437" t="inlineStr">
        <is>
          <t>T6</t>
        </is>
      </c>
      <c r="N437" t="inlineStr">
        <is>
          <t>T1</t>
        </is>
      </c>
      <c r="Q437" t="inlineStr">
        <is>
          <t>G,G</t>
        </is>
      </c>
      <c r="U437" t="n">
        <v>37737.65</v>
      </c>
      <c r="V437" t="n">
        <v>0.083333</v>
      </c>
      <c r="W437" t="inlineStr">
        <is>
          <t>CNY</t>
        </is>
      </c>
      <c r="X437" t="n">
        <v>1</v>
      </c>
      <c r="Y437" t="n">
        <v>34802.1</v>
      </c>
      <c r="Z437" t="n">
        <v>0</v>
      </c>
      <c r="AA437" t="n">
        <v>75475.3</v>
      </c>
      <c r="AB437" t="n">
        <v>88590</v>
      </c>
      <c r="AC437" t="n">
        <v>52180</v>
      </c>
      <c r="AF437" t="n">
        <v>0</v>
      </c>
      <c r="AG437" t="n">
        <v>216245.3</v>
      </c>
      <c r="AH437" t="n">
        <v>6.213570445461625</v>
      </c>
      <c r="AI437" t="n">
        <v>216245.3</v>
      </c>
      <c r="AJ437" t="n">
        <v>6.213570445461625</v>
      </c>
      <c r="AK437" t="n">
        <v>4.714235635205921</v>
      </c>
      <c r="AQ437" t="n">
        <v>216245.3</v>
      </c>
      <c r="AR437" t="n">
        <v>6.213570445461625</v>
      </c>
      <c r="AS437" t="n">
        <v>3.027585579278964</v>
      </c>
      <c r="BL437" t="n">
        <v>1</v>
      </c>
      <c r="BM437" t="n">
        <v>32560</v>
      </c>
      <c r="BN437" t="n">
        <v>0</v>
      </c>
      <c r="BO437" t="n">
        <v>32565</v>
      </c>
      <c r="BP437" t="inlineStr">
        <is>
          <t>G,U</t>
        </is>
      </c>
      <c r="BQ437" t="inlineStr">
        <is>
          <t>Others</t>
        </is>
      </c>
      <c r="BR437" t="n">
        <v>71425</v>
      </c>
      <c r="BS437" t="n">
        <v>2.193642506142506</v>
      </c>
      <c r="BT437" t="n">
        <v>0</v>
      </c>
      <c r="BU437" t="n">
        <v>71425</v>
      </c>
      <c r="BV437" t="n">
        <v>2.193642506142506</v>
      </c>
      <c r="BY437" t="n">
        <v>71425</v>
      </c>
      <c r="BZ437" t="n">
        <v>2.193642506142506</v>
      </c>
      <c r="CP437" t="inlineStr">
        <is>
          <t>财经IT管理部</t>
        </is>
      </c>
      <c r="CQ437" t="inlineStr">
        <is>
          <t>3,3</t>
        </is>
      </c>
      <c r="CR437" t="n">
        <v>6</v>
      </c>
      <c r="CS437" t="inlineStr">
        <is>
          <t>T1</t>
        </is>
      </c>
      <c r="CT437" t="inlineStr">
        <is>
          <t>N</t>
        </is>
      </c>
    </row>
    <row r="438">
      <c r="A438" t="inlineStr">
        <is>
          <t>allisonKong(孔涵洁)</t>
        </is>
      </c>
      <c r="C438" t="n">
        <v>9865962</v>
      </c>
      <c r="D438" t="inlineStr">
        <is>
          <t>CSIG财务管理</t>
        </is>
      </c>
      <c r="E438" t="inlineStr">
        <is>
          <t>应收账款管理中心</t>
        </is>
      </c>
      <c r="G438" t="inlineStr">
        <is>
          <t>S2职能系统－财经线/CSIG财务管理/应收账款管理中心</t>
        </is>
      </c>
      <c r="H438" s="188" t="n">
        <v>45420</v>
      </c>
      <c r="I438" t="inlineStr">
        <is>
          <t>高校招聘</t>
        </is>
      </c>
      <c r="J438" t="inlineStr">
        <is>
          <t>财经类－FN</t>
        </is>
      </c>
      <c r="K438" t="inlineStr">
        <is>
          <t>财务管理</t>
        </is>
      </c>
      <c r="L438" t="inlineStr">
        <is>
          <t>S6</t>
        </is>
      </c>
      <c r="N438" t="inlineStr">
        <is>
          <t>T1#</t>
        </is>
      </c>
      <c r="Q438" t="inlineStr">
        <is>
          <t>N,O</t>
        </is>
      </c>
      <c r="U438" t="n">
        <v>24312.4</v>
      </c>
      <c r="V438" t="n">
        <v>0.083333</v>
      </c>
      <c r="W438" t="inlineStr">
        <is>
          <t>CNY</t>
        </is>
      </c>
      <c r="X438" t="n">
        <v>0.649315</v>
      </c>
      <c r="Y438" t="n">
        <v>22421.71</v>
      </c>
      <c r="Z438" t="n">
        <v>0</v>
      </c>
      <c r="AA438" t="n">
        <v>15786.41</v>
      </c>
      <c r="AB438" t="n">
        <v>0</v>
      </c>
      <c r="AC438" t="n">
        <v>0</v>
      </c>
      <c r="AF438" t="n">
        <v>0</v>
      </c>
      <c r="AG438" t="n">
        <v>15786.41</v>
      </c>
      <c r="AH438" t="n">
        <v>0.704068066173365</v>
      </c>
      <c r="AI438" t="n">
        <v>15786.41</v>
      </c>
      <c r="AJ438" t="n">
        <v>0.704068066173365</v>
      </c>
      <c r="AK438" t="n">
        <v>0.704068066173365</v>
      </c>
      <c r="AQ438" t="n">
        <v>15786.41</v>
      </c>
      <c r="AR438" t="n">
        <v>0.704068066173365</v>
      </c>
      <c r="BM438" t="n">
        <v>0</v>
      </c>
      <c r="BN438" t="n">
        <v>0</v>
      </c>
      <c r="BO438" t="n">
        <v>0</v>
      </c>
      <c r="BR438" t="n">
        <v>0</v>
      </c>
      <c r="BT438" t="n">
        <v>0</v>
      </c>
      <c r="BU438" t="n">
        <v>0</v>
      </c>
      <c r="BY438" t="n">
        <v>0</v>
      </c>
      <c r="CP438" t="inlineStr">
        <is>
          <t>CSIG财务管理</t>
        </is>
      </c>
      <c r="CQ438" t="n">
        <v>5</v>
      </c>
      <c r="CR438" t="n">
        <v>6</v>
      </c>
      <c r="CS438" t="inlineStr">
        <is>
          <t>T1#</t>
        </is>
      </c>
      <c r="CT438" t="inlineStr">
        <is>
          <t>N</t>
        </is>
      </c>
    </row>
    <row r="439">
      <c r="A439" t="inlineStr">
        <is>
          <t>sophieWei(魏璇)</t>
        </is>
      </c>
      <c r="C439" t="n">
        <v>32541986</v>
      </c>
      <c r="D439" t="inlineStr">
        <is>
          <t>海外财经中心</t>
        </is>
      </c>
      <c r="E439" t="inlineStr">
        <is>
          <t>海外财经中心</t>
        </is>
      </c>
      <c r="G439" t="inlineStr">
        <is>
          <t>S2职能系统－财经线/海外财经中心</t>
        </is>
      </c>
      <c r="H439" s="188" t="n">
        <v>40457</v>
      </c>
      <c r="I439" t="inlineStr">
        <is>
          <t>高校招聘</t>
        </is>
      </c>
      <c r="J439" t="inlineStr">
        <is>
          <t>财经类－FN</t>
        </is>
      </c>
      <c r="K439" t="inlineStr">
        <is>
          <t>财务管理</t>
        </is>
      </c>
      <c r="L439" t="inlineStr">
        <is>
          <t>S11</t>
        </is>
      </c>
      <c r="N439" t="inlineStr">
        <is>
          <t>T1#</t>
        </is>
      </c>
      <c r="Q439" t="inlineStr">
        <is>
          <t>G,G</t>
        </is>
      </c>
      <c r="U439" t="n">
        <v>52124.65</v>
      </c>
      <c r="V439" t="n">
        <v>0.083333</v>
      </c>
      <c r="W439" t="inlineStr">
        <is>
          <t>CNY</t>
        </is>
      </c>
      <c r="X439" t="n">
        <v>1</v>
      </c>
      <c r="Y439" t="n">
        <v>47787.39</v>
      </c>
      <c r="Z439" t="n">
        <v>0</v>
      </c>
      <c r="AA439" t="n">
        <v>104249.3</v>
      </c>
      <c r="AB439" t="n">
        <v>158735</v>
      </c>
      <c r="AC439" t="n">
        <v>77190</v>
      </c>
      <c r="AF439" t="n">
        <v>0</v>
      </c>
      <c r="AG439" t="n">
        <v>340174.3</v>
      </c>
      <c r="AH439" t="n">
        <v>7.118495067422598</v>
      </c>
      <c r="AI439" t="n">
        <v>340174.3</v>
      </c>
      <c r="AJ439" t="n">
        <v>7.118495067422598</v>
      </c>
      <c r="AK439" t="n">
        <v>5.503215387992523</v>
      </c>
      <c r="AQ439" t="n">
        <v>340174.3</v>
      </c>
      <c r="AR439" t="n">
        <v>7.118495067422598</v>
      </c>
      <c r="AS439" t="n">
        <v>1.098151208961488</v>
      </c>
      <c r="BL439" t="n">
        <v>1</v>
      </c>
      <c r="BM439" t="n">
        <v>43680</v>
      </c>
      <c r="BN439" t="n">
        <v>0</v>
      </c>
      <c r="BO439" t="n">
        <v>44620</v>
      </c>
      <c r="BP439" t="inlineStr">
        <is>
          <t>G,G</t>
        </is>
      </c>
      <c r="BQ439" t="inlineStr">
        <is>
          <t>T1#</t>
        </is>
      </c>
      <c r="BR439" t="n">
        <v>236225</v>
      </c>
      <c r="BS439" t="n">
        <v>5.408081501831502</v>
      </c>
      <c r="BT439" t="n">
        <v>73545</v>
      </c>
      <c r="BU439" t="n">
        <v>309770</v>
      </c>
      <c r="BV439" t="n">
        <v>7.091804029304029</v>
      </c>
      <c r="BY439" t="n">
        <v>309770</v>
      </c>
      <c r="BZ439" t="n">
        <v>7.091804029304029</v>
      </c>
      <c r="CP439" t="inlineStr">
        <is>
          <t>海外财经中心</t>
        </is>
      </c>
      <c r="CQ439" t="inlineStr">
        <is>
          <t>3,3</t>
        </is>
      </c>
      <c r="CR439" t="n">
        <v>11</v>
      </c>
      <c r="CS439" t="inlineStr">
        <is>
          <t>T1#</t>
        </is>
      </c>
      <c r="CT439" t="inlineStr">
        <is>
          <t>N</t>
        </is>
      </c>
    </row>
    <row r="440">
      <c r="A440" t="inlineStr">
        <is>
          <t>carlHe(何旭海)</t>
        </is>
      </c>
      <c r="C440" t="n">
        <v>71774236</v>
      </c>
      <c r="D440" t="inlineStr">
        <is>
          <t>财经IT管理部</t>
        </is>
      </c>
      <c r="E440" t="inlineStr">
        <is>
          <t>业务开发中心</t>
        </is>
      </c>
      <c r="G440" t="inlineStr">
        <is>
          <t>S2职能系统－财经线/财经IT管理部/业务开发中心</t>
        </is>
      </c>
      <c r="H440" s="188" t="n">
        <v>38404</v>
      </c>
      <c r="I440" t="inlineStr">
        <is>
          <t>社会招聘</t>
        </is>
      </c>
      <c r="J440" t="inlineStr">
        <is>
          <t>技术研发类－TRD</t>
        </is>
      </c>
      <c r="K440" t="inlineStr">
        <is>
          <t>应用开发</t>
        </is>
      </c>
      <c r="L440" t="inlineStr">
        <is>
          <t>T7</t>
        </is>
      </c>
      <c r="N440" t="inlineStr">
        <is>
          <t>T2</t>
        </is>
      </c>
      <c r="Q440" t="inlineStr">
        <is>
          <t>G,G</t>
        </is>
      </c>
      <c r="U440" t="n">
        <v>35857.2</v>
      </c>
      <c r="V440" t="n">
        <v>0.083333</v>
      </c>
      <c r="W440" t="inlineStr">
        <is>
          <t>CNY</t>
        </is>
      </c>
      <c r="X440" t="n">
        <v>1</v>
      </c>
      <c r="Y440" t="n">
        <v>34614.94</v>
      </c>
      <c r="Z440" t="n">
        <v>0</v>
      </c>
      <c r="AA440" t="n">
        <v>71714.39999999999</v>
      </c>
      <c r="AB440" t="n">
        <v>52565</v>
      </c>
      <c r="AC440" t="n">
        <v>0</v>
      </c>
      <c r="AF440" t="n">
        <v>0</v>
      </c>
      <c r="AG440" t="n">
        <v>124279.4</v>
      </c>
      <c r="AH440" t="n">
        <v>3.590339893699078</v>
      </c>
      <c r="AI440" t="n">
        <v>124279.4</v>
      </c>
      <c r="AJ440" t="n">
        <v>3.590339893699078</v>
      </c>
      <c r="AK440" t="n">
        <v>3.590339893699078</v>
      </c>
      <c r="AQ440" t="n">
        <v>124279.4</v>
      </c>
      <c r="AR440" t="n">
        <v>3.590339893699078</v>
      </c>
      <c r="AS440" t="n">
        <v>1.065952483060297</v>
      </c>
      <c r="BL440" t="n">
        <v>1</v>
      </c>
      <c r="BM440" t="n">
        <v>32235</v>
      </c>
      <c r="BN440" t="n">
        <v>0</v>
      </c>
      <c r="BO440" t="n">
        <v>33995</v>
      </c>
      <c r="BP440" t="inlineStr">
        <is>
          <t>G,G</t>
        </is>
      </c>
      <c r="BQ440" t="inlineStr">
        <is>
          <t>T2</t>
        </is>
      </c>
      <c r="BR440" t="n">
        <v>116590</v>
      </c>
      <c r="BS440" t="n">
        <v>3.616876066387467</v>
      </c>
      <c r="BT440" t="n">
        <v>0</v>
      </c>
      <c r="BU440" t="n">
        <v>116590</v>
      </c>
      <c r="BV440" t="n">
        <v>3.616876066387467</v>
      </c>
      <c r="BY440" t="n">
        <v>116590</v>
      </c>
      <c r="BZ440" t="n">
        <v>3.616876066387467</v>
      </c>
      <c r="CP440" t="inlineStr">
        <is>
          <t>财经IT管理部</t>
        </is>
      </c>
      <c r="CQ440" t="inlineStr">
        <is>
          <t>3,3</t>
        </is>
      </c>
      <c r="CR440" t="n">
        <v>7</v>
      </c>
      <c r="CS440" t="inlineStr">
        <is>
          <t>T2</t>
        </is>
      </c>
      <c r="CT440" t="inlineStr">
        <is>
          <t>N</t>
        </is>
      </c>
    </row>
    <row r="441">
      <c r="A441" t="inlineStr">
        <is>
          <t>rachelZhong(钟蕾红)</t>
        </is>
      </c>
      <c r="C441" t="n">
        <v>61058748</v>
      </c>
      <c r="D441" t="inlineStr">
        <is>
          <t>CDG财务管理</t>
        </is>
      </c>
      <c r="E441" t="inlineStr">
        <is>
          <t>AMS客户管理中心</t>
        </is>
      </c>
      <c r="G441" t="inlineStr">
        <is>
          <t>S2职能系统－财经线/CDG财务管理/AMS客户管理中心</t>
        </is>
      </c>
      <c r="H441" s="188" t="n">
        <v>36214</v>
      </c>
      <c r="I441" t="inlineStr">
        <is>
          <t>社会招聘</t>
        </is>
      </c>
      <c r="J441" t="inlineStr">
        <is>
          <t>财经类－FN</t>
        </is>
      </c>
      <c r="K441" t="inlineStr">
        <is>
          <t>财务管理</t>
        </is>
      </c>
      <c r="L441" t="inlineStr">
        <is>
          <t>S11</t>
        </is>
      </c>
      <c r="N441" t="inlineStr">
        <is>
          <t>T1#</t>
        </is>
      </c>
      <c r="Q441" t="inlineStr">
        <is>
          <t>O,G</t>
        </is>
      </c>
      <c r="U441" t="n">
        <v>64325.4</v>
      </c>
      <c r="V441" t="n">
        <v>0.083333</v>
      </c>
      <c r="W441" t="inlineStr">
        <is>
          <t>CNY</t>
        </is>
      </c>
      <c r="X441" t="n">
        <v>1</v>
      </c>
      <c r="Y441" t="n">
        <v>57962.46</v>
      </c>
      <c r="Z441" t="n">
        <v>0</v>
      </c>
      <c r="AA441" t="n">
        <v>192976.2</v>
      </c>
      <c r="AB441" t="n">
        <v>194600</v>
      </c>
      <c r="AC441" t="n">
        <v>124645</v>
      </c>
      <c r="AF441" t="n">
        <v>0</v>
      </c>
      <c r="AG441" t="n">
        <v>512221.2</v>
      </c>
      <c r="AH441" t="n">
        <v>8.837119749575846</v>
      </c>
      <c r="AI441" t="n">
        <v>512221.2</v>
      </c>
      <c r="AJ441" t="n">
        <v>8.837119749575846</v>
      </c>
      <c r="AK441" t="n">
        <v>6.686676169368933</v>
      </c>
      <c r="AQ441" t="n">
        <v>512221.2</v>
      </c>
      <c r="AR441" t="n">
        <v>8.837119749575846</v>
      </c>
      <c r="AS441" t="n">
        <v>1.1074214924276</v>
      </c>
      <c r="BL441" t="n">
        <v>1</v>
      </c>
      <c r="BM441" t="n">
        <v>53110</v>
      </c>
      <c r="BN441" t="n">
        <v>0</v>
      </c>
      <c r="BO441" t="n">
        <v>57015</v>
      </c>
      <c r="BP441" t="inlineStr">
        <is>
          <t>G,O</t>
        </is>
      </c>
      <c r="BQ441" t="inlineStr">
        <is>
          <t>T1#</t>
        </is>
      </c>
      <c r="BR441" t="n">
        <v>353510</v>
      </c>
      <c r="BS441" t="n">
        <v>6.656185275842591</v>
      </c>
      <c r="BT441" t="n">
        <v>109025</v>
      </c>
      <c r="BU441" t="n">
        <v>462535</v>
      </c>
      <c r="BV441" t="n">
        <v>8.709000188288458</v>
      </c>
      <c r="BY441" t="n">
        <v>462535</v>
      </c>
      <c r="BZ441" t="n">
        <v>8.709000188288458</v>
      </c>
      <c r="CP441" t="inlineStr">
        <is>
          <t>CDG财务管理</t>
        </is>
      </c>
      <c r="CQ441" t="inlineStr">
        <is>
          <t>5,3</t>
        </is>
      </c>
      <c r="CR441" t="n">
        <v>11</v>
      </c>
      <c r="CS441" t="inlineStr">
        <is>
          <t>T1#</t>
        </is>
      </c>
      <c r="CT441" t="inlineStr">
        <is>
          <t>N</t>
        </is>
      </c>
    </row>
    <row r="442">
      <c r="A442" t="inlineStr">
        <is>
          <t>miaLai(赖璇妍)</t>
        </is>
      </c>
      <c r="C442" t="n">
        <v>49253412</v>
      </c>
      <c r="D442" t="inlineStr">
        <is>
          <t>风险管理和内部控制</t>
        </is>
      </c>
      <c r="E442" t="inlineStr">
        <is>
          <t>IEG风控中心</t>
        </is>
      </c>
      <c r="G442" t="inlineStr">
        <is>
          <t>S2职能系统－财经线/风险管理和内部控制/IEG风控中心</t>
        </is>
      </c>
      <c r="H442" s="188" t="n">
        <v>36554</v>
      </c>
      <c r="I442" t="inlineStr">
        <is>
          <t>社会招聘</t>
        </is>
      </c>
      <c r="J442" t="inlineStr">
        <is>
          <t>财经类－FN</t>
        </is>
      </c>
      <c r="K442" t="inlineStr">
        <is>
          <t>风险管理</t>
        </is>
      </c>
      <c r="L442" t="inlineStr">
        <is>
          <t>S7</t>
        </is>
      </c>
      <c r="N442" t="inlineStr">
        <is>
          <t>T1</t>
        </is>
      </c>
      <c r="Q442" t="inlineStr">
        <is>
          <t>G,G</t>
        </is>
      </c>
      <c r="U442" t="n">
        <v>38436.1</v>
      </c>
      <c r="V442" t="n">
        <v>0.083333</v>
      </c>
      <c r="W442" t="inlineStr">
        <is>
          <t>CNY</t>
        </is>
      </c>
      <c r="X442" t="n">
        <v>1</v>
      </c>
      <c r="Y442" t="n">
        <v>37120.92</v>
      </c>
      <c r="Z442" t="n">
        <v>0</v>
      </c>
      <c r="AA442" t="n">
        <v>76872.2</v>
      </c>
      <c r="AB442" t="n">
        <v>83675</v>
      </c>
      <c r="AC442" t="n">
        <v>51515</v>
      </c>
      <c r="AF442" t="n">
        <v>0</v>
      </c>
      <c r="AG442" t="n">
        <v>212062.2</v>
      </c>
      <c r="AH442" t="n">
        <v>5.712740955773726</v>
      </c>
      <c r="AI442" t="n">
        <v>212062.2</v>
      </c>
      <c r="AJ442" t="n">
        <v>5.712740955773726</v>
      </c>
      <c r="AK442" t="n">
        <v>4.324979014528735</v>
      </c>
      <c r="AQ442" t="n">
        <v>212062.2</v>
      </c>
      <c r="AR442" t="n">
        <v>5.712740955773726</v>
      </c>
      <c r="AS442" t="n">
        <v>1.35144632444317</v>
      </c>
      <c r="BL442" t="n">
        <v>1</v>
      </c>
      <c r="BM442" t="n">
        <v>31610</v>
      </c>
      <c r="BN442" t="n">
        <v>0</v>
      </c>
      <c r="BO442" t="n">
        <v>33055</v>
      </c>
      <c r="BP442" t="inlineStr">
        <is>
          <t>G,G</t>
        </is>
      </c>
      <c r="BQ442" t="inlineStr">
        <is>
          <t>T1</t>
        </is>
      </c>
      <c r="BR442" t="n">
        <v>101590</v>
      </c>
      <c r="BS442" t="n">
        <v>3.213856374565011</v>
      </c>
      <c r="BT442" t="n">
        <v>55325</v>
      </c>
      <c r="BU442" t="n">
        <v>156915</v>
      </c>
      <c r="BV442" t="n">
        <v>4.964093641252768</v>
      </c>
      <c r="BY442" t="n">
        <v>156915</v>
      </c>
      <c r="BZ442" t="n">
        <v>4.964093641252768</v>
      </c>
      <c r="CP442" t="inlineStr">
        <is>
          <t>风险管理和内部控制</t>
        </is>
      </c>
      <c r="CQ442" t="inlineStr">
        <is>
          <t>3,3</t>
        </is>
      </c>
      <c r="CR442" t="n">
        <v>7</v>
      </c>
      <c r="CS442" t="inlineStr">
        <is>
          <t>T1</t>
        </is>
      </c>
      <c r="CT442" t="inlineStr">
        <is>
          <t>N</t>
        </is>
      </c>
    </row>
    <row r="443">
      <c r="A443" t="inlineStr">
        <is>
          <t>ernestSu(苏成勋)</t>
        </is>
      </c>
      <c r="C443" t="n">
        <v>2801020</v>
      </c>
      <c r="D443" t="inlineStr">
        <is>
          <t>董事会办公室</t>
        </is>
      </c>
      <c r="E443" t="inlineStr">
        <is>
          <t>董事会办公室</t>
        </is>
      </c>
      <c r="G443" t="inlineStr">
        <is>
          <t>S2职能系统－财经线/董事会办公室</t>
        </is>
      </c>
      <c r="H443" s="188" t="n">
        <v>45243</v>
      </c>
      <c r="I443" t="inlineStr">
        <is>
          <t>社会招聘</t>
        </is>
      </c>
      <c r="J443" t="inlineStr">
        <is>
          <t>财经类－FN</t>
        </is>
      </c>
      <c r="K443" t="inlineStr">
        <is>
          <t>公司秘书</t>
        </is>
      </c>
      <c r="L443" t="inlineStr">
        <is>
          <t>S5</t>
        </is>
      </c>
      <c r="N443" t="inlineStr">
        <is>
          <t>T1</t>
        </is>
      </c>
      <c r="Q443" t="inlineStr">
        <is>
          <t>O,G</t>
        </is>
      </c>
      <c r="U443" t="n">
        <v>18666.6</v>
      </c>
      <c r="V443" t="n">
        <v>0.083333</v>
      </c>
      <c r="W443" t="inlineStr">
        <is>
          <t>CNY</t>
        </is>
      </c>
      <c r="X443" t="n">
        <v>1</v>
      </c>
      <c r="Y443" t="n">
        <v>17347.98</v>
      </c>
      <c r="Z443" t="n">
        <v>0</v>
      </c>
      <c r="AA443" t="n">
        <v>55999.8</v>
      </c>
      <c r="AB443" t="n">
        <v>38810</v>
      </c>
      <c r="AC443" t="n">
        <v>33695</v>
      </c>
      <c r="AF443" t="n">
        <v>0</v>
      </c>
      <c r="AG443" t="n">
        <v>128504.8</v>
      </c>
      <c r="AH443" t="n">
        <v>7.407479141663756</v>
      </c>
      <c r="AI443" t="n">
        <v>128504.8</v>
      </c>
      <c r="AJ443" t="n">
        <v>7.407479141663756</v>
      </c>
      <c r="AK443" t="n">
        <v>5.465178078369932</v>
      </c>
      <c r="AQ443" t="n">
        <v>128504.8</v>
      </c>
      <c r="AR443" t="n">
        <v>7.407479141663756</v>
      </c>
      <c r="AS443" t="n">
        <v>64.4134335839599</v>
      </c>
      <c r="BL443" t="n">
        <v>0.131506849315068</v>
      </c>
      <c r="BM443" t="n">
        <v>15195</v>
      </c>
      <c r="BN443" t="n">
        <v>0</v>
      </c>
      <c r="BO443" t="n">
        <v>15195</v>
      </c>
      <c r="BP443" t="inlineStr">
        <is>
          <t>N,N</t>
        </is>
      </c>
      <c r="BQ443" t="inlineStr">
        <is>
          <t>T1</t>
        </is>
      </c>
      <c r="BR443" t="n">
        <v>1995</v>
      </c>
      <c r="BS443" t="n">
        <v>0.1312931885488648</v>
      </c>
      <c r="BT443" t="n">
        <v>0</v>
      </c>
      <c r="BU443" t="n">
        <v>1995</v>
      </c>
      <c r="BV443" t="n">
        <v>0.1312931885488648</v>
      </c>
      <c r="BY443" t="n">
        <v>1995</v>
      </c>
      <c r="BZ443" t="n">
        <v>0.1312931885488648</v>
      </c>
      <c r="CP443" t="inlineStr">
        <is>
          <t>董事会办公室</t>
        </is>
      </c>
      <c r="CQ443" t="inlineStr">
        <is>
          <t>5,3</t>
        </is>
      </c>
      <c r="CR443" t="n">
        <v>5</v>
      </c>
      <c r="CS443" t="inlineStr">
        <is>
          <t>T1</t>
        </is>
      </c>
      <c r="CT443" t="inlineStr">
        <is>
          <t>N</t>
        </is>
      </c>
    </row>
    <row r="444">
      <c r="A444" t="inlineStr">
        <is>
          <t>douglasHe(何胜平)</t>
        </is>
      </c>
      <c r="C444" t="n">
        <v>57636839</v>
      </c>
      <c r="D444" t="inlineStr">
        <is>
          <t>税务部</t>
        </is>
      </c>
      <c r="E444" t="inlineStr">
        <is>
          <t>印章及文档管理组</t>
        </is>
      </c>
      <c r="G444" t="inlineStr">
        <is>
          <t>S2职能系统－财经线/税务部/印章及文档管理组</t>
        </is>
      </c>
      <c r="H444" s="188" t="n">
        <v>41337</v>
      </c>
      <c r="I444" t="inlineStr">
        <is>
          <t>社会招聘</t>
        </is>
      </c>
      <c r="J444" t="inlineStr">
        <is>
          <t>财经类－FN</t>
        </is>
      </c>
      <c r="K444" t="inlineStr">
        <is>
          <t>税务</t>
        </is>
      </c>
      <c r="L444" t="inlineStr">
        <is>
          <t>S7</t>
        </is>
      </c>
      <c r="N444" t="inlineStr">
        <is>
          <t>T1#</t>
        </is>
      </c>
      <c r="Q444" t="inlineStr">
        <is>
          <t>G,G</t>
        </is>
      </c>
      <c r="U444" t="n">
        <v>34394.65</v>
      </c>
      <c r="V444" t="n">
        <v>0.083333</v>
      </c>
      <c r="W444" t="inlineStr">
        <is>
          <t>CNY</t>
        </is>
      </c>
      <c r="X444" t="n">
        <v>1</v>
      </c>
      <c r="Y444" t="n">
        <v>31305.97</v>
      </c>
      <c r="Z444" t="n">
        <v>0</v>
      </c>
      <c r="AA444" t="n">
        <v>68789.3</v>
      </c>
      <c r="AB444" t="n">
        <v>113015</v>
      </c>
      <c r="AC444" t="n">
        <v>41240</v>
      </c>
      <c r="AF444" t="n">
        <v>0</v>
      </c>
      <c r="AG444" t="n">
        <v>223044.3</v>
      </c>
      <c r="AH444" t="n">
        <v>7.124657054229592</v>
      </c>
      <c r="AI444" t="n">
        <v>223044.3</v>
      </c>
      <c r="AJ444" t="n">
        <v>7.124657054229592</v>
      </c>
      <c r="AK444" t="n">
        <v>5.807336428163701</v>
      </c>
      <c r="AQ444" t="n">
        <v>223044.3</v>
      </c>
      <c r="AR444" t="n">
        <v>7.124657054229592</v>
      </c>
      <c r="AS444" t="n">
        <v>1.177076890601087</v>
      </c>
      <c r="BL444" t="n">
        <v>1</v>
      </c>
      <c r="BM444" t="n">
        <v>29695</v>
      </c>
      <c r="BN444" t="n">
        <v>0</v>
      </c>
      <c r="BO444" t="n">
        <v>30280</v>
      </c>
      <c r="BP444" t="inlineStr">
        <is>
          <t>O,G</t>
        </is>
      </c>
      <c r="BQ444" t="inlineStr">
        <is>
          <t>T1</t>
        </is>
      </c>
      <c r="BR444" t="n">
        <v>132840</v>
      </c>
      <c r="BS444" t="n">
        <v>4.473480383903014</v>
      </c>
      <c r="BT444" t="n">
        <v>56650</v>
      </c>
      <c r="BU444" t="n">
        <v>189490</v>
      </c>
      <c r="BV444" t="n">
        <v>6.381208957736993</v>
      </c>
      <c r="BY444" t="n">
        <v>189490</v>
      </c>
      <c r="BZ444" t="n">
        <v>6.381208957736993</v>
      </c>
      <c r="CP444" t="inlineStr">
        <is>
          <t>税务部</t>
        </is>
      </c>
      <c r="CQ444" t="inlineStr">
        <is>
          <t>3,3</t>
        </is>
      </c>
      <c r="CR444" t="n">
        <v>7</v>
      </c>
      <c r="CS444" t="inlineStr">
        <is>
          <t>T1#</t>
        </is>
      </c>
      <c r="CT444" t="inlineStr">
        <is>
          <t>N</t>
        </is>
      </c>
    </row>
    <row r="445">
      <c r="A445" t="inlineStr">
        <is>
          <t>oliviaWan(万嫦)</t>
        </is>
      </c>
      <c r="C445" t="n">
        <v>32846053</v>
      </c>
      <c r="D445" t="inlineStr">
        <is>
          <t>预算及职能系统财务管理部</t>
        </is>
      </c>
      <c r="E445" t="inlineStr">
        <is>
          <t>预算管理中心</t>
        </is>
      </c>
      <c r="G445" t="inlineStr">
        <is>
          <t>S2职能系统－财经线/预算及职能系统财务管理部/预算管理中心</t>
        </is>
      </c>
      <c r="H445" s="188" t="n">
        <v>38972</v>
      </c>
      <c r="I445" t="inlineStr">
        <is>
          <t>高校招聘</t>
        </is>
      </c>
      <c r="J445" t="inlineStr">
        <is>
          <t>财经类－FN</t>
        </is>
      </c>
      <c r="K445" t="inlineStr">
        <is>
          <t>预算管理</t>
        </is>
      </c>
      <c r="L445" t="inlineStr">
        <is>
          <t>S5</t>
        </is>
      </c>
      <c r="N445" t="inlineStr">
        <is>
          <t>T2</t>
        </is>
      </c>
      <c r="Q445" t="inlineStr">
        <is>
          <t>U,U</t>
        </is>
      </c>
      <c r="U445" t="n">
        <v>25125.55</v>
      </c>
      <c r="V445" t="n">
        <v>0.083333</v>
      </c>
      <c r="W445" t="inlineStr">
        <is>
          <t>CNY</t>
        </is>
      </c>
      <c r="X445" t="n">
        <v>1</v>
      </c>
      <c r="Y445" t="n">
        <v>24040.78</v>
      </c>
      <c r="Z445" t="n">
        <v>0</v>
      </c>
      <c r="AA445" t="n">
        <v>0</v>
      </c>
      <c r="AB445" t="n">
        <v>31850</v>
      </c>
      <c r="AC445" t="n">
        <v>0</v>
      </c>
      <c r="AF445" t="n">
        <v>0</v>
      </c>
      <c r="AG445" t="n">
        <v>31850</v>
      </c>
      <c r="AH445" t="n">
        <v>1.324832222581797</v>
      </c>
      <c r="AI445" t="n">
        <v>31850</v>
      </c>
      <c r="AJ445" t="n">
        <v>1.324832222581797</v>
      </c>
      <c r="AK445" t="n">
        <v>1.324832222581797</v>
      </c>
      <c r="AQ445" t="n">
        <v>31850</v>
      </c>
      <c r="AR445" t="n">
        <v>1.324832222581797</v>
      </c>
      <c r="AS445" t="n">
        <v>0.7327734959162544</v>
      </c>
      <c r="BL445" t="n">
        <v>1</v>
      </c>
      <c r="BM445" t="n">
        <v>20675</v>
      </c>
      <c r="BN445" t="n">
        <v>0</v>
      </c>
      <c r="BO445" t="n">
        <v>21400</v>
      </c>
      <c r="BP445" t="inlineStr">
        <is>
          <t>G,U</t>
        </is>
      </c>
      <c r="BQ445" t="inlineStr">
        <is>
          <t>Others</t>
        </is>
      </c>
      <c r="BR445" t="n">
        <v>43465</v>
      </c>
      <c r="BS445" t="n">
        <v>2.10229746070133</v>
      </c>
      <c r="BT445" t="n">
        <v>0</v>
      </c>
      <c r="BU445" t="n">
        <v>43465</v>
      </c>
      <c r="BV445" t="n">
        <v>2.10229746070133</v>
      </c>
      <c r="BY445" t="n">
        <v>43465</v>
      </c>
      <c r="BZ445" t="n">
        <v>2.10229746070133</v>
      </c>
      <c r="CP445" t="inlineStr">
        <is>
          <t>预算及职能系统财务管理部</t>
        </is>
      </c>
      <c r="CQ445" t="inlineStr">
        <is>
          <t>1,1</t>
        </is>
      </c>
      <c r="CR445" t="n">
        <v>5</v>
      </c>
      <c r="CS445" t="inlineStr">
        <is>
          <t>T2</t>
        </is>
      </c>
      <c r="CT445" t="inlineStr">
        <is>
          <t>N</t>
        </is>
      </c>
    </row>
    <row r="446">
      <c r="A446" t="inlineStr">
        <is>
          <t>bradleyXie(谢宇恒)</t>
        </is>
      </c>
      <c r="C446" t="n">
        <v>58364519</v>
      </c>
      <c r="D446" t="inlineStr">
        <is>
          <t>风险管理和内部控制</t>
        </is>
      </c>
      <c r="E446" t="inlineStr">
        <is>
          <t>风险管理和内部控制</t>
        </is>
      </c>
      <c r="G446" t="inlineStr">
        <is>
          <t>S2职能系统－财经线/风险管理和内部控制</t>
        </is>
      </c>
      <c r="H446" s="188" t="n">
        <v>36405</v>
      </c>
      <c r="I446" t="inlineStr">
        <is>
          <t>社会招聘</t>
        </is>
      </c>
      <c r="J446" t="inlineStr">
        <is>
          <t>财经类－FN</t>
        </is>
      </c>
      <c r="K446" t="inlineStr">
        <is>
          <t>风险管理</t>
        </is>
      </c>
      <c r="L446" t="inlineStr">
        <is>
          <t>S9</t>
        </is>
      </c>
      <c r="N446" t="inlineStr">
        <is>
          <t>T1</t>
        </is>
      </c>
      <c r="Q446" t="inlineStr">
        <is>
          <t>O,G</t>
        </is>
      </c>
      <c r="U446" t="n">
        <v>57956.35</v>
      </c>
      <c r="V446" t="n">
        <v>0.083333</v>
      </c>
      <c r="W446" t="inlineStr">
        <is>
          <t>CNY</t>
        </is>
      </c>
      <c r="X446" t="n">
        <v>1</v>
      </c>
      <c r="Y446" t="n">
        <v>52613.33</v>
      </c>
      <c r="Z446" t="n">
        <v>0</v>
      </c>
      <c r="AA446" t="n">
        <v>173869.05</v>
      </c>
      <c r="AB446" t="n">
        <v>143730</v>
      </c>
      <c r="AC446" t="n">
        <v>68495</v>
      </c>
      <c r="AF446" t="n">
        <v>0</v>
      </c>
      <c r="AG446" t="n">
        <v>386094.05</v>
      </c>
      <c r="AH446" t="n">
        <v>7.338331369635793</v>
      </c>
      <c r="AI446" t="n">
        <v>386094.05</v>
      </c>
      <c r="AJ446" t="n">
        <v>7.338331369635793</v>
      </c>
      <c r="AK446" t="n">
        <v>6.036474976968764</v>
      </c>
      <c r="AQ446" t="n">
        <v>386094.05</v>
      </c>
      <c r="AR446" t="n">
        <v>7.338331369635793</v>
      </c>
      <c r="AS446" t="n">
        <v>3.477384941006935</v>
      </c>
      <c r="BL446" t="n">
        <v>1</v>
      </c>
      <c r="BM446" t="n">
        <v>48725</v>
      </c>
      <c r="BN446" t="n">
        <v>0</v>
      </c>
      <c r="BO446" t="n">
        <v>50025</v>
      </c>
      <c r="BP446" t="inlineStr">
        <is>
          <t>U,G</t>
        </is>
      </c>
      <c r="BQ446" t="inlineStr">
        <is>
          <t>T1</t>
        </is>
      </c>
      <c r="BR446" t="n">
        <v>111030</v>
      </c>
      <c r="BS446" t="n">
        <v>2.278707029245767</v>
      </c>
      <c r="BT446" t="n">
        <v>0</v>
      </c>
      <c r="BU446" t="n">
        <v>111030</v>
      </c>
      <c r="BV446" t="n">
        <v>2.278707029245767</v>
      </c>
      <c r="BY446" t="n">
        <v>111030</v>
      </c>
      <c r="BZ446" t="n">
        <v>2.278707029245767</v>
      </c>
      <c r="CP446" t="inlineStr">
        <is>
          <t>风险管理和内部控制</t>
        </is>
      </c>
      <c r="CQ446" t="inlineStr">
        <is>
          <t>5,3</t>
        </is>
      </c>
      <c r="CR446" t="n">
        <v>9</v>
      </c>
      <c r="CS446" t="inlineStr">
        <is>
          <t>T1</t>
        </is>
      </c>
      <c r="CT446" t="inlineStr">
        <is>
          <t>N</t>
        </is>
      </c>
    </row>
    <row r="447">
      <c r="A447" t="inlineStr">
        <is>
          <t>virginiaLu(卢曼)</t>
        </is>
      </c>
      <c r="C447" t="n">
        <v>36591127</v>
      </c>
      <c r="D447" t="inlineStr">
        <is>
          <t>行政支持中心</t>
        </is>
      </c>
      <c r="E447" t="inlineStr">
        <is>
          <t>组织建设组</t>
        </is>
      </c>
      <c r="G447" t="inlineStr">
        <is>
          <t>S2职能系统－财经线/行政支持中心/组织建设组</t>
        </is>
      </c>
      <c r="H447" s="188" t="n">
        <v>44621</v>
      </c>
      <c r="I447" t="inlineStr">
        <is>
          <t>社会招聘</t>
        </is>
      </c>
      <c r="J447" t="inlineStr">
        <is>
          <t>财经类－FN</t>
        </is>
      </c>
      <c r="K447" t="inlineStr">
        <is>
          <t>公司秘书</t>
        </is>
      </c>
      <c r="L447" t="inlineStr">
        <is>
          <t>S5</t>
        </is>
      </c>
      <c r="N447" t="inlineStr">
        <is>
          <t>T2</t>
        </is>
      </c>
      <c r="Q447" t="inlineStr">
        <is>
          <t>G,G</t>
        </is>
      </c>
      <c r="U447" t="n">
        <v>30686</v>
      </c>
      <c r="V447" t="n">
        <v>0.083333</v>
      </c>
      <c r="W447" t="inlineStr">
        <is>
          <t>CNY</t>
        </is>
      </c>
      <c r="X447" t="n">
        <v>1</v>
      </c>
      <c r="Y447" t="n">
        <v>29895.2</v>
      </c>
      <c r="Z447" t="n">
        <v>0</v>
      </c>
      <c r="AA447" t="n">
        <v>61372</v>
      </c>
      <c r="AB447" t="n">
        <v>33340</v>
      </c>
      <c r="AC447" t="n">
        <v>0</v>
      </c>
      <c r="AF447" t="n">
        <v>0</v>
      </c>
      <c r="AG447" t="n">
        <v>94712</v>
      </c>
      <c r="AH447" t="n">
        <v>3.168134014825122</v>
      </c>
      <c r="AI447" t="n">
        <v>94712</v>
      </c>
      <c r="AJ447" t="n">
        <v>3.168134014825122</v>
      </c>
      <c r="AK447" t="n">
        <v>3.168134014825122</v>
      </c>
      <c r="AQ447" t="n">
        <v>94712</v>
      </c>
      <c r="AR447" t="n">
        <v>3.168134014825122</v>
      </c>
      <c r="AS447" t="n">
        <v>0.5899772635250879</v>
      </c>
      <c r="BL447" t="n">
        <v>1</v>
      </c>
      <c r="BM447" t="n">
        <v>27390</v>
      </c>
      <c r="BN447" t="n">
        <v>0</v>
      </c>
      <c r="BO447" t="n">
        <v>29245</v>
      </c>
      <c r="BP447" t="inlineStr">
        <is>
          <t>O,O</t>
        </is>
      </c>
      <c r="BQ447" t="inlineStr">
        <is>
          <t>T2</t>
        </is>
      </c>
      <c r="BR447" t="n">
        <v>160535</v>
      </c>
      <c r="BS447" t="n">
        <v>5.861080686381891</v>
      </c>
      <c r="BT447" t="n">
        <v>0</v>
      </c>
      <c r="BU447" t="n">
        <v>160535</v>
      </c>
      <c r="BV447" t="n">
        <v>5.861080686381891</v>
      </c>
      <c r="BY447" t="n">
        <v>160535</v>
      </c>
      <c r="BZ447" t="n">
        <v>5.861080686381891</v>
      </c>
      <c r="CP447" t="inlineStr">
        <is>
          <t>行政支持中心</t>
        </is>
      </c>
      <c r="CQ447" t="inlineStr">
        <is>
          <t>3,3</t>
        </is>
      </c>
      <c r="CR447" t="n">
        <v>5</v>
      </c>
      <c r="CS447" t="inlineStr">
        <is>
          <t>T2</t>
        </is>
      </c>
      <c r="CT447" t="inlineStr">
        <is>
          <t>N</t>
        </is>
      </c>
    </row>
    <row r="448">
      <c r="A448" t="inlineStr">
        <is>
          <t>stephanieHuang(黄姗茹)</t>
        </is>
      </c>
      <c r="C448" t="n">
        <v>50484696</v>
      </c>
      <c r="D448" t="inlineStr">
        <is>
          <t>反舞弊调查部</t>
        </is>
      </c>
      <c r="E448" t="inlineStr">
        <is>
          <t>反舞弊调查部</t>
        </is>
      </c>
      <c r="G448" t="inlineStr">
        <is>
          <t>S2职能系统－财经线/反舞弊调查部</t>
        </is>
      </c>
      <c r="H448" s="188" t="n">
        <v>39302</v>
      </c>
      <c r="I448" t="inlineStr">
        <is>
          <t>社会招聘</t>
        </is>
      </c>
      <c r="J448" t="inlineStr">
        <is>
          <t>财经类－FN</t>
        </is>
      </c>
      <c r="K448" t="inlineStr">
        <is>
          <t>风险管理</t>
        </is>
      </c>
      <c r="L448" t="inlineStr">
        <is>
          <t>S11</t>
        </is>
      </c>
      <c r="N448" t="inlineStr">
        <is>
          <t>T1#</t>
        </is>
      </c>
      <c r="Q448" t="inlineStr">
        <is>
          <t>G,G</t>
        </is>
      </c>
      <c r="U448" t="n">
        <v>58399.95</v>
      </c>
      <c r="V448" t="n">
        <v>0.083333</v>
      </c>
      <c r="W448" t="inlineStr">
        <is>
          <t>CNY</t>
        </is>
      </c>
      <c r="X448" t="n">
        <v>1</v>
      </c>
      <c r="Y448" t="n">
        <v>55197.81</v>
      </c>
      <c r="Z448" t="n">
        <v>0</v>
      </c>
      <c r="AA448" t="n">
        <v>116799.9</v>
      </c>
      <c r="AB448" t="n">
        <v>191955</v>
      </c>
      <c r="AC448" t="n">
        <v>67330</v>
      </c>
      <c r="AF448" t="n">
        <v>0</v>
      </c>
      <c r="AG448" t="n">
        <v>376084.9</v>
      </c>
      <c r="AH448" t="n">
        <v>6.813402560717536</v>
      </c>
      <c r="AI448" t="n">
        <v>376084.9</v>
      </c>
      <c r="AJ448" t="n">
        <v>6.813402560717536</v>
      </c>
      <c r="AK448" t="n">
        <v>5.593607789874273</v>
      </c>
      <c r="AQ448" t="n">
        <v>376084.9</v>
      </c>
      <c r="AR448" t="n">
        <v>6.813402560717536</v>
      </c>
      <c r="AS448" t="n">
        <v>1.133861645838672</v>
      </c>
      <c r="BL448" t="n">
        <v>1</v>
      </c>
      <c r="BM448" t="n">
        <v>48885</v>
      </c>
      <c r="BN448" t="n">
        <v>0</v>
      </c>
      <c r="BO448" t="n">
        <v>50805</v>
      </c>
      <c r="BP448" t="inlineStr">
        <is>
          <t>G,G</t>
        </is>
      </c>
      <c r="BQ448" t="inlineStr">
        <is>
          <t>T1#</t>
        </is>
      </c>
      <c r="BR448" t="n">
        <v>263445</v>
      </c>
      <c r="BS448" t="n">
        <v>5.389076403804848</v>
      </c>
      <c r="BT448" t="n">
        <v>68240</v>
      </c>
      <c r="BU448" t="n">
        <v>331685</v>
      </c>
      <c r="BV448" t="n">
        <v>6.785005625447479</v>
      </c>
      <c r="BY448" t="n">
        <v>331685</v>
      </c>
      <c r="BZ448" t="n">
        <v>6.785005625447479</v>
      </c>
      <c r="CP448" t="inlineStr">
        <is>
          <t>反舞弊调查部</t>
        </is>
      </c>
      <c r="CQ448" t="inlineStr">
        <is>
          <t>3,3</t>
        </is>
      </c>
      <c r="CR448" t="n">
        <v>11</v>
      </c>
      <c r="CS448" t="inlineStr">
        <is>
          <t>T1#</t>
        </is>
      </c>
      <c r="CT448" t="inlineStr">
        <is>
          <t>N</t>
        </is>
      </c>
    </row>
    <row r="449">
      <c r="A449" t="inlineStr">
        <is>
          <t>rogerZeng(曾翔曦)</t>
        </is>
      </c>
      <c r="C449" t="n">
        <v>40920197</v>
      </c>
      <c r="D449" t="inlineStr">
        <is>
          <t>财会及报告管理部</t>
        </is>
      </c>
      <c r="E449" t="inlineStr">
        <is>
          <t>专业支持中心</t>
        </is>
      </c>
      <c r="G449" t="inlineStr">
        <is>
          <t>S2职能系统－财经线/财会及报告管理部/专业支持中心</t>
        </is>
      </c>
      <c r="H449" s="188" t="n">
        <v>41680</v>
      </c>
      <c r="I449" t="inlineStr">
        <is>
          <t>社会招聘</t>
        </is>
      </c>
      <c r="J449" t="inlineStr">
        <is>
          <t>财经类－FN</t>
        </is>
      </c>
      <c r="K449" t="inlineStr">
        <is>
          <t>会计</t>
        </is>
      </c>
      <c r="L449" t="inlineStr">
        <is>
          <t>S11</t>
        </is>
      </c>
      <c r="N449" t="inlineStr">
        <is>
          <t>Others</t>
        </is>
      </c>
      <c r="Q449" t="inlineStr">
        <is>
          <t>G,G</t>
        </is>
      </c>
      <c r="U449" t="n">
        <v>50342.05</v>
      </c>
      <c r="V449" t="n">
        <v>0.083333</v>
      </c>
      <c r="W449" t="inlineStr">
        <is>
          <t>CNY</t>
        </is>
      </c>
      <c r="X449" t="n">
        <v>1</v>
      </c>
      <c r="Y449" t="n">
        <v>48541.21</v>
      </c>
      <c r="Z449" t="n">
        <v>0</v>
      </c>
      <c r="AA449" t="n">
        <v>100684.1</v>
      </c>
      <c r="AB449" t="n">
        <v>39250</v>
      </c>
      <c r="AC449" t="n">
        <v>0</v>
      </c>
      <c r="AF449" t="n">
        <v>0</v>
      </c>
      <c r="AG449" t="n">
        <v>139934.1</v>
      </c>
      <c r="AH449" t="n">
        <v>2.882789695600913</v>
      </c>
      <c r="AI449" t="n">
        <v>139934.1</v>
      </c>
      <c r="AJ449" t="n">
        <v>2.882789695600913</v>
      </c>
      <c r="AK449" t="n">
        <v>2.882789695600913</v>
      </c>
      <c r="AQ449" t="n">
        <v>139934.1</v>
      </c>
      <c r="AR449" t="n">
        <v>2.882789695600913</v>
      </c>
      <c r="AS449" t="n">
        <v>1.052294329974432</v>
      </c>
      <c r="BL449" t="n">
        <v>1</v>
      </c>
      <c r="BM449" t="n">
        <v>41220</v>
      </c>
      <c r="BN449" t="n">
        <v>0</v>
      </c>
      <c r="BO449" t="n">
        <v>42240</v>
      </c>
      <c r="BP449" t="inlineStr">
        <is>
          <t>G,G</t>
        </is>
      </c>
      <c r="BQ449" t="inlineStr">
        <is>
          <t>Others</t>
        </is>
      </c>
      <c r="BR449" t="n">
        <v>132980</v>
      </c>
      <c r="BS449" t="n">
        <v>3.226103833090733</v>
      </c>
      <c r="BT449" t="n">
        <v>0</v>
      </c>
      <c r="BU449" t="n">
        <v>132980</v>
      </c>
      <c r="BV449" t="n">
        <v>3.226103833090733</v>
      </c>
      <c r="BY449" t="n">
        <v>132980</v>
      </c>
      <c r="BZ449" t="n">
        <v>3.226103833090733</v>
      </c>
      <c r="CP449" t="inlineStr">
        <is>
          <t>财会及报告管理部</t>
        </is>
      </c>
      <c r="CQ449" t="inlineStr">
        <is>
          <t>3,3</t>
        </is>
      </c>
      <c r="CR449" t="n">
        <v>11</v>
      </c>
      <c r="CS449" t="inlineStr">
        <is>
          <t>Others</t>
        </is>
      </c>
      <c r="CT449" t="inlineStr">
        <is>
          <t>N</t>
        </is>
      </c>
    </row>
    <row r="450">
      <c r="A450" t="inlineStr">
        <is>
          <t>nicholasYuan(袁阳曦)</t>
        </is>
      </c>
      <c r="C450" t="n">
        <v>56174873</v>
      </c>
      <c r="D450" t="inlineStr">
        <is>
          <t>FiT财务管理</t>
        </is>
      </c>
      <c r="E450" t="inlineStr">
        <is>
          <t>结算支持中心</t>
        </is>
      </c>
      <c r="G450" t="inlineStr">
        <is>
          <t>S2职能系统－财经线/FiT财务管理/结算支持中心</t>
        </is>
      </c>
      <c r="H450" s="188" t="n">
        <v>40564</v>
      </c>
      <c r="I450" t="inlineStr">
        <is>
          <t>社会招聘</t>
        </is>
      </c>
      <c r="J450" t="inlineStr">
        <is>
          <t>财经类－FN</t>
        </is>
      </c>
      <c r="K450" t="inlineStr">
        <is>
          <t>财务管理</t>
        </is>
      </c>
      <c r="L450" t="inlineStr">
        <is>
          <t>S11</t>
        </is>
      </c>
      <c r="N450" t="inlineStr">
        <is>
          <t>T1</t>
        </is>
      </c>
      <c r="Q450" t="inlineStr">
        <is>
          <t>G,O</t>
        </is>
      </c>
      <c r="U450" t="n">
        <v>42374.45</v>
      </c>
      <c r="V450" t="n">
        <v>0.083333</v>
      </c>
      <c r="W450" t="inlineStr">
        <is>
          <t>CNY</t>
        </is>
      </c>
      <c r="X450" t="n">
        <v>1</v>
      </c>
      <c r="Y450" t="n">
        <v>39668.33</v>
      </c>
      <c r="Z450" t="n">
        <v>0</v>
      </c>
      <c r="AA450" t="n">
        <v>127123.35</v>
      </c>
      <c r="AB450" t="n">
        <v>96435</v>
      </c>
      <c r="AC450" t="n">
        <v>44285</v>
      </c>
      <c r="AF450" t="n">
        <v>0</v>
      </c>
      <c r="AG450" t="n">
        <v>267843.35</v>
      </c>
      <c r="AH450" t="n">
        <v>6.752070228315636</v>
      </c>
      <c r="AI450" t="n">
        <v>267843.35</v>
      </c>
      <c r="AJ450" t="n">
        <v>6.752070228315636</v>
      </c>
      <c r="AK450" t="n">
        <v>5.635688469870045</v>
      </c>
      <c r="AQ450" t="n">
        <v>267843.35</v>
      </c>
      <c r="AR450" t="n">
        <v>6.752070228315636</v>
      </c>
      <c r="AS450" t="n">
        <v>2.409421580533441</v>
      </c>
      <c r="BL450" t="n">
        <v>1</v>
      </c>
      <c r="BM450" t="n">
        <v>34825</v>
      </c>
      <c r="BN450" t="n">
        <v>0</v>
      </c>
      <c r="BO450" t="n">
        <v>35865</v>
      </c>
      <c r="BP450" t="inlineStr">
        <is>
          <t>G,G</t>
        </is>
      </c>
      <c r="BQ450" t="inlineStr">
        <is>
          <t>T2</t>
        </is>
      </c>
      <c r="BR450" t="n">
        <v>111165</v>
      </c>
      <c r="BS450" t="n">
        <v>3.192103374012922</v>
      </c>
      <c r="BT450" t="n">
        <v>0</v>
      </c>
      <c r="BU450" t="n">
        <v>111165</v>
      </c>
      <c r="BV450" t="n">
        <v>3.192103374012922</v>
      </c>
      <c r="BY450" t="n">
        <v>111165</v>
      </c>
      <c r="BZ450" t="n">
        <v>3.192103374012922</v>
      </c>
      <c r="CP450" t="inlineStr">
        <is>
          <t>FiT财务管理</t>
        </is>
      </c>
      <c r="CQ450" t="inlineStr">
        <is>
          <t>5,3</t>
        </is>
      </c>
      <c r="CR450" t="n">
        <v>11</v>
      </c>
      <c r="CS450" t="inlineStr">
        <is>
          <t>T1</t>
        </is>
      </c>
      <c r="CT450" t="inlineStr">
        <is>
          <t>N</t>
        </is>
      </c>
    </row>
    <row r="451">
      <c r="A451" t="inlineStr">
        <is>
          <t>michelleLiang(梁欣)</t>
        </is>
      </c>
      <c r="C451" t="n">
        <v>94108934</v>
      </c>
      <c r="D451" t="inlineStr">
        <is>
          <t>CDG财务管理</t>
        </is>
      </c>
      <c r="E451" t="inlineStr">
        <is>
          <t>AMS客户管理中心</t>
        </is>
      </c>
      <c r="G451" t="inlineStr">
        <is>
          <t>S2职能系统－财经线/CDG财务管理/AMS客户管理中心</t>
        </is>
      </c>
      <c r="H451" s="188" t="n">
        <v>44173</v>
      </c>
      <c r="I451" t="inlineStr">
        <is>
          <t>社会招聘</t>
        </is>
      </c>
      <c r="J451" t="inlineStr">
        <is>
          <t>财经类－FN</t>
        </is>
      </c>
      <c r="K451" t="inlineStr">
        <is>
          <t>财务管理</t>
        </is>
      </c>
      <c r="L451" t="inlineStr">
        <is>
          <t>S7</t>
        </is>
      </c>
      <c r="N451" t="inlineStr">
        <is>
          <t>T1#</t>
        </is>
      </c>
      <c r="Q451" t="inlineStr">
        <is>
          <t>G,O</t>
        </is>
      </c>
      <c r="U451" t="n">
        <v>29670.3</v>
      </c>
      <c r="V451" t="n">
        <v>0.083333</v>
      </c>
      <c r="W451" t="inlineStr">
        <is>
          <t>CNY</t>
        </is>
      </c>
      <c r="X451" t="n">
        <v>1</v>
      </c>
      <c r="Y451" t="n">
        <v>28668.3</v>
      </c>
      <c r="Z451" t="n">
        <v>0</v>
      </c>
      <c r="AA451" t="n">
        <v>89010.89999999999</v>
      </c>
      <c r="AB451" t="n">
        <v>91175</v>
      </c>
      <c r="AC451" t="n">
        <v>54175</v>
      </c>
      <c r="AF451" t="n">
        <v>0</v>
      </c>
      <c r="AG451" t="n">
        <v>234360.9</v>
      </c>
      <c r="AH451" t="n">
        <v>8.174914452548634</v>
      </c>
      <c r="AI451" t="n">
        <v>234360.9</v>
      </c>
      <c r="AJ451" t="n">
        <v>8.174914452548634</v>
      </c>
      <c r="AK451" t="n">
        <v>6.285196541127307</v>
      </c>
      <c r="AQ451" t="n">
        <v>234360.9</v>
      </c>
      <c r="AR451" t="n">
        <v>8.174914452548634</v>
      </c>
      <c r="AS451" t="n">
        <v>1.986193482774694</v>
      </c>
      <c r="BL451" t="n">
        <v>1</v>
      </c>
      <c r="BM451" t="n">
        <v>24225</v>
      </c>
      <c r="BN451" t="n">
        <v>0</v>
      </c>
      <c r="BO451" t="n">
        <v>26410</v>
      </c>
      <c r="BP451" t="inlineStr">
        <is>
          <t>G,U</t>
        </is>
      </c>
      <c r="BQ451" t="inlineStr">
        <is>
          <t>T1#</t>
        </is>
      </c>
      <c r="BR451" t="n">
        <v>117995</v>
      </c>
      <c r="BS451" t="n">
        <v>4.870794633642931</v>
      </c>
      <c r="BT451" t="n">
        <v>0</v>
      </c>
      <c r="BU451" t="n">
        <v>117995</v>
      </c>
      <c r="BV451" t="n">
        <v>4.870794633642931</v>
      </c>
      <c r="BY451" t="n">
        <v>117995</v>
      </c>
      <c r="BZ451" t="n">
        <v>4.870794633642931</v>
      </c>
      <c r="CP451" t="inlineStr">
        <is>
          <t>CDG财务管理</t>
        </is>
      </c>
      <c r="CQ451" t="inlineStr">
        <is>
          <t>5,3</t>
        </is>
      </c>
      <c r="CR451" t="n">
        <v>7</v>
      </c>
      <c r="CS451" t="inlineStr">
        <is>
          <t>T1#</t>
        </is>
      </c>
      <c r="CT451" t="inlineStr">
        <is>
          <t>N</t>
        </is>
      </c>
    </row>
    <row r="452">
      <c r="A452" t="inlineStr">
        <is>
          <t>ralphYuan(袁嘉东)</t>
        </is>
      </c>
      <c r="C452" t="n">
        <v>80026361</v>
      </c>
      <c r="D452" t="inlineStr">
        <is>
          <t>风险管理和内部控制</t>
        </is>
      </c>
      <c r="E452" t="inlineStr">
        <is>
          <t>IEG风控中心</t>
        </is>
      </c>
      <c r="G452" t="inlineStr">
        <is>
          <t>S2职能系统－财经线/风险管理和内部控制/IEG风控中心</t>
        </is>
      </c>
      <c r="H452" s="188" t="n">
        <v>36251</v>
      </c>
      <c r="I452" t="inlineStr">
        <is>
          <t>社会招聘</t>
        </is>
      </c>
      <c r="J452" t="inlineStr">
        <is>
          <t>财经类－FN</t>
        </is>
      </c>
      <c r="K452" t="inlineStr">
        <is>
          <t>风险管理</t>
        </is>
      </c>
      <c r="L452" t="inlineStr">
        <is>
          <t>S6</t>
        </is>
      </c>
      <c r="N452" t="inlineStr">
        <is>
          <t>Others</t>
        </is>
      </c>
      <c r="Q452" t="inlineStr">
        <is>
          <t>U,G</t>
        </is>
      </c>
      <c r="U452" t="n">
        <v>37876.2</v>
      </c>
      <c r="V452" t="n">
        <v>0.083333</v>
      </c>
      <c r="W452" t="inlineStr">
        <is>
          <t>CNY</t>
        </is>
      </c>
      <c r="X452" t="n">
        <v>1</v>
      </c>
      <c r="Y452" t="n">
        <v>37065.91</v>
      </c>
      <c r="Z452" t="n">
        <v>0</v>
      </c>
      <c r="AA452" t="n">
        <v>37876.2</v>
      </c>
      <c r="AB452" t="n">
        <v>19855</v>
      </c>
      <c r="AC452" t="n">
        <v>0</v>
      </c>
      <c r="AF452" t="n">
        <v>0</v>
      </c>
      <c r="AG452" t="n">
        <v>57731.2</v>
      </c>
      <c r="AH452" t="n">
        <v>1.557528197742885</v>
      </c>
      <c r="AI452" t="n">
        <v>57731.2</v>
      </c>
      <c r="AJ452" t="n">
        <v>1.557528197742885</v>
      </c>
      <c r="AK452" t="n">
        <v>1.557528197742885</v>
      </c>
      <c r="AQ452" t="n">
        <v>57731.2</v>
      </c>
      <c r="AR452" t="n">
        <v>1.557528197742885</v>
      </c>
      <c r="AS452" t="n">
        <v>0.527586931688371</v>
      </c>
      <c r="BL452" t="n">
        <v>1</v>
      </c>
      <c r="BM452" t="n">
        <v>30915</v>
      </c>
      <c r="BN452" t="n">
        <v>0</v>
      </c>
      <c r="BO452" t="n">
        <v>33630</v>
      </c>
      <c r="BP452" t="inlineStr">
        <is>
          <t>G,G</t>
        </is>
      </c>
      <c r="BQ452" t="inlineStr">
        <is>
          <t>Others</t>
        </is>
      </c>
      <c r="BR452" t="n">
        <v>109425</v>
      </c>
      <c r="BS452" t="n">
        <v>3.53954391072295</v>
      </c>
      <c r="BT452" t="n">
        <v>0</v>
      </c>
      <c r="BU452" t="n">
        <v>109425</v>
      </c>
      <c r="BV452" t="n">
        <v>3.53954391072295</v>
      </c>
      <c r="BY452" t="n">
        <v>109425</v>
      </c>
      <c r="BZ452" t="n">
        <v>3.53954391072295</v>
      </c>
      <c r="CP452" t="inlineStr">
        <is>
          <t>风险管理和内部控制</t>
        </is>
      </c>
      <c r="CQ452" t="inlineStr">
        <is>
          <t>3,1</t>
        </is>
      </c>
      <c r="CR452" t="n">
        <v>6</v>
      </c>
      <c r="CS452" t="inlineStr">
        <is>
          <t>Others</t>
        </is>
      </c>
      <c r="CT452" t="inlineStr">
        <is>
          <t>N</t>
        </is>
      </c>
    </row>
    <row r="453">
      <c r="A453" t="inlineStr">
        <is>
          <t>annaHan(韩青)</t>
        </is>
      </c>
      <c r="C453" t="n">
        <v>39752208</v>
      </c>
      <c r="D453" t="inlineStr">
        <is>
          <t>财经投资并购及管理部</t>
        </is>
      </c>
      <c r="E453" t="inlineStr">
        <is>
          <t>行业及项目管理中心</t>
        </is>
      </c>
      <c r="G453" t="inlineStr">
        <is>
          <t>S2职能系统－财经线/财经投资并购及管理部/行业及项目管理中心</t>
        </is>
      </c>
      <c r="H453" s="188" t="n">
        <v>44514</v>
      </c>
      <c r="I453" t="inlineStr">
        <is>
          <t>社会招聘</t>
        </is>
      </c>
      <c r="J453" t="inlineStr">
        <is>
          <t>财经类－FN</t>
        </is>
      </c>
      <c r="K453" t="inlineStr">
        <is>
          <t>投资并购</t>
        </is>
      </c>
      <c r="L453" t="inlineStr">
        <is>
          <t>S6</t>
        </is>
      </c>
      <c r="N453" t="inlineStr">
        <is>
          <t>T1</t>
        </is>
      </c>
      <c r="Q453" t="inlineStr">
        <is>
          <t>O,G</t>
        </is>
      </c>
      <c r="U453" t="n">
        <v>29140.15</v>
      </c>
      <c r="V453" t="n">
        <v>0.083333</v>
      </c>
      <c r="W453" t="inlineStr">
        <is>
          <t>CNY</t>
        </is>
      </c>
      <c r="X453" t="n">
        <v>1</v>
      </c>
      <c r="Y453" t="n">
        <v>27931.86</v>
      </c>
      <c r="Z453" t="n">
        <v>0</v>
      </c>
      <c r="AA453" t="n">
        <v>87420.45</v>
      </c>
      <c r="AB453" t="n">
        <v>69605</v>
      </c>
      <c r="AC453" t="n">
        <v>31855</v>
      </c>
      <c r="AF453" t="n">
        <v>0</v>
      </c>
      <c r="AG453" t="n">
        <v>188880.45</v>
      </c>
      <c r="AH453" t="n">
        <v>6.762186621299119</v>
      </c>
      <c r="AI453" t="n">
        <v>188880.45</v>
      </c>
      <c r="AJ453" t="n">
        <v>6.762186621299119</v>
      </c>
      <c r="AK453" t="n">
        <v>5.621732673728137</v>
      </c>
      <c r="AQ453" t="n">
        <v>188880.45</v>
      </c>
      <c r="AR453" t="n">
        <v>6.762186621299119</v>
      </c>
      <c r="AS453" t="n">
        <v>3.347460345591494</v>
      </c>
      <c r="BL453" t="n">
        <v>1</v>
      </c>
      <c r="BM453" t="n">
        <v>25695</v>
      </c>
      <c r="BN453" t="n">
        <v>0</v>
      </c>
      <c r="BO453" t="n">
        <v>27310</v>
      </c>
      <c r="BP453" t="inlineStr">
        <is>
          <t>U,G</t>
        </is>
      </c>
      <c r="BQ453" t="inlineStr">
        <is>
          <t>T1</t>
        </is>
      </c>
      <c r="BR453" t="n">
        <v>56425</v>
      </c>
      <c r="BS453" t="n">
        <v>2.195952519945515</v>
      </c>
      <c r="BT453" t="n">
        <v>0</v>
      </c>
      <c r="BU453" t="n">
        <v>56425</v>
      </c>
      <c r="BV453" t="n">
        <v>2.195952519945515</v>
      </c>
      <c r="BY453" t="n">
        <v>56425</v>
      </c>
      <c r="BZ453" t="n">
        <v>2.195952519945515</v>
      </c>
      <c r="CP453" t="inlineStr">
        <is>
          <t>财经投资并购及管理部</t>
        </is>
      </c>
      <c r="CQ453" t="inlineStr">
        <is>
          <t>5,3</t>
        </is>
      </c>
      <c r="CR453" t="n">
        <v>6</v>
      </c>
      <c r="CS453" t="inlineStr">
        <is>
          <t>T1</t>
        </is>
      </c>
      <c r="CT453" t="inlineStr">
        <is>
          <t>N</t>
        </is>
      </c>
    </row>
    <row r="454">
      <c r="A454" t="inlineStr">
        <is>
          <t>vincentHou(侯明龙)</t>
        </is>
      </c>
      <c r="C454" t="n">
        <v>80426583</v>
      </c>
      <c r="D454" t="inlineStr">
        <is>
          <t>CSIG财务管理</t>
        </is>
      </c>
      <c r="E454" t="inlineStr">
        <is>
          <t>行业财务管理3中心</t>
        </is>
      </c>
      <c r="G454" t="inlineStr">
        <is>
          <t>S2职能系统－财经线/CSIG财务管理/行业财务管理3中心</t>
        </is>
      </c>
      <c r="H454" s="188" t="n">
        <v>43391</v>
      </c>
      <c r="I454" t="inlineStr">
        <is>
          <t>高校招聘</t>
        </is>
      </c>
      <c r="J454" t="inlineStr">
        <is>
          <t>财经类－FN</t>
        </is>
      </c>
      <c r="K454" t="inlineStr">
        <is>
          <t>财务管理</t>
        </is>
      </c>
      <c r="L454" t="inlineStr">
        <is>
          <t>S9</t>
        </is>
      </c>
      <c r="N454" t="inlineStr">
        <is>
          <t>T1#</t>
        </is>
      </c>
      <c r="Q454" t="inlineStr">
        <is>
          <t>O,O</t>
        </is>
      </c>
      <c r="U454" t="n">
        <v>53577.3</v>
      </c>
      <c r="V454" t="n">
        <v>0.083333</v>
      </c>
      <c r="W454" t="inlineStr">
        <is>
          <t>CNY</t>
        </is>
      </c>
      <c r="X454" t="n">
        <v>1</v>
      </c>
      <c r="Y454" t="n">
        <v>48348.66</v>
      </c>
      <c r="Z454" t="n">
        <v>0</v>
      </c>
      <c r="AA454" t="n">
        <v>214309.2</v>
      </c>
      <c r="AB454" t="n">
        <v>161995</v>
      </c>
      <c r="AC454" t="n">
        <v>75170</v>
      </c>
      <c r="AF454" t="n">
        <v>0</v>
      </c>
      <c r="AG454" t="n">
        <v>451474.2</v>
      </c>
      <c r="AH454" t="n">
        <v>9.337884441885256</v>
      </c>
      <c r="AI454" t="n">
        <v>451474.2</v>
      </c>
      <c r="AJ454" t="n">
        <v>9.337884441885256</v>
      </c>
      <c r="AK454" t="n">
        <v>7.783136078642096</v>
      </c>
      <c r="AQ454" t="n">
        <v>451474.2</v>
      </c>
      <c r="AR454" t="n">
        <v>9.337884441885256</v>
      </c>
      <c r="AS454" t="n">
        <v>1.381753687947604</v>
      </c>
      <c r="BL454" t="n">
        <v>1</v>
      </c>
      <c r="BM454" t="n">
        <v>43230</v>
      </c>
      <c r="BN454" t="n">
        <v>0</v>
      </c>
      <c r="BO454" t="n">
        <v>43795</v>
      </c>
      <c r="BP454" t="inlineStr">
        <is>
          <t>O,G</t>
        </is>
      </c>
      <c r="BQ454" t="inlineStr">
        <is>
          <t>T1#</t>
        </is>
      </c>
      <c r="BR454" t="n">
        <v>280245</v>
      </c>
      <c r="BS454" t="n">
        <v>6.48265093684941</v>
      </c>
      <c r="BT454" t="n">
        <v>46495</v>
      </c>
      <c r="BU454" t="n">
        <v>326740</v>
      </c>
      <c r="BV454" t="n">
        <v>7.558177191764978</v>
      </c>
      <c r="BY454" t="n">
        <v>326740</v>
      </c>
      <c r="BZ454" t="n">
        <v>7.558177191764978</v>
      </c>
      <c r="CP454" t="inlineStr">
        <is>
          <t>CSIG财务管理</t>
        </is>
      </c>
      <c r="CQ454" t="inlineStr">
        <is>
          <t>5,5</t>
        </is>
      </c>
      <c r="CR454" t="n">
        <v>9</v>
      </c>
      <c r="CS454" t="inlineStr">
        <is>
          <t>T1#</t>
        </is>
      </c>
      <c r="CT454" t="inlineStr">
        <is>
          <t>N</t>
        </is>
      </c>
    </row>
    <row r="455">
      <c r="A455" t="inlineStr">
        <is>
          <t>amandaGao(高兰)</t>
        </is>
      </c>
      <c r="C455" t="n">
        <v>96926544</v>
      </c>
      <c r="D455" t="inlineStr">
        <is>
          <t>财经投资并购及管理部</t>
        </is>
      </c>
      <c r="E455" t="inlineStr">
        <is>
          <t>行业及项目管理中心</t>
        </is>
      </c>
      <c r="G455" t="inlineStr">
        <is>
          <t>S2职能系统－财经线/财经投资并购及管理部/行业及项目管理中心</t>
        </is>
      </c>
      <c r="H455" s="188" t="n">
        <v>44933</v>
      </c>
      <c r="I455" t="inlineStr">
        <is>
          <t>社会招聘</t>
        </is>
      </c>
      <c r="J455" t="inlineStr">
        <is>
          <t>财经类－FN</t>
        </is>
      </c>
      <c r="K455" t="inlineStr">
        <is>
          <t>投资并购</t>
        </is>
      </c>
      <c r="L455" t="inlineStr">
        <is>
          <t>S9</t>
        </is>
      </c>
      <c r="N455" t="inlineStr">
        <is>
          <t>T2</t>
        </is>
      </c>
      <c r="Q455" t="inlineStr">
        <is>
          <t>G,G</t>
        </is>
      </c>
      <c r="U455" t="n">
        <v>45035.6</v>
      </c>
      <c r="V455" t="n">
        <v>0.083333</v>
      </c>
      <c r="W455" t="inlineStr">
        <is>
          <t>CNY</t>
        </is>
      </c>
      <c r="X455" t="n">
        <v>1</v>
      </c>
      <c r="Y455" t="n">
        <v>42656.05</v>
      </c>
      <c r="Z455" t="n">
        <v>0</v>
      </c>
      <c r="AA455" t="n">
        <v>90071.2</v>
      </c>
      <c r="AB455" t="n">
        <v>51045</v>
      </c>
      <c r="AC455" t="n">
        <v>0</v>
      </c>
      <c r="AF455" t="n">
        <v>0</v>
      </c>
      <c r="AG455" t="n">
        <v>141116.2</v>
      </c>
      <c r="AH455" t="n">
        <v>3.30823411919294</v>
      </c>
      <c r="AI455" t="n">
        <v>141116.2</v>
      </c>
      <c r="AJ455" t="n">
        <v>3.30823411919294</v>
      </c>
      <c r="AK455" t="n">
        <v>3.30823411919294</v>
      </c>
      <c r="AQ455" t="n">
        <v>141116.2</v>
      </c>
      <c r="AR455" t="n">
        <v>3.30823411919294</v>
      </c>
      <c r="AS455" t="n">
        <v>3.550539690527111</v>
      </c>
      <c r="BL455" t="n">
        <v>0.980821917808219</v>
      </c>
      <c r="BM455" t="n">
        <v>38325</v>
      </c>
      <c r="BN455" t="n">
        <v>0</v>
      </c>
      <c r="BO455" t="n">
        <v>40525</v>
      </c>
      <c r="BP455" t="inlineStr">
        <is>
          <t>O,O</t>
        </is>
      </c>
      <c r="BQ455" t="inlineStr">
        <is>
          <t>T2</t>
        </is>
      </c>
      <c r="BR455" t="n">
        <v>39745</v>
      </c>
      <c r="BS455" t="n">
        <v>1.037051532941944</v>
      </c>
      <c r="BT455" t="n">
        <v>0</v>
      </c>
      <c r="BU455" t="n">
        <v>39745</v>
      </c>
      <c r="BV455" t="n">
        <v>1.037051532941944</v>
      </c>
      <c r="BY455" t="n">
        <v>39745</v>
      </c>
      <c r="BZ455" t="n">
        <v>1.037051532941944</v>
      </c>
      <c r="CP455" t="inlineStr">
        <is>
          <t>财经投资并购及管理部</t>
        </is>
      </c>
      <c r="CQ455" t="inlineStr">
        <is>
          <t>3,3</t>
        </is>
      </c>
      <c r="CR455" t="n">
        <v>9</v>
      </c>
      <c r="CS455" t="inlineStr">
        <is>
          <t>T2</t>
        </is>
      </c>
      <c r="CT455" t="inlineStr">
        <is>
          <t>N</t>
        </is>
      </c>
    </row>
    <row r="456">
      <c r="A456" t="inlineStr">
        <is>
          <t>samuelChang(常国霖)</t>
        </is>
      </c>
      <c r="C456" t="n">
        <v>64008080</v>
      </c>
      <c r="D456" t="inlineStr">
        <is>
          <t>IEG财务管理</t>
        </is>
      </c>
      <c r="E456" t="inlineStr">
        <is>
          <t>自研财务管理组</t>
        </is>
      </c>
      <c r="G456" t="inlineStr">
        <is>
          <t>S2职能系统－财经线/IEG财务管理/自研财务管理组</t>
        </is>
      </c>
      <c r="H456" s="188" t="n">
        <v>43545</v>
      </c>
      <c r="I456" t="inlineStr">
        <is>
          <t>社会招聘</t>
        </is>
      </c>
      <c r="J456" t="inlineStr">
        <is>
          <t>财经类－FN</t>
        </is>
      </c>
      <c r="K456" t="inlineStr">
        <is>
          <t>财务管理</t>
        </is>
      </c>
      <c r="L456" t="inlineStr">
        <is>
          <t>S13</t>
        </is>
      </c>
      <c r="N456" t="inlineStr">
        <is>
          <t>T2</t>
        </is>
      </c>
      <c r="Q456" t="inlineStr">
        <is>
          <t>O,O</t>
        </is>
      </c>
      <c r="U456" t="n">
        <v>78292.60000000001</v>
      </c>
      <c r="V456" t="n">
        <v>0.083333</v>
      </c>
      <c r="W456" t="inlineStr">
        <is>
          <t>CNY</t>
        </is>
      </c>
      <c r="X456" t="n">
        <v>1</v>
      </c>
      <c r="Y456" t="n">
        <v>76116.86</v>
      </c>
      <c r="Z456" t="n">
        <v>0</v>
      </c>
      <c r="AA456" t="n">
        <v>313170.4</v>
      </c>
      <c r="AB456" t="n">
        <v>86365</v>
      </c>
      <c r="AC456" t="n">
        <v>0</v>
      </c>
      <c r="AF456" t="n">
        <v>0</v>
      </c>
      <c r="AG456" t="n">
        <v>399535.4</v>
      </c>
      <c r="AH456" t="n">
        <v>5.248973749048503</v>
      </c>
      <c r="AI456" t="n">
        <v>399535.4</v>
      </c>
      <c r="AJ456" t="n">
        <v>5.248973749048503</v>
      </c>
      <c r="AK456" t="n">
        <v>5.248973749048503</v>
      </c>
      <c r="AQ456" t="n">
        <v>399535.4</v>
      </c>
      <c r="AR456" t="n">
        <v>5.248973749048503</v>
      </c>
      <c r="AS456" t="n">
        <v>1.324807347967372</v>
      </c>
      <c r="BL456" t="n">
        <v>1</v>
      </c>
      <c r="BM456" t="n">
        <v>67550</v>
      </c>
      <c r="BN456" t="n">
        <v>0</v>
      </c>
      <c r="BO456" t="n">
        <v>68370</v>
      </c>
      <c r="BP456" t="inlineStr">
        <is>
          <t>O,G</t>
        </is>
      </c>
      <c r="BQ456" t="inlineStr">
        <is>
          <t>T2</t>
        </is>
      </c>
      <c r="BR456" t="n">
        <v>301580</v>
      </c>
      <c r="BS456" t="n">
        <v>4.464544781643228</v>
      </c>
      <c r="BT456" t="n">
        <v>0</v>
      </c>
      <c r="BU456" t="n">
        <v>301580</v>
      </c>
      <c r="BV456" t="n">
        <v>4.464544781643228</v>
      </c>
      <c r="BY456" t="n">
        <v>301580</v>
      </c>
      <c r="BZ456" t="n">
        <v>4.464544781643228</v>
      </c>
      <c r="CP456" t="inlineStr">
        <is>
          <t>IEG财务管理</t>
        </is>
      </c>
      <c r="CQ456" t="inlineStr">
        <is>
          <t>5,5</t>
        </is>
      </c>
      <c r="CR456" t="n">
        <v>13</v>
      </c>
      <c r="CS456" t="inlineStr">
        <is>
          <t>T2</t>
        </is>
      </c>
      <c r="CT456" t="inlineStr">
        <is>
          <t>N</t>
        </is>
      </c>
    </row>
    <row r="457">
      <c r="A457" t="inlineStr">
        <is>
          <t>jasonLu(卢文飞)</t>
        </is>
      </c>
      <c r="C457" t="n">
        <v>74558048</v>
      </c>
      <c r="D457" t="inlineStr">
        <is>
          <t>税务部</t>
        </is>
      </c>
      <c r="E457" t="inlineStr">
        <is>
          <t>印章及文档管理组</t>
        </is>
      </c>
      <c r="G457" t="inlineStr">
        <is>
          <t>S2职能系统－财经线/税务部/印章及文档管理组</t>
        </is>
      </c>
      <c r="H457" s="188" t="n">
        <v>39740</v>
      </c>
      <c r="I457" t="inlineStr">
        <is>
          <t>社会招聘</t>
        </is>
      </c>
      <c r="J457" t="inlineStr">
        <is>
          <t>财经类－FN</t>
        </is>
      </c>
      <c r="K457" t="inlineStr">
        <is>
          <t>税务</t>
        </is>
      </c>
      <c r="L457" t="inlineStr">
        <is>
          <t>S6</t>
        </is>
      </c>
      <c r="N457" t="inlineStr">
        <is>
          <t>T1</t>
        </is>
      </c>
      <c r="Q457" t="inlineStr">
        <is>
          <t>O,G</t>
        </is>
      </c>
      <c r="U457" t="n">
        <v>34944.9</v>
      </c>
      <c r="V457" t="n">
        <v>0.083333</v>
      </c>
      <c r="W457" t="inlineStr">
        <is>
          <t>CNY</t>
        </is>
      </c>
      <c r="X457" t="n">
        <v>1</v>
      </c>
      <c r="Y457" t="n">
        <v>33013.4</v>
      </c>
      <c r="Z457" t="n">
        <v>0</v>
      </c>
      <c r="AA457" t="n">
        <v>104834.7</v>
      </c>
      <c r="AB457" t="n">
        <v>71565</v>
      </c>
      <c r="AC457" t="n">
        <v>39135</v>
      </c>
      <c r="AF457" t="n">
        <v>0</v>
      </c>
      <c r="AG457" t="n">
        <v>215534.7</v>
      </c>
      <c r="AH457" t="n">
        <v>6.528703496156107</v>
      </c>
      <c r="AI457" t="n">
        <v>215534.7</v>
      </c>
      <c r="AJ457" t="n">
        <v>6.528703496156107</v>
      </c>
      <c r="AK457" t="n">
        <v>5.343275760751695</v>
      </c>
      <c r="AQ457" t="n">
        <v>215534.7</v>
      </c>
      <c r="AR457" t="n">
        <v>6.528703496156107</v>
      </c>
      <c r="AS457" t="n">
        <v>1.108746109725044</v>
      </c>
      <c r="BL457" t="n">
        <v>1</v>
      </c>
      <c r="BM457" t="n">
        <v>31085</v>
      </c>
      <c r="BN457" t="n">
        <v>0</v>
      </c>
      <c r="BO457" t="n">
        <v>33895</v>
      </c>
      <c r="BP457" t="inlineStr">
        <is>
          <t>G,O</t>
        </is>
      </c>
      <c r="BQ457" t="inlineStr">
        <is>
          <t>T1</t>
        </is>
      </c>
      <c r="BR457" t="n">
        <v>142070</v>
      </c>
      <c r="BS457" t="n">
        <v>4.570371561846549</v>
      </c>
      <c r="BT457" t="n">
        <v>52325</v>
      </c>
      <c r="BU457" t="n">
        <v>194395</v>
      </c>
      <c r="BV457" t="n">
        <v>6.253659321216021</v>
      </c>
      <c r="BY457" t="n">
        <v>194395</v>
      </c>
      <c r="BZ457" t="n">
        <v>6.253659321216021</v>
      </c>
      <c r="CP457" t="inlineStr">
        <is>
          <t>税务部</t>
        </is>
      </c>
      <c r="CQ457" t="inlineStr">
        <is>
          <t>5,3</t>
        </is>
      </c>
      <c r="CR457" t="n">
        <v>6</v>
      </c>
      <c r="CS457" t="inlineStr">
        <is>
          <t>T1</t>
        </is>
      </c>
      <c r="CT457" t="inlineStr">
        <is>
          <t>N</t>
        </is>
      </c>
    </row>
    <row r="458">
      <c r="A458" t="inlineStr">
        <is>
          <t>stevenHong(洪炜)</t>
        </is>
      </c>
      <c r="C458" t="n">
        <v>40226372</v>
      </c>
      <c r="D458" t="inlineStr">
        <is>
          <t>审计监察</t>
        </is>
      </c>
      <c r="E458" t="inlineStr">
        <is>
          <t>海外业务审计组</t>
        </is>
      </c>
      <c r="G458" t="inlineStr">
        <is>
          <t>S2职能系统－财经线/审计监察/海外业务审计组</t>
        </is>
      </c>
      <c r="H458" s="188" t="n">
        <v>40014</v>
      </c>
      <c r="I458" t="inlineStr">
        <is>
          <t>社会招聘</t>
        </is>
      </c>
      <c r="J458" t="inlineStr">
        <is>
          <t>财经类－FN</t>
        </is>
      </c>
      <c r="K458" t="inlineStr">
        <is>
          <t>风险管理</t>
        </is>
      </c>
      <c r="L458" t="inlineStr">
        <is>
          <t>S8</t>
        </is>
      </c>
      <c r="N458" t="inlineStr">
        <is>
          <t>T1</t>
        </is>
      </c>
      <c r="Q458" t="inlineStr">
        <is>
          <t>G,G</t>
        </is>
      </c>
      <c r="U458" t="n">
        <v>41554.65</v>
      </c>
      <c r="V458" t="n">
        <v>0.083333</v>
      </c>
      <c r="W458" t="inlineStr">
        <is>
          <t>CNY</t>
        </is>
      </c>
      <c r="X458" t="n">
        <v>1</v>
      </c>
      <c r="Y458" t="n">
        <v>39065.34</v>
      </c>
      <c r="Z458" t="n">
        <v>0</v>
      </c>
      <c r="AA458" t="n">
        <v>83109.3</v>
      </c>
      <c r="AB458" t="n">
        <v>97710</v>
      </c>
      <c r="AC458" t="n">
        <v>62490</v>
      </c>
      <c r="AF458" t="n">
        <v>0</v>
      </c>
      <c r="AG458" t="n">
        <v>243309.3</v>
      </c>
      <c r="AH458" t="n">
        <v>6.228265260202522</v>
      </c>
      <c r="AI458" t="n">
        <v>243309.3</v>
      </c>
      <c r="AJ458" t="n">
        <v>6.228265260202522</v>
      </c>
      <c r="AK458" t="n">
        <v>4.628637559534872</v>
      </c>
      <c r="AQ458" t="n">
        <v>243309.3</v>
      </c>
      <c r="AR458" t="n">
        <v>6.228265260202522</v>
      </c>
      <c r="AS458" t="n">
        <v>1.123104228212703</v>
      </c>
      <c r="BL458" t="n">
        <v>1</v>
      </c>
      <c r="BM458" t="n">
        <v>35145</v>
      </c>
      <c r="BN458" t="n">
        <v>0</v>
      </c>
      <c r="BO458" t="n">
        <v>36105</v>
      </c>
      <c r="BP458" t="inlineStr">
        <is>
          <t>O,G</t>
        </is>
      </c>
      <c r="BQ458" t="inlineStr">
        <is>
          <t>T1</t>
        </is>
      </c>
      <c r="BR458" t="n">
        <v>149330</v>
      </c>
      <c r="BS458" t="n">
        <v>4.248968558827714</v>
      </c>
      <c r="BT458" t="n">
        <v>67310</v>
      </c>
      <c r="BU458" t="n">
        <v>216640</v>
      </c>
      <c r="BV458" t="n">
        <v>6.16417698107839</v>
      </c>
      <c r="BY458" t="n">
        <v>216640</v>
      </c>
      <c r="BZ458" t="n">
        <v>6.16417698107839</v>
      </c>
      <c r="CP458" t="inlineStr">
        <is>
          <t>审计监察</t>
        </is>
      </c>
      <c r="CQ458" t="inlineStr">
        <is>
          <t>3,3</t>
        </is>
      </c>
      <c r="CR458" t="n">
        <v>8</v>
      </c>
      <c r="CS458" t="inlineStr">
        <is>
          <t>T1</t>
        </is>
      </c>
      <c r="CT458" t="inlineStr">
        <is>
          <t>N</t>
        </is>
      </c>
    </row>
    <row r="459">
      <c r="A459" t="inlineStr">
        <is>
          <t>zacharyJiang(江强建)</t>
        </is>
      </c>
      <c r="C459" t="n">
        <v>42679006</v>
      </c>
      <c r="D459" t="inlineStr">
        <is>
          <t>财会及报告管理部</t>
        </is>
      </c>
      <c r="E459" t="inlineStr">
        <is>
          <t>应收管理中心</t>
        </is>
      </c>
      <c r="G459" t="inlineStr">
        <is>
          <t>S2职能系统－财经线/财会及报告管理部/应收管理中心</t>
        </is>
      </c>
      <c r="H459" s="188" t="n">
        <v>36129</v>
      </c>
      <c r="I459" t="inlineStr">
        <is>
          <t>高校招聘</t>
        </is>
      </c>
      <c r="J459" t="inlineStr">
        <is>
          <t>财经类－FN</t>
        </is>
      </c>
      <c r="K459" t="inlineStr">
        <is>
          <t>会计</t>
        </is>
      </c>
      <c r="L459" t="inlineStr">
        <is>
          <t>S8</t>
        </is>
      </c>
      <c r="N459" t="inlineStr">
        <is>
          <t>T2</t>
        </is>
      </c>
      <c r="Q459" t="inlineStr">
        <is>
          <t>G,O</t>
        </is>
      </c>
      <c r="U459" t="n">
        <v>29308.2</v>
      </c>
      <c r="V459" t="n">
        <v>0.083333</v>
      </c>
      <c r="W459" t="inlineStr">
        <is>
          <t>CNY</t>
        </is>
      </c>
      <c r="X459" t="n">
        <v>1</v>
      </c>
      <c r="Y459" t="n">
        <v>27696.96</v>
      </c>
      <c r="Z459" t="n">
        <v>0</v>
      </c>
      <c r="AA459" t="n">
        <v>87924.60000000001</v>
      </c>
      <c r="AB459" t="n">
        <v>40600</v>
      </c>
      <c r="AC459" t="n">
        <v>0</v>
      </c>
      <c r="AF459" t="n">
        <v>0</v>
      </c>
      <c r="AG459" t="n">
        <v>128524.6</v>
      </c>
      <c r="AH459" t="n">
        <v>4.640386526174714</v>
      </c>
      <c r="AI459" t="n">
        <v>128524.6</v>
      </c>
      <c r="AJ459" t="n">
        <v>4.640386526174714</v>
      </c>
      <c r="AK459" t="n">
        <v>4.640386526174714</v>
      </c>
      <c r="AQ459" t="n">
        <v>128524.6</v>
      </c>
      <c r="AR459" t="n">
        <v>4.640386526174714</v>
      </c>
      <c r="AS459" t="n">
        <v>1.467259546777784</v>
      </c>
      <c r="BL459" t="n">
        <v>1</v>
      </c>
      <c r="BM459" t="n">
        <v>25250</v>
      </c>
      <c r="BN459" t="n">
        <v>0</v>
      </c>
      <c r="BO459" t="n">
        <v>27430</v>
      </c>
      <c r="BP459" t="inlineStr">
        <is>
          <t>G,G</t>
        </is>
      </c>
      <c r="BQ459" t="inlineStr">
        <is>
          <t>T2</t>
        </is>
      </c>
      <c r="BR459" t="n">
        <v>87595</v>
      </c>
      <c r="BS459" t="n">
        <v>3.469108910891089</v>
      </c>
      <c r="BT459" t="n">
        <v>0</v>
      </c>
      <c r="BU459" t="n">
        <v>87595</v>
      </c>
      <c r="BV459" t="n">
        <v>3.469108910891089</v>
      </c>
      <c r="BY459" t="n">
        <v>87595</v>
      </c>
      <c r="BZ459" t="n">
        <v>3.469108910891089</v>
      </c>
      <c r="CP459" t="inlineStr">
        <is>
          <t>财会及报告管理部</t>
        </is>
      </c>
      <c r="CQ459" t="inlineStr">
        <is>
          <t>5,3</t>
        </is>
      </c>
      <c r="CR459" t="n">
        <v>8</v>
      </c>
      <c r="CS459" t="inlineStr">
        <is>
          <t>T2</t>
        </is>
      </c>
      <c r="CT459" t="inlineStr">
        <is>
          <t>N</t>
        </is>
      </c>
    </row>
    <row r="460">
      <c r="A460" t="inlineStr">
        <is>
          <t>rogerQin(秦宁)</t>
        </is>
      </c>
      <c r="C460" t="n">
        <v>47231255</v>
      </c>
      <c r="D460" t="inlineStr">
        <is>
          <t>财经IT管理部</t>
        </is>
      </c>
      <c r="E460" t="inlineStr">
        <is>
          <t>业务开发中心</t>
        </is>
      </c>
      <c r="G460" t="inlineStr">
        <is>
          <t>S2职能系统－财经线/财经IT管理部/业务开发中心</t>
        </is>
      </c>
      <c r="H460" s="188" t="n">
        <v>41657</v>
      </c>
      <c r="I460" t="inlineStr">
        <is>
          <t>社会招聘</t>
        </is>
      </c>
      <c r="J460" t="inlineStr">
        <is>
          <t>技术研发类－TRD</t>
        </is>
      </c>
      <c r="K460" t="inlineStr">
        <is>
          <t>应用开发</t>
        </is>
      </c>
      <c r="L460" t="inlineStr">
        <is>
          <t>T11</t>
        </is>
      </c>
      <c r="N460" t="inlineStr">
        <is>
          <t>T2</t>
        </is>
      </c>
      <c r="Q460" t="inlineStr">
        <is>
          <t>G,O</t>
        </is>
      </c>
      <c r="U460" t="n">
        <v>57296.7</v>
      </c>
      <c r="V460" t="n">
        <v>0.083333</v>
      </c>
      <c r="W460" t="inlineStr">
        <is>
          <t>CNY</t>
        </is>
      </c>
      <c r="X460" t="n">
        <v>1</v>
      </c>
      <c r="Y460" t="n">
        <v>56597.5</v>
      </c>
      <c r="Z460" t="n">
        <v>0</v>
      </c>
      <c r="AA460" t="n">
        <v>171890.1</v>
      </c>
      <c r="AB460" t="n">
        <v>64075</v>
      </c>
      <c r="AC460" t="n">
        <v>0</v>
      </c>
      <c r="AF460" t="n">
        <v>0</v>
      </c>
      <c r="AG460" t="n">
        <v>235965.1</v>
      </c>
      <c r="AH460" t="n">
        <v>4.169178850655948</v>
      </c>
      <c r="AI460" t="n">
        <v>235965.1</v>
      </c>
      <c r="AJ460" t="n">
        <v>4.169178850655948</v>
      </c>
      <c r="AK460" t="n">
        <v>4.169178850655948</v>
      </c>
      <c r="AQ460" t="n">
        <v>235965.1</v>
      </c>
      <c r="AR460" t="n">
        <v>4.169178850655948</v>
      </c>
      <c r="AS460" t="n">
        <v>1.39764911449387</v>
      </c>
      <c r="BL460" t="n">
        <v>1</v>
      </c>
      <c r="BM460" t="n">
        <v>51325</v>
      </c>
      <c r="BN460" t="n">
        <v>0</v>
      </c>
      <c r="BO460" t="n">
        <v>54200</v>
      </c>
      <c r="BP460" t="inlineStr">
        <is>
          <t>G,G</t>
        </is>
      </c>
      <c r="BQ460" t="inlineStr">
        <is>
          <t>Others</t>
        </is>
      </c>
      <c r="BR460" t="n">
        <v>168830</v>
      </c>
      <c r="BS460" t="n">
        <v>3.289430102289333</v>
      </c>
      <c r="BT460" t="n">
        <v>0</v>
      </c>
      <c r="BU460" t="n">
        <v>168830</v>
      </c>
      <c r="BV460" t="n">
        <v>3.289430102289333</v>
      </c>
      <c r="BY460" t="n">
        <v>168830</v>
      </c>
      <c r="BZ460" t="n">
        <v>3.289430102289333</v>
      </c>
      <c r="CP460" t="inlineStr">
        <is>
          <t>财经IT管理部</t>
        </is>
      </c>
      <c r="CQ460" t="inlineStr">
        <is>
          <t>5,3</t>
        </is>
      </c>
      <c r="CR460" t="n">
        <v>11</v>
      </c>
      <c r="CS460" t="inlineStr">
        <is>
          <t>T2</t>
        </is>
      </c>
      <c r="CT460" t="inlineStr">
        <is>
          <t>N</t>
        </is>
      </c>
    </row>
    <row r="461">
      <c r="A461" t="inlineStr">
        <is>
          <t>bobbyLei(雷勇)</t>
        </is>
      </c>
      <c r="C461" t="n">
        <v>58695846</v>
      </c>
      <c r="D461" t="inlineStr">
        <is>
          <t>CDG财务管理</t>
        </is>
      </c>
      <c r="E461" t="inlineStr">
        <is>
          <t>AMS收入支持中心</t>
        </is>
      </c>
      <c r="G461" t="inlineStr">
        <is>
          <t>S2职能系统－财经线/CDG财务管理/AMS收入支持中心</t>
        </is>
      </c>
      <c r="H461" s="188" t="n">
        <v>42333</v>
      </c>
      <c r="I461" t="inlineStr">
        <is>
          <t>社会招聘</t>
        </is>
      </c>
      <c r="J461" t="inlineStr">
        <is>
          <t>财经类－FN</t>
        </is>
      </c>
      <c r="K461" t="inlineStr">
        <is>
          <t>财务管理</t>
        </is>
      </c>
      <c r="L461" t="inlineStr">
        <is>
          <t>S8</t>
        </is>
      </c>
      <c r="N461" t="inlineStr">
        <is>
          <t>T2</t>
        </is>
      </c>
      <c r="Q461" t="inlineStr">
        <is>
          <t>G,O</t>
        </is>
      </c>
      <c r="U461" t="n">
        <v>51481.2</v>
      </c>
      <c r="V461" t="n">
        <v>0.083333</v>
      </c>
      <c r="W461" t="inlineStr">
        <is>
          <t>CNY</t>
        </is>
      </c>
      <c r="X461" t="n">
        <v>1</v>
      </c>
      <c r="Y461" t="n">
        <v>47908.7</v>
      </c>
      <c r="Z461" t="n">
        <v>0</v>
      </c>
      <c r="AA461" t="n">
        <v>154443.6</v>
      </c>
      <c r="AB461" t="n">
        <v>55800</v>
      </c>
      <c r="AC461" t="n">
        <v>0</v>
      </c>
      <c r="AF461" t="n">
        <v>0</v>
      </c>
      <c r="AG461" t="n">
        <v>210243.6</v>
      </c>
      <c r="AH461" t="n">
        <v>4.388422144620915</v>
      </c>
      <c r="AI461" t="n">
        <v>210243.6</v>
      </c>
      <c r="AJ461" t="n">
        <v>4.388422144620915</v>
      </c>
      <c r="AK461" t="n">
        <v>4.388422144620915</v>
      </c>
      <c r="AQ461" t="n">
        <v>210243.6</v>
      </c>
      <c r="AR461" t="n">
        <v>4.388422144620915</v>
      </c>
      <c r="AS461" t="n">
        <v>1.31270979020979</v>
      </c>
      <c r="BL461" t="n">
        <v>1</v>
      </c>
      <c r="BM461" t="n">
        <v>45485</v>
      </c>
      <c r="BN461" t="n">
        <v>0</v>
      </c>
      <c r="BO461" t="n">
        <v>46865</v>
      </c>
      <c r="BP461" t="inlineStr">
        <is>
          <t>G,G</t>
        </is>
      </c>
      <c r="BQ461" t="inlineStr">
        <is>
          <t>T2</t>
        </is>
      </c>
      <c r="BR461" t="n">
        <v>160160</v>
      </c>
      <c r="BS461" t="n">
        <v>3.521160822249093</v>
      </c>
      <c r="BT461" t="n">
        <v>0</v>
      </c>
      <c r="BU461" t="n">
        <v>160160</v>
      </c>
      <c r="BV461" t="n">
        <v>3.521160822249093</v>
      </c>
      <c r="BY461" t="n">
        <v>160160</v>
      </c>
      <c r="BZ461" t="n">
        <v>3.521160822249093</v>
      </c>
      <c r="CP461" t="inlineStr">
        <is>
          <t>CDG财务管理</t>
        </is>
      </c>
      <c r="CQ461" t="inlineStr">
        <is>
          <t>5,3</t>
        </is>
      </c>
      <c r="CR461" t="n">
        <v>8</v>
      </c>
      <c r="CS461" t="inlineStr">
        <is>
          <t>T2</t>
        </is>
      </c>
      <c r="CT461" t="inlineStr">
        <is>
          <t>N</t>
        </is>
      </c>
    </row>
    <row r="462">
      <c r="A462" t="inlineStr">
        <is>
          <t>ameliaWu(武晗媛)</t>
        </is>
      </c>
      <c r="C462" t="n">
        <v>89762030</v>
      </c>
      <c r="D462" t="inlineStr">
        <is>
          <t>可持续社会价值事业部财务管理</t>
        </is>
      </c>
      <c r="E462" t="inlineStr">
        <is>
          <t>可持续社会价值事业部财务管理</t>
        </is>
      </c>
      <c r="G462" t="inlineStr">
        <is>
          <t>S2职能系统－财经线/可持续社会价值事业部财务管理</t>
        </is>
      </c>
      <c r="H462" s="188" t="n">
        <v>40281</v>
      </c>
      <c r="I462" t="inlineStr">
        <is>
          <t>社会招聘</t>
        </is>
      </c>
      <c r="J462" t="inlineStr">
        <is>
          <t>财经类－FN</t>
        </is>
      </c>
      <c r="K462" t="inlineStr">
        <is>
          <t>财务管理</t>
        </is>
      </c>
      <c r="L462" t="inlineStr">
        <is>
          <t>S9</t>
        </is>
      </c>
      <c r="N462" t="inlineStr">
        <is>
          <t>T1</t>
        </is>
      </c>
      <c r="Q462" t="inlineStr">
        <is>
          <t>G,G</t>
        </is>
      </c>
      <c r="U462" t="n">
        <v>34206.2</v>
      </c>
      <c r="V462" t="n">
        <v>0.083333</v>
      </c>
      <c r="W462" t="inlineStr">
        <is>
          <t>CNY</t>
        </is>
      </c>
      <c r="X462" t="n">
        <v>1</v>
      </c>
      <c r="Y462" t="n">
        <v>32185.63</v>
      </c>
      <c r="Z462" t="n">
        <v>0</v>
      </c>
      <c r="AA462" t="n">
        <v>68412.39999999999</v>
      </c>
      <c r="AB462" t="n">
        <v>79705</v>
      </c>
      <c r="AC462" t="n">
        <v>41190</v>
      </c>
      <c r="AF462" t="n">
        <v>0</v>
      </c>
      <c r="AG462" t="n">
        <v>189307.4</v>
      </c>
      <c r="AH462" t="n">
        <v>5.881736663225172</v>
      </c>
      <c r="AI462" t="n">
        <v>189307.4</v>
      </c>
      <c r="AJ462" t="n">
        <v>5.881736663225172</v>
      </c>
      <c r="AK462" t="n">
        <v>4.601972992295009</v>
      </c>
      <c r="AQ462" t="n">
        <v>189307.4</v>
      </c>
      <c r="AR462" t="n">
        <v>5.881736663225172</v>
      </c>
      <c r="AS462" t="n">
        <v>2.487450233230405</v>
      </c>
      <c r="BL462" t="n">
        <v>1</v>
      </c>
      <c r="BM462" t="n">
        <v>30735</v>
      </c>
      <c r="BN462" t="n">
        <v>0</v>
      </c>
      <c r="BO462" t="n">
        <v>32585</v>
      </c>
      <c r="BP462" t="inlineStr">
        <is>
          <t>U,G</t>
        </is>
      </c>
      <c r="BQ462" t="inlineStr">
        <is>
          <t>T1</t>
        </is>
      </c>
      <c r="BR462" t="n">
        <v>76105</v>
      </c>
      <c r="BS462" t="n">
        <v>2.476167236050106</v>
      </c>
      <c r="BT462" t="n">
        <v>0</v>
      </c>
      <c r="BU462" t="n">
        <v>76105</v>
      </c>
      <c r="BV462" t="n">
        <v>2.476167236050106</v>
      </c>
      <c r="BY462" t="n">
        <v>76105</v>
      </c>
      <c r="BZ462" t="n">
        <v>2.476167236050106</v>
      </c>
      <c r="CP462" t="inlineStr">
        <is>
          <t>可持续社会价值事业部财务管理</t>
        </is>
      </c>
      <c r="CQ462" t="inlineStr">
        <is>
          <t>3,3</t>
        </is>
      </c>
      <c r="CR462" t="n">
        <v>9</v>
      </c>
      <c r="CS462" t="inlineStr">
        <is>
          <t>T1</t>
        </is>
      </c>
      <c r="CT462" t="inlineStr">
        <is>
          <t>N</t>
        </is>
      </c>
    </row>
    <row r="463">
      <c r="A463" t="inlineStr">
        <is>
          <t>mariaRen(任荷)</t>
        </is>
      </c>
      <c r="C463" t="n">
        <v>94625811</v>
      </c>
      <c r="D463" t="inlineStr">
        <is>
          <t>财经投资并购及管理部</t>
        </is>
      </c>
      <c r="E463" t="inlineStr">
        <is>
          <t>运营支持中心</t>
        </is>
      </c>
      <c r="G463" t="inlineStr">
        <is>
          <t>S2职能系统－财经线/财经投资并购及管理部/运营支持中心</t>
        </is>
      </c>
      <c r="H463" s="188" t="n">
        <v>45609</v>
      </c>
      <c r="I463" t="inlineStr">
        <is>
          <t>社会招聘</t>
        </is>
      </c>
      <c r="J463" t="inlineStr">
        <is>
          <t>财经类－FN</t>
        </is>
      </c>
      <c r="K463" t="inlineStr">
        <is>
          <t>投资并购</t>
        </is>
      </c>
      <c r="L463" t="inlineStr">
        <is>
          <t>S9</t>
        </is>
      </c>
      <c r="N463" t="inlineStr">
        <is>
          <t>T1#</t>
        </is>
      </c>
      <c r="Q463" t="inlineStr">
        <is>
          <t>N,N</t>
        </is>
      </c>
      <c r="U463" t="n">
        <v>52168.9</v>
      </c>
      <c r="V463" t="n">
        <v>0.083333</v>
      </c>
      <c r="W463" t="inlineStr">
        <is>
          <t>CNY</t>
        </is>
      </c>
      <c r="X463" t="n">
        <v>0.131507</v>
      </c>
      <c r="Y463" t="n">
        <v>52168.9</v>
      </c>
      <c r="Z463" t="n">
        <v>0</v>
      </c>
      <c r="AA463" t="n">
        <v>6860.58</v>
      </c>
      <c r="AB463" t="n">
        <v>0</v>
      </c>
      <c r="AC463" t="n">
        <v>0</v>
      </c>
      <c r="AF463" t="n">
        <v>0</v>
      </c>
      <c r="AG463" t="n">
        <v>6860.58</v>
      </c>
      <c r="AH463" t="n">
        <v>0.1315070856391451</v>
      </c>
      <c r="AI463" t="n">
        <v>6860.58</v>
      </c>
      <c r="AJ463" t="n">
        <v>0.1315070856391451</v>
      </c>
      <c r="AK463" t="n">
        <v>0.1315070856391451</v>
      </c>
      <c r="AQ463" t="n">
        <v>6860.58</v>
      </c>
      <c r="AR463" t="n">
        <v>0.1315070856391451</v>
      </c>
      <c r="BM463" t="n">
        <v>0</v>
      </c>
      <c r="BN463" t="n">
        <v>0</v>
      </c>
      <c r="BO463" t="n">
        <v>0</v>
      </c>
      <c r="BR463" t="n">
        <v>0</v>
      </c>
      <c r="BT463" t="n">
        <v>0</v>
      </c>
      <c r="BU463" t="n">
        <v>0</v>
      </c>
      <c r="BY463" t="n">
        <v>0</v>
      </c>
      <c r="CP463" t="inlineStr">
        <is>
          <t>财经投资并购及管理部</t>
        </is>
      </c>
      <c r="CR463" t="n">
        <v>9</v>
      </c>
      <c r="CS463" t="inlineStr">
        <is>
          <t>T1#</t>
        </is>
      </c>
      <c r="CT463" t="inlineStr">
        <is>
          <t>N</t>
        </is>
      </c>
    </row>
    <row r="464">
      <c r="A464" t="inlineStr">
        <is>
          <t>amandaXue(薛柔)</t>
        </is>
      </c>
      <c r="C464" t="n">
        <v>3178506</v>
      </c>
      <c r="D464" t="inlineStr">
        <is>
          <t>财经IT管理部</t>
        </is>
      </c>
      <c r="E464" t="inlineStr">
        <is>
          <t>国际业务支持中心</t>
        </is>
      </c>
      <c r="G464" t="inlineStr">
        <is>
          <t>S2职能系统－财经线/财经IT管理部/国际业务支持中心</t>
        </is>
      </c>
      <c r="H464" s="188" t="n">
        <v>45040</v>
      </c>
      <c r="I464" t="inlineStr">
        <is>
          <t>社会招聘</t>
        </is>
      </c>
      <c r="J464" t="inlineStr">
        <is>
          <t>技术研发类－TRD</t>
        </is>
      </c>
      <c r="K464" t="inlineStr">
        <is>
          <t>应用开发</t>
        </is>
      </c>
      <c r="L464" t="inlineStr">
        <is>
          <t>T10</t>
        </is>
      </c>
      <c r="N464" t="inlineStr">
        <is>
          <t>T1</t>
        </is>
      </c>
      <c r="Q464" t="inlineStr">
        <is>
          <t>G,G</t>
        </is>
      </c>
      <c r="U464" t="n">
        <v>36606.45</v>
      </c>
      <c r="V464" t="n">
        <v>0.083333</v>
      </c>
      <c r="W464" t="inlineStr">
        <is>
          <t>CNY</t>
        </is>
      </c>
      <c r="X464" t="n">
        <v>1</v>
      </c>
      <c r="Y464" t="n">
        <v>33575.76</v>
      </c>
      <c r="Z464" t="n">
        <v>0</v>
      </c>
      <c r="AA464" t="n">
        <v>73212.89999999999</v>
      </c>
      <c r="AB464" t="n">
        <v>90755</v>
      </c>
      <c r="AC464" t="n">
        <v>67955</v>
      </c>
      <c r="AF464" t="n">
        <v>0</v>
      </c>
      <c r="AG464" t="n">
        <v>231922.9</v>
      </c>
      <c r="AH464" t="n">
        <v>6.907450494046895</v>
      </c>
      <c r="AI464" t="n">
        <v>231922.9</v>
      </c>
      <c r="AJ464" t="n">
        <v>6.907450494046895</v>
      </c>
      <c r="AK464" t="n">
        <v>4.883520134763889</v>
      </c>
      <c r="AQ464" t="n">
        <v>231922.9</v>
      </c>
      <c r="AR464" t="n">
        <v>6.907450494046895</v>
      </c>
      <c r="AS464" t="n">
        <v>10.36758605274922</v>
      </c>
      <c r="BL464" t="n">
        <v>0.6876712328767119</v>
      </c>
      <c r="BM464" t="n">
        <v>32400</v>
      </c>
      <c r="BN464" t="n">
        <v>0</v>
      </c>
      <c r="BO464" t="n">
        <v>32535</v>
      </c>
      <c r="BP464" t="inlineStr">
        <is>
          <t>N,G</t>
        </is>
      </c>
      <c r="BQ464" t="inlineStr">
        <is>
          <t>T1</t>
        </is>
      </c>
      <c r="BR464" t="n">
        <v>22370</v>
      </c>
      <c r="BS464" t="n">
        <v>0.6904320987654321</v>
      </c>
      <c r="BT464" t="n">
        <v>0</v>
      </c>
      <c r="BU464" t="n">
        <v>22370</v>
      </c>
      <c r="BV464" t="n">
        <v>0.6904320987654321</v>
      </c>
      <c r="BY464" t="n">
        <v>22370</v>
      </c>
      <c r="BZ464" t="n">
        <v>0.6904320987654321</v>
      </c>
      <c r="CP464" t="inlineStr">
        <is>
          <t>财经IT管理部</t>
        </is>
      </c>
      <c r="CQ464" t="inlineStr">
        <is>
          <t>3,3</t>
        </is>
      </c>
      <c r="CR464" t="n">
        <v>10</v>
      </c>
      <c r="CS464" t="inlineStr">
        <is>
          <t>T1</t>
        </is>
      </c>
      <c r="CT464" t="inlineStr">
        <is>
          <t>N</t>
        </is>
      </c>
    </row>
    <row r="465">
      <c r="A465" t="inlineStr">
        <is>
          <t>jeffreyYuan(袁熙霖)</t>
        </is>
      </c>
      <c r="C465" t="n">
        <v>73398866</v>
      </c>
      <c r="D465" t="inlineStr">
        <is>
          <t>财会及报告管理部</t>
        </is>
      </c>
      <c r="E465" t="inlineStr">
        <is>
          <t>财报中心</t>
        </is>
      </c>
      <c r="G465" t="inlineStr">
        <is>
          <t>S2职能系统－财经线/财会及报告管理部/财报中心</t>
        </is>
      </c>
      <c r="H465" s="188" t="n">
        <v>36847</v>
      </c>
      <c r="I465" t="inlineStr">
        <is>
          <t>社会招聘</t>
        </is>
      </c>
      <c r="J465" t="inlineStr">
        <is>
          <t>财经类－FN</t>
        </is>
      </c>
      <c r="K465" t="inlineStr">
        <is>
          <t>会计</t>
        </is>
      </c>
      <c r="L465" t="inlineStr">
        <is>
          <t>S8</t>
        </is>
      </c>
      <c r="N465" t="inlineStr">
        <is>
          <t>T2</t>
        </is>
      </c>
      <c r="Q465" t="inlineStr">
        <is>
          <t>G,G</t>
        </is>
      </c>
      <c r="U465" t="n">
        <v>51773.4</v>
      </c>
      <c r="V465" t="n">
        <v>0.083333</v>
      </c>
      <c r="W465" t="inlineStr">
        <is>
          <t>CNY</t>
        </is>
      </c>
      <c r="X465" t="n">
        <v>1</v>
      </c>
      <c r="Y465" t="n">
        <v>48039.72</v>
      </c>
      <c r="Z465" t="n">
        <v>0</v>
      </c>
      <c r="AA465" t="n">
        <v>103546.8</v>
      </c>
      <c r="AB465" t="n">
        <v>57445</v>
      </c>
      <c r="AC465" t="n">
        <v>0</v>
      </c>
      <c r="AF465" t="n">
        <v>0</v>
      </c>
      <c r="AG465" t="n">
        <v>160991.8</v>
      </c>
      <c r="AH465" t="n">
        <v>3.351222696551936</v>
      </c>
      <c r="AI465" t="n">
        <v>160991.8</v>
      </c>
      <c r="AJ465" t="n">
        <v>3.351222696551936</v>
      </c>
      <c r="AK465" t="n">
        <v>3.351222696551936</v>
      </c>
      <c r="AQ465" t="n">
        <v>160991.8</v>
      </c>
      <c r="AR465" t="n">
        <v>3.351222696551936</v>
      </c>
      <c r="AS465" t="n">
        <v>0.8226248690631307</v>
      </c>
      <c r="BL465" t="n">
        <v>1</v>
      </c>
      <c r="BM465" t="n">
        <v>43660</v>
      </c>
      <c r="BN465" t="n">
        <v>0</v>
      </c>
      <c r="BO465" t="n">
        <v>46230</v>
      </c>
      <c r="BP465" t="inlineStr">
        <is>
          <t>O,G</t>
        </is>
      </c>
      <c r="BQ465" t="inlineStr">
        <is>
          <t>T2</t>
        </is>
      </c>
      <c r="BR465" t="n">
        <v>195705</v>
      </c>
      <c r="BS465" t="n">
        <v>4.482478240952817</v>
      </c>
      <c r="BT465" t="n">
        <v>0</v>
      </c>
      <c r="BU465" t="n">
        <v>195705</v>
      </c>
      <c r="BV465" t="n">
        <v>4.482478240952817</v>
      </c>
      <c r="BY465" t="n">
        <v>195705</v>
      </c>
      <c r="BZ465" t="n">
        <v>4.482478240952817</v>
      </c>
      <c r="CP465" t="inlineStr">
        <is>
          <t>财会及报告管理部</t>
        </is>
      </c>
      <c r="CQ465" t="inlineStr">
        <is>
          <t>3,3</t>
        </is>
      </c>
      <c r="CR465" t="n">
        <v>8</v>
      </c>
      <c r="CS465" t="inlineStr">
        <is>
          <t>T2</t>
        </is>
      </c>
      <c r="CT465" t="inlineStr">
        <is>
          <t>N</t>
        </is>
      </c>
    </row>
    <row r="466">
      <c r="A466" t="inlineStr">
        <is>
          <t>ralphHan(韩东荣)</t>
        </is>
      </c>
      <c r="C466" t="n">
        <v>40321865</v>
      </c>
      <c r="D466" t="inlineStr">
        <is>
          <t>IEG财务管理</t>
        </is>
      </c>
      <c r="E466" t="inlineStr">
        <is>
          <t>IEGG投资公司管理组</t>
        </is>
      </c>
      <c r="G466" t="inlineStr">
        <is>
          <t>S2职能系统－财经线/IEG财务管理/IEGG投资公司管理组</t>
        </is>
      </c>
      <c r="H466" s="188" t="n">
        <v>41712</v>
      </c>
      <c r="I466" t="inlineStr">
        <is>
          <t>社会招聘</t>
        </is>
      </c>
      <c r="J466" t="inlineStr">
        <is>
          <t>财经类－FN</t>
        </is>
      </c>
      <c r="K466" t="inlineStr">
        <is>
          <t>财务管理</t>
        </is>
      </c>
      <c r="L466" t="inlineStr">
        <is>
          <t>S11</t>
        </is>
      </c>
      <c r="N466" t="inlineStr">
        <is>
          <t>T2</t>
        </is>
      </c>
      <c r="Q466" t="inlineStr">
        <is>
          <t>G,O</t>
        </is>
      </c>
      <c r="U466" t="n">
        <v>42432.5</v>
      </c>
      <c r="V466" t="n">
        <v>0.083333</v>
      </c>
      <c r="W466" t="inlineStr">
        <is>
          <t>CNY</t>
        </is>
      </c>
      <c r="X466" t="n">
        <v>1</v>
      </c>
      <c r="Y466" t="n">
        <v>41786.86</v>
      </c>
      <c r="Z466" t="n">
        <v>0</v>
      </c>
      <c r="AA466" t="n">
        <v>127297.5</v>
      </c>
      <c r="AB466" t="n">
        <v>46480</v>
      </c>
      <c r="AC466" t="n">
        <v>0</v>
      </c>
      <c r="AF466" t="n">
        <v>0</v>
      </c>
      <c r="AG466" t="n">
        <v>173777.5</v>
      </c>
      <c r="AH466" t="n">
        <v>4.158663752193871</v>
      </c>
      <c r="AI466" t="n">
        <v>173777.5</v>
      </c>
      <c r="AJ466" t="n">
        <v>4.158663752193871</v>
      </c>
      <c r="AK466" t="n">
        <v>4.158663752193871</v>
      </c>
      <c r="AQ466" t="n">
        <v>173777.5</v>
      </c>
      <c r="AR466" t="n">
        <v>4.158663752193871</v>
      </c>
      <c r="AS466" t="n">
        <v>1.505936132414749</v>
      </c>
      <c r="BL466" t="n">
        <v>1</v>
      </c>
      <c r="BM466" t="n">
        <v>35305</v>
      </c>
      <c r="BN466" t="n">
        <v>0</v>
      </c>
      <c r="BO466" t="n">
        <v>35710</v>
      </c>
      <c r="BP466" t="inlineStr">
        <is>
          <t>O,U</t>
        </is>
      </c>
      <c r="BQ466" t="inlineStr">
        <is>
          <t>Others</t>
        </is>
      </c>
      <c r="BR466" t="n">
        <v>115395</v>
      </c>
      <c r="BS466" t="n">
        <v>3.268517207194448</v>
      </c>
      <c r="BT466" t="n">
        <v>0</v>
      </c>
      <c r="BU466" t="n">
        <v>115395</v>
      </c>
      <c r="BV466" t="n">
        <v>3.268517207194448</v>
      </c>
      <c r="BY466" t="n">
        <v>115395</v>
      </c>
      <c r="BZ466" t="n">
        <v>3.268517207194448</v>
      </c>
      <c r="CP466" t="inlineStr">
        <is>
          <t>IEG财务管理</t>
        </is>
      </c>
      <c r="CQ466" t="inlineStr">
        <is>
          <t>5,3</t>
        </is>
      </c>
      <c r="CR466" t="n">
        <v>11</v>
      </c>
      <c r="CS466" t="inlineStr">
        <is>
          <t>T2</t>
        </is>
      </c>
      <c r="CT466" t="inlineStr">
        <is>
          <t>N</t>
        </is>
      </c>
    </row>
    <row r="467">
      <c r="A467" t="inlineStr">
        <is>
          <t>charlesShi(石胜)</t>
        </is>
      </c>
      <c r="C467" t="n">
        <v>59449972</v>
      </c>
      <c r="D467" t="inlineStr">
        <is>
          <t>FiT财务管理</t>
        </is>
      </c>
      <c r="E467" t="inlineStr">
        <is>
          <t>结算支持中心</t>
        </is>
      </c>
      <c r="G467" t="inlineStr">
        <is>
          <t>S2职能系统－财经线/FiT财务管理/结算支持中心</t>
        </is>
      </c>
      <c r="H467" s="188" t="n">
        <v>38544</v>
      </c>
      <c r="I467" t="inlineStr">
        <is>
          <t>社会招聘</t>
        </is>
      </c>
      <c r="J467" t="inlineStr">
        <is>
          <t>财经类－FN</t>
        </is>
      </c>
      <c r="K467" t="inlineStr">
        <is>
          <t>财务管理</t>
        </is>
      </c>
      <c r="L467" t="inlineStr">
        <is>
          <t>S5</t>
        </is>
      </c>
      <c r="N467" t="inlineStr">
        <is>
          <t>Others</t>
        </is>
      </c>
      <c r="Q467" t="inlineStr">
        <is>
          <t>G,G</t>
        </is>
      </c>
      <c r="U467" t="n">
        <v>30654.5</v>
      </c>
      <c r="V467" t="n">
        <v>0.083333</v>
      </c>
      <c r="W467" t="inlineStr">
        <is>
          <t>CNY</t>
        </is>
      </c>
      <c r="X467" t="n">
        <v>1</v>
      </c>
      <c r="Y467" t="n">
        <v>29066.05</v>
      </c>
      <c r="Z467" t="n">
        <v>0</v>
      </c>
      <c r="AA467" t="n">
        <v>61309</v>
      </c>
      <c r="AB467" t="n">
        <v>20505</v>
      </c>
      <c r="AC467" t="n">
        <v>0</v>
      </c>
      <c r="AF467" t="n">
        <v>0</v>
      </c>
      <c r="AG467" t="n">
        <v>81814</v>
      </c>
      <c r="AH467" t="n">
        <v>2.814761551707232</v>
      </c>
      <c r="AI467" t="n">
        <v>81814</v>
      </c>
      <c r="AJ467" t="n">
        <v>2.814761551707232</v>
      </c>
      <c r="AK467" t="n">
        <v>2.814761551707232</v>
      </c>
      <c r="AQ467" t="n">
        <v>81814</v>
      </c>
      <c r="AR467" t="n">
        <v>2.814761551707232</v>
      </c>
      <c r="AS467" t="n">
        <v>1.000538094655742</v>
      </c>
      <c r="BL467" t="n">
        <v>1</v>
      </c>
      <c r="BM467" t="n">
        <v>25390</v>
      </c>
      <c r="BN467" t="n">
        <v>0</v>
      </c>
      <c r="BO467" t="n">
        <v>25895</v>
      </c>
      <c r="BP467" t="inlineStr">
        <is>
          <t>G,G</t>
        </is>
      </c>
      <c r="BQ467" t="inlineStr">
        <is>
          <t>Others</t>
        </is>
      </c>
      <c r="BR467" t="n">
        <v>81770</v>
      </c>
      <c r="BS467" t="n">
        <v>3.220559275305238</v>
      </c>
      <c r="BT467" t="n">
        <v>0</v>
      </c>
      <c r="BU467" t="n">
        <v>81770</v>
      </c>
      <c r="BV467" t="n">
        <v>3.220559275305238</v>
      </c>
      <c r="BY467" t="n">
        <v>81770</v>
      </c>
      <c r="BZ467" t="n">
        <v>3.220559275305238</v>
      </c>
      <c r="CP467" t="inlineStr">
        <is>
          <t>FiT财务管理</t>
        </is>
      </c>
      <c r="CQ467" t="inlineStr">
        <is>
          <t>3,3</t>
        </is>
      </c>
      <c r="CR467" t="n">
        <v>5</v>
      </c>
      <c r="CS467" t="inlineStr">
        <is>
          <t>Others</t>
        </is>
      </c>
      <c r="CT467" t="inlineStr">
        <is>
          <t>N</t>
        </is>
      </c>
    </row>
    <row r="468">
      <c r="A468" t="inlineStr">
        <is>
          <t>lauraXiong(熊璐)</t>
        </is>
      </c>
      <c r="C468" t="n">
        <v>9271494</v>
      </c>
      <c r="D468" t="inlineStr">
        <is>
          <t>预算及职能系统财务管理部</t>
        </is>
      </c>
      <c r="E468" t="inlineStr">
        <is>
          <t>预算管理中心</t>
        </is>
      </c>
      <c r="G468" t="inlineStr">
        <is>
          <t>S2职能系统－财经线/预算及职能系统财务管理部/预算管理中心</t>
        </is>
      </c>
      <c r="H468" s="188" t="n">
        <v>36197</v>
      </c>
      <c r="I468" t="inlineStr">
        <is>
          <t>高校招聘</t>
        </is>
      </c>
      <c r="J468" t="inlineStr">
        <is>
          <t>财经类－FN</t>
        </is>
      </c>
      <c r="K468" t="inlineStr">
        <is>
          <t>预算管理</t>
        </is>
      </c>
      <c r="L468" t="inlineStr">
        <is>
          <t>S6</t>
        </is>
      </c>
      <c r="N468" t="inlineStr">
        <is>
          <t>T1</t>
        </is>
      </c>
      <c r="Q468" t="inlineStr">
        <is>
          <t>G,O</t>
        </is>
      </c>
      <c r="U468" t="n">
        <v>36186.45</v>
      </c>
      <c r="V468" t="n">
        <v>0.083333</v>
      </c>
      <c r="W468" t="inlineStr">
        <is>
          <t>CNY</t>
        </is>
      </c>
      <c r="X468" t="n">
        <v>1</v>
      </c>
      <c r="Y468" t="n">
        <v>34069.33</v>
      </c>
      <c r="Z468" t="n">
        <v>0</v>
      </c>
      <c r="AA468" t="n">
        <v>108559.35</v>
      </c>
      <c r="AB468" t="n">
        <v>82870</v>
      </c>
      <c r="AC468" t="n">
        <v>37820</v>
      </c>
      <c r="AF468" t="n">
        <v>0</v>
      </c>
      <c r="AG468" t="n">
        <v>229249.35</v>
      </c>
      <c r="AH468" t="n">
        <v>6.728906908354229</v>
      </c>
      <c r="AI468" t="n">
        <v>229249.35</v>
      </c>
      <c r="AJ468" t="n">
        <v>6.728906908354229</v>
      </c>
      <c r="AK468" t="n">
        <v>5.618817569937536</v>
      </c>
      <c r="AQ468" t="n">
        <v>229249.35</v>
      </c>
      <c r="AR468" t="n">
        <v>6.728906908354229</v>
      </c>
      <c r="AS468" t="n">
        <v>1.410027677830058</v>
      </c>
      <c r="BL468" t="n">
        <v>1</v>
      </c>
      <c r="BM468" t="n">
        <v>32090</v>
      </c>
      <c r="BN468" t="n">
        <v>0</v>
      </c>
      <c r="BO468" t="n">
        <v>34720</v>
      </c>
      <c r="BP468" t="inlineStr">
        <is>
          <t>G,G</t>
        </is>
      </c>
      <c r="BQ468" t="inlineStr">
        <is>
          <t>T1</t>
        </is>
      </c>
      <c r="BR468" t="n">
        <v>112595</v>
      </c>
      <c r="BS468" t="n">
        <v>3.508725459644749</v>
      </c>
      <c r="BT468" t="n">
        <v>49990</v>
      </c>
      <c r="BU468" t="n">
        <v>162585</v>
      </c>
      <c r="BV468" t="n">
        <v>5.066531629791212</v>
      </c>
      <c r="BY468" t="n">
        <v>162585</v>
      </c>
      <c r="BZ468" t="n">
        <v>5.066531629791212</v>
      </c>
      <c r="CP468" t="inlineStr">
        <is>
          <t>预算及职能系统财务管理部</t>
        </is>
      </c>
      <c r="CQ468" t="inlineStr">
        <is>
          <t>5,3</t>
        </is>
      </c>
      <c r="CR468" t="n">
        <v>6</v>
      </c>
      <c r="CS468" t="inlineStr">
        <is>
          <t>T1</t>
        </is>
      </c>
      <c r="CT468" t="inlineStr">
        <is>
          <t>N</t>
        </is>
      </c>
    </row>
    <row r="469">
      <c r="A469" t="inlineStr">
        <is>
          <t>albertHuang(黄阳彪)</t>
        </is>
      </c>
      <c r="C469" t="n">
        <v>82653562</v>
      </c>
      <c r="D469" t="inlineStr">
        <is>
          <t>财会及报告管理部</t>
        </is>
      </c>
      <c r="E469" t="inlineStr">
        <is>
          <t>海外财会管理中心</t>
        </is>
      </c>
      <c r="G469" t="inlineStr">
        <is>
          <t>S2职能系统－财经线/财会及报告管理部/海外财会管理中心</t>
        </is>
      </c>
      <c r="H469" s="188" t="n">
        <v>37571</v>
      </c>
      <c r="I469" t="inlineStr">
        <is>
          <t>社会招聘</t>
        </is>
      </c>
      <c r="J469" t="inlineStr">
        <is>
          <t>财经类－FN</t>
        </is>
      </c>
      <c r="K469" t="inlineStr">
        <is>
          <t>会计</t>
        </is>
      </c>
      <c r="L469" t="inlineStr">
        <is>
          <t>S7</t>
        </is>
      </c>
      <c r="N469" t="inlineStr">
        <is>
          <t>T1</t>
        </is>
      </c>
      <c r="Q469" t="inlineStr">
        <is>
          <t>O,O</t>
        </is>
      </c>
      <c r="U469" t="n">
        <v>25529.55</v>
      </c>
      <c r="V469" t="n">
        <v>0.083333</v>
      </c>
      <c r="W469" t="inlineStr">
        <is>
          <t>CNY</t>
        </is>
      </c>
      <c r="X469" t="n">
        <v>1</v>
      </c>
      <c r="Y469" t="n">
        <v>23381.64</v>
      </c>
      <c r="Z469" t="n">
        <v>0</v>
      </c>
      <c r="AA469" t="n">
        <v>102118.2</v>
      </c>
      <c r="AB469" t="n">
        <v>53515</v>
      </c>
      <c r="AC469" t="n">
        <v>43355</v>
      </c>
      <c r="AF469" t="n">
        <v>0</v>
      </c>
      <c r="AG469" t="n">
        <v>198988.2</v>
      </c>
      <c r="AH469" t="n">
        <v>8.510446658147162</v>
      </c>
      <c r="AI469" t="n">
        <v>198988.2</v>
      </c>
      <c r="AJ469" t="n">
        <v>8.510446658147162</v>
      </c>
      <c r="AK469" t="n">
        <v>6.656214020915557</v>
      </c>
      <c r="AQ469" t="n">
        <v>198988.2</v>
      </c>
      <c r="AR469" t="n">
        <v>8.510446658147162</v>
      </c>
      <c r="AS469" t="n">
        <v>1.016854208186417</v>
      </c>
      <c r="BL469" t="n">
        <v>1</v>
      </c>
      <c r="BM469" t="n">
        <v>22380</v>
      </c>
      <c r="BN469" t="n">
        <v>0</v>
      </c>
      <c r="BO469" t="n">
        <v>24515</v>
      </c>
      <c r="BP469" t="inlineStr">
        <is>
          <t>O,G</t>
        </is>
      </c>
      <c r="BQ469" t="inlineStr">
        <is>
          <t>T1#</t>
        </is>
      </c>
      <c r="BR469" t="n">
        <v>152565</v>
      </c>
      <c r="BS469" t="n">
        <v>6.817024128686327</v>
      </c>
      <c r="BT469" t="n">
        <v>43125</v>
      </c>
      <c r="BU469" t="n">
        <v>195690</v>
      </c>
      <c r="BV469" t="n">
        <v>8.743967828418231</v>
      </c>
      <c r="BY469" t="n">
        <v>195690</v>
      </c>
      <c r="BZ469" t="n">
        <v>8.743967828418231</v>
      </c>
      <c r="CP469" t="inlineStr">
        <is>
          <t>财会及报告管理部</t>
        </is>
      </c>
      <c r="CQ469" t="inlineStr">
        <is>
          <t>5,5</t>
        </is>
      </c>
      <c r="CR469" t="n">
        <v>7</v>
      </c>
      <c r="CS469" t="inlineStr">
        <is>
          <t>T1</t>
        </is>
      </c>
      <c r="CT469" t="inlineStr">
        <is>
          <t>N</t>
        </is>
      </c>
    </row>
    <row r="470">
      <c r="A470" t="inlineStr">
        <is>
          <t>kimberlyWan(万洁)</t>
        </is>
      </c>
      <c r="C470" t="n">
        <v>8540876</v>
      </c>
      <c r="D470" t="inlineStr">
        <is>
          <t>财经IT管理部</t>
        </is>
      </c>
      <c r="E470" t="inlineStr">
        <is>
          <t>平台建设中心</t>
        </is>
      </c>
      <c r="G470" t="inlineStr">
        <is>
          <t>S2职能系统－财经线/财经IT管理部/平台建设中心</t>
        </is>
      </c>
      <c r="H470" s="188" t="n">
        <v>38414</v>
      </c>
      <c r="I470" t="inlineStr">
        <is>
          <t>高校招聘</t>
        </is>
      </c>
      <c r="J470" t="inlineStr">
        <is>
          <t>技术研发类－TRD</t>
        </is>
      </c>
      <c r="K470" t="inlineStr">
        <is>
          <t>应用开发</t>
        </is>
      </c>
      <c r="L470" t="inlineStr">
        <is>
          <t>T5</t>
        </is>
      </c>
      <c r="N470" t="inlineStr">
        <is>
          <t>T1#</t>
        </is>
      </c>
      <c r="Q470" t="inlineStr">
        <is>
          <t>G,O</t>
        </is>
      </c>
      <c r="U470" t="n">
        <v>19664.3</v>
      </c>
      <c r="V470" t="n">
        <v>0.083333</v>
      </c>
      <c r="W470" t="inlineStr">
        <is>
          <t>CNY</t>
        </is>
      </c>
      <c r="X470" t="n">
        <v>1</v>
      </c>
      <c r="Y470" t="n">
        <v>18071.18</v>
      </c>
      <c r="Z470" t="n">
        <v>0</v>
      </c>
      <c r="AA470" t="n">
        <v>58992.9</v>
      </c>
      <c r="AB470" t="n">
        <v>67750</v>
      </c>
      <c r="AC470" t="n">
        <v>39315</v>
      </c>
      <c r="AF470" t="n">
        <v>0</v>
      </c>
      <c r="AG470" t="n">
        <v>166057.9</v>
      </c>
      <c r="AH470" t="n">
        <v>9.189101099098121</v>
      </c>
      <c r="AI470" t="n">
        <v>166057.9</v>
      </c>
      <c r="AJ470" t="n">
        <v>9.189101099098121</v>
      </c>
      <c r="AK470" t="n">
        <v>7.013537577512923</v>
      </c>
      <c r="AQ470" t="n">
        <v>166057.9</v>
      </c>
      <c r="AR470" t="n">
        <v>9.189101099098121</v>
      </c>
      <c r="AS470" t="n">
        <v>2.958188296071969</v>
      </c>
      <c r="BL470" t="n">
        <v>1</v>
      </c>
      <c r="BM470" t="n">
        <v>15995</v>
      </c>
      <c r="BN470" t="n">
        <v>0</v>
      </c>
      <c r="BO470" t="n">
        <v>16055</v>
      </c>
      <c r="BP470" t="inlineStr">
        <is>
          <t>G,G</t>
        </is>
      </c>
      <c r="BQ470" t="inlineStr">
        <is>
          <t>T2</t>
        </is>
      </c>
      <c r="BR470" t="n">
        <v>56135</v>
      </c>
      <c r="BS470" t="n">
        <v>3.509534229446702</v>
      </c>
      <c r="BT470" t="n">
        <v>0</v>
      </c>
      <c r="BU470" t="n">
        <v>56135</v>
      </c>
      <c r="BV470" t="n">
        <v>3.509534229446702</v>
      </c>
      <c r="BY470" t="n">
        <v>56135</v>
      </c>
      <c r="BZ470" t="n">
        <v>3.509534229446702</v>
      </c>
      <c r="CP470" t="inlineStr">
        <is>
          <t>财经IT管理部</t>
        </is>
      </c>
      <c r="CQ470" t="inlineStr">
        <is>
          <t>5,3</t>
        </is>
      </c>
      <c r="CR470" t="n">
        <v>5</v>
      </c>
      <c r="CS470" t="inlineStr">
        <is>
          <t>T1#</t>
        </is>
      </c>
      <c r="CT470" t="inlineStr">
        <is>
          <t>N</t>
        </is>
      </c>
    </row>
    <row r="471">
      <c r="A471" t="inlineStr">
        <is>
          <t>matthewYuan(袁胜)</t>
        </is>
      </c>
      <c r="C471" t="n">
        <v>63018409</v>
      </c>
      <c r="D471" t="inlineStr">
        <is>
          <t>资金管理</t>
        </is>
      </c>
      <c r="E471" t="inlineStr">
        <is>
          <t>资金结算及风险控制中心</t>
        </is>
      </c>
      <c r="G471" t="inlineStr">
        <is>
          <t>S2职能系统－财经线/资金管理/资金结算及风险控制中心</t>
        </is>
      </c>
      <c r="H471" s="188" t="n">
        <v>45083</v>
      </c>
      <c r="I471" t="inlineStr">
        <is>
          <t>高校招聘</t>
        </is>
      </c>
      <c r="J471" t="inlineStr">
        <is>
          <t>财经类－FN</t>
        </is>
      </c>
      <c r="K471" t="inlineStr">
        <is>
          <t>资金管理</t>
        </is>
      </c>
      <c r="L471" t="inlineStr">
        <is>
          <t>S5</t>
        </is>
      </c>
      <c r="N471" t="inlineStr">
        <is>
          <t>T2</t>
        </is>
      </c>
      <c r="Q471" t="inlineStr">
        <is>
          <t>G,O</t>
        </is>
      </c>
      <c r="U471" t="n">
        <v>25236</v>
      </c>
      <c r="V471" t="n">
        <v>0.083333</v>
      </c>
      <c r="W471" t="inlineStr">
        <is>
          <t>CNY</t>
        </is>
      </c>
      <c r="X471" t="n">
        <v>1</v>
      </c>
      <c r="Y471" t="n">
        <v>23515.66</v>
      </c>
      <c r="Z471" t="n">
        <v>0</v>
      </c>
      <c r="AA471" t="n">
        <v>75708</v>
      </c>
      <c r="AB471" t="n">
        <v>29885</v>
      </c>
      <c r="AC471" t="n">
        <v>0</v>
      </c>
      <c r="AF471" t="n">
        <v>0</v>
      </c>
      <c r="AG471" t="n">
        <v>105593</v>
      </c>
      <c r="AH471" t="n">
        <v>4.490326871540072</v>
      </c>
      <c r="AI471" t="n">
        <v>105593</v>
      </c>
      <c r="AJ471" t="n">
        <v>4.490326871540072</v>
      </c>
      <c r="AK471" t="n">
        <v>4.490326871540072</v>
      </c>
      <c r="AQ471" t="n">
        <v>105593</v>
      </c>
      <c r="AR471" t="n">
        <v>4.490326871540072</v>
      </c>
      <c r="AS471" t="n">
        <v>8.304600865119937</v>
      </c>
      <c r="BL471" t="n">
        <v>0.56986301369863</v>
      </c>
      <c r="BM471" t="n">
        <v>21355</v>
      </c>
      <c r="BN471" t="n">
        <v>0</v>
      </c>
      <c r="BO471" t="n">
        <v>22320</v>
      </c>
      <c r="BP471" t="inlineStr">
        <is>
          <t>N,U</t>
        </is>
      </c>
      <c r="BQ471" t="inlineStr">
        <is>
          <t>T2</t>
        </is>
      </c>
      <c r="BR471" t="n">
        <v>12715</v>
      </c>
      <c r="BS471" t="n">
        <v>0.5954109107937251</v>
      </c>
      <c r="BT471" t="n">
        <v>0</v>
      </c>
      <c r="BU471" t="n">
        <v>12715</v>
      </c>
      <c r="BV471" t="n">
        <v>0.5954109107937251</v>
      </c>
      <c r="BY471" t="n">
        <v>12715</v>
      </c>
      <c r="BZ471" t="n">
        <v>0.5954109107937251</v>
      </c>
      <c r="CP471" t="inlineStr">
        <is>
          <t>资金管理</t>
        </is>
      </c>
      <c r="CQ471" t="inlineStr">
        <is>
          <t>5,3</t>
        </is>
      </c>
      <c r="CR471" t="n">
        <v>5</v>
      </c>
      <c r="CS471" t="inlineStr">
        <is>
          <t>T2</t>
        </is>
      </c>
      <c r="CT471" t="inlineStr">
        <is>
          <t>N</t>
        </is>
      </c>
    </row>
    <row r="472">
      <c r="A472" t="inlineStr">
        <is>
          <t>sandraSu(苏蕾)</t>
        </is>
      </c>
      <c r="C472" t="n">
        <v>65241976</v>
      </c>
      <c r="D472" t="inlineStr">
        <is>
          <t>IEG财务管理</t>
        </is>
      </c>
      <c r="E472" t="inlineStr">
        <is>
          <t>自研财务管理组</t>
        </is>
      </c>
      <c r="G472" t="inlineStr">
        <is>
          <t>S2职能系统－财经线/IEG财务管理/自研财务管理组</t>
        </is>
      </c>
      <c r="H472" s="188" t="n">
        <v>37829</v>
      </c>
      <c r="I472" t="inlineStr">
        <is>
          <t>社会招聘</t>
        </is>
      </c>
      <c r="J472" t="inlineStr">
        <is>
          <t>财经类－FN</t>
        </is>
      </c>
      <c r="K472" t="inlineStr">
        <is>
          <t>财务管理</t>
        </is>
      </c>
      <c r="L472" t="inlineStr">
        <is>
          <t>S9</t>
        </is>
      </c>
      <c r="N472" t="inlineStr">
        <is>
          <t>Others</t>
        </is>
      </c>
      <c r="Q472" t="inlineStr">
        <is>
          <t>G,G</t>
        </is>
      </c>
      <c r="U472" t="n">
        <v>42104</v>
      </c>
      <c r="V472" t="n">
        <v>0.083333</v>
      </c>
      <c r="W472" t="inlineStr">
        <is>
          <t>CNY</t>
        </is>
      </c>
      <c r="X472" t="n">
        <v>1</v>
      </c>
      <c r="Y472" t="n">
        <v>39734.56</v>
      </c>
      <c r="Z472" t="n">
        <v>0</v>
      </c>
      <c r="AA472" t="n">
        <v>84208</v>
      </c>
      <c r="AB472" t="n">
        <v>34250</v>
      </c>
      <c r="AC472" t="n">
        <v>0</v>
      </c>
      <c r="AF472" t="n">
        <v>0</v>
      </c>
      <c r="AG472" t="n">
        <v>118458</v>
      </c>
      <c r="AH472" t="n">
        <v>2.981233465275569</v>
      </c>
      <c r="AI472" t="n">
        <v>118458</v>
      </c>
      <c r="AJ472" t="n">
        <v>2.981233465275569</v>
      </c>
      <c r="AK472" t="n">
        <v>2.981233465275569</v>
      </c>
      <c r="AQ472" t="n">
        <v>118458</v>
      </c>
      <c r="AR472" t="n">
        <v>2.981233465275569</v>
      </c>
      <c r="AS472" t="n">
        <v>1.323848904783192</v>
      </c>
      <c r="BL472" t="n">
        <v>1</v>
      </c>
      <c r="BM472" t="n">
        <v>35200</v>
      </c>
      <c r="BN472" t="n">
        <v>0</v>
      </c>
      <c r="BO472" t="n">
        <v>38090</v>
      </c>
      <c r="BP472" t="inlineStr">
        <is>
          <t>U,G</t>
        </is>
      </c>
      <c r="BQ472" t="inlineStr">
        <is>
          <t>Others</t>
        </is>
      </c>
      <c r="BR472" t="n">
        <v>89480</v>
      </c>
      <c r="BS472" t="n">
        <v>2.542045454545454</v>
      </c>
      <c r="BT472" t="n">
        <v>0</v>
      </c>
      <c r="BU472" t="n">
        <v>89480</v>
      </c>
      <c r="BV472" t="n">
        <v>2.542045454545454</v>
      </c>
      <c r="BY472" t="n">
        <v>89480</v>
      </c>
      <c r="BZ472" t="n">
        <v>2.542045454545454</v>
      </c>
      <c r="CP472" t="inlineStr">
        <is>
          <t>IEG财务管理</t>
        </is>
      </c>
      <c r="CQ472" t="inlineStr">
        <is>
          <t>3,3</t>
        </is>
      </c>
      <c r="CR472" t="n">
        <v>9</v>
      </c>
      <c r="CS472" t="inlineStr">
        <is>
          <t>Others</t>
        </is>
      </c>
      <c r="CT472" t="inlineStr">
        <is>
          <t>N</t>
        </is>
      </c>
    </row>
    <row r="473">
      <c r="A473" t="inlineStr">
        <is>
          <t>lillianGuo(郭晗茹)</t>
        </is>
      </c>
      <c r="C473" t="n">
        <v>63866413</v>
      </c>
      <c r="D473" t="inlineStr">
        <is>
          <t>PCG财务管理</t>
        </is>
      </c>
      <c r="E473" t="inlineStr">
        <is>
          <t>社交平台财务管理组</t>
        </is>
      </c>
      <c r="G473" t="inlineStr">
        <is>
          <t>S2职能系统－财经线/PCG财务管理/社交平台财务管理组</t>
        </is>
      </c>
      <c r="H473" s="188" t="n">
        <v>43708</v>
      </c>
      <c r="I473" t="inlineStr">
        <is>
          <t>社会招聘</t>
        </is>
      </c>
      <c r="J473" t="inlineStr">
        <is>
          <t>财经类－FN</t>
        </is>
      </c>
      <c r="K473" t="inlineStr">
        <is>
          <t>财务管理</t>
        </is>
      </c>
      <c r="L473" t="inlineStr">
        <is>
          <t>S10</t>
        </is>
      </c>
      <c r="N473" t="inlineStr">
        <is>
          <t>T1#</t>
        </is>
      </c>
      <c r="Q473" t="inlineStr">
        <is>
          <t>G,G</t>
        </is>
      </c>
      <c r="U473" t="n">
        <v>49830.55</v>
      </c>
      <c r="V473" t="n">
        <v>0.083333</v>
      </c>
      <c r="W473" t="inlineStr">
        <is>
          <t>CNY</t>
        </is>
      </c>
      <c r="X473" t="n">
        <v>1</v>
      </c>
      <c r="Y473" t="n">
        <v>47261.25</v>
      </c>
      <c r="Z473" t="n">
        <v>0</v>
      </c>
      <c r="AA473" t="n">
        <v>99661.10000000001</v>
      </c>
      <c r="AB473" t="n">
        <v>174380</v>
      </c>
      <c r="AC473" t="n">
        <v>83335</v>
      </c>
      <c r="AF473" t="n">
        <v>0</v>
      </c>
      <c r="AG473" t="n">
        <v>357376.1</v>
      </c>
      <c r="AH473" t="n">
        <v>7.561714935597344</v>
      </c>
      <c r="AI473" t="n">
        <v>357376.1</v>
      </c>
      <c r="AJ473" t="n">
        <v>7.561714935597344</v>
      </c>
      <c r="AK473" t="n">
        <v>5.798431061387499</v>
      </c>
      <c r="AQ473" t="n">
        <v>357376.1</v>
      </c>
      <c r="AR473" t="n">
        <v>7.561714935597344</v>
      </c>
      <c r="AS473" t="n">
        <v>1.260608123600063</v>
      </c>
      <c r="BL473" t="n">
        <v>1</v>
      </c>
      <c r="BM473" t="n">
        <v>43730</v>
      </c>
      <c r="BN473" t="n">
        <v>0</v>
      </c>
      <c r="BO473" t="n">
        <v>46690</v>
      </c>
      <c r="BP473" t="inlineStr">
        <is>
          <t>G,G</t>
        </is>
      </c>
      <c r="BQ473" t="inlineStr">
        <is>
          <t>T1#</t>
        </is>
      </c>
      <c r="BR473" t="n">
        <v>234150</v>
      </c>
      <c r="BS473" t="n">
        <v>5.354447747541734</v>
      </c>
      <c r="BT473" t="n">
        <v>49345</v>
      </c>
      <c r="BU473" t="n">
        <v>283495</v>
      </c>
      <c r="BV473" t="n">
        <v>6.482849302538304</v>
      </c>
      <c r="BY473" t="n">
        <v>283495</v>
      </c>
      <c r="BZ473" t="n">
        <v>6.482849302538304</v>
      </c>
      <c r="CP473" t="inlineStr">
        <is>
          <t>PCG财务管理</t>
        </is>
      </c>
      <c r="CQ473" t="inlineStr">
        <is>
          <t>3,3</t>
        </is>
      </c>
      <c r="CR473" t="n">
        <v>10</v>
      </c>
      <c r="CS473" t="inlineStr">
        <is>
          <t>T1#</t>
        </is>
      </c>
      <c r="CT473" t="inlineStr">
        <is>
          <t>N</t>
        </is>
      </c>
    </row>
    <row r="474">
      <c r="A474" t="inlineStr">
        <is>
          <t>leonDing(丁彪斌)</t>
        </is>
      </c>
      <c r="C474" t="n">
        <v>21947586</v>
      </c>
      <c r="D474" t="inlineStr">
        <is>
          <t>CSIG财务管理</t>
        </is>
      </c>
      <c r="E474" t="inlineStr">
        <is>
          <t>产品财务管理中心</t>
        </is>
      </c>
      <c r="G474" t="inlineStr">
        <is>
          <t>S2职能系统－财经线/CSIG财务管理/产品财务管理中心</t>
        </is>
      </c>
      <c r="H474" s="188" t="n">
        <v>37654</v>
      </c>
      <c r="I474" t="inlineStr">
        <is>
          <t>社会招聘</t>
        </is>
      </c>
      <c r="J474" t="inlineStr">
        <is>
          <t>财经类－FN</t>
        </is>
      </c>
      <c r="K474" t="inlineStr">
        <is>
          <t>财务管理</t>
        </is>
      </c>
      <c r="M474" t="inlineStr">
        <is>
          <t>L3-3</t>
        </is>
      </c>
      <c r="N474" t="inlineStr">
        <is>
          <t>T2</t>
        </is>
      </c>
      <c r="Q474" t="inlineStr">
        <is>
          <t>G,G</t>
        </is>
      </c>
      <c r="U474" t="n">
        <v>65150.7</v>
      </c>
      <c r="V474" t="n">
        <v>0.083333</v>
      </c>
      <c r="W474" t="inlineStr">
        <is>
          <t>CNY</t>
        </is>
      </c>
      <c r="X474" t="n">
        <v>1</v>
      </c>
      <c r="Y474" t="n">
        <v>60098.19</v>
      </c>
      <c r="Z474" t="n">
        <v>0</v>
      </c>
      <c r="AA474" t="n">
        <v>130301.4</v>
      </c>
      <c r="AB474" t="n">
        <v>93435</v>
      </c>
      <c r="AC474" t="n">
        <v>0</v>
      </c>
      <c r="AF474" t="n">
        <v>33835</v>
      </c>
      <c r="AG474" t="n">
        <v>223736.4</v>
      </c>
      <c r="AH474" t="n">
        <v>3.722847559968112</v>
      </c>
      <c r="AI474" t="n">
        <v>257571.4</v>
      </c>
      <c r="AJ474" t="n">
        <v>4.285842884785715</v>
      </c>
      <c r="AK474" t="n">
        <v>4.285842884785715</v>
      </c>
      <c r="AQ474" t="n">
        <v>257571.4</v>
      </c>
      <c r="AR474" t="n">
        <v>4.285842884785715</v>
      </c>
      <c r="AS474" t="n">
        <v>0.9735104694232368</v>
      </c>
      <c r="BL474" t="n">
        <v>1</v>
      </c>
      <c r="BM474" t="n">
        <v>57350</v>
      </c>
      <c r="BN474" t="n">
        <v>0</v>
      </c>
      <c r="BO474" t="n">
        <v>60420</v>
      </c>
      <c r="BP474" t="inlineStr">
        <is>
          <t>G,O</t>
        </is>
      </c>
      <c r="BQ474" t="inlineStr">
        <is>
          <t>T2</t>
        </is>
      </c>
      <c r="BR474" t="n">
        <v>264580</v>
      </c>
      <c r="BS474" t="n">
        <v>4.613426329555362</v>
      </c>
      <c r="BT474" t="n">
        <v>0</v>
      </c>
      <c r="BU474" t="n">
        <v>264580</v>
      </c>
      <c r="BV474" t="n">
        <v>4.613426329555362</v>
      </c>
      <c r="BY474" t="n">
        <v>264580</v>
      </c>
      <c r="BZ474" t="n">
        <v>4.613426329555362</v>
      </c>
      <c r="CP474" t="inlineStr">
        <is>
          <t>CSIG财务管理</t>
        </is>
      </c>
      <c r="CQ474" t="inlineStr">
        <is>
          <t>3,3</t>
        </is>
      </c>
      <c r="CR474" t="inlineStr">
        <is>
          <t>L3-3</t>
        </is>
      </c>
      <c r="CS474" t="inlineStr">
        <is>
          <t>T2</t>
        </is>
      </c>
      <c r="CT474" t="inlineStr">
        <is>
          <t>N</t>
        </is>
      </c>
    </row>
    <row r="475">
      <c r="A475" t="inlineStr">
        <is>
          <t>noahWan(万锋霖)</t>
        </is>
      </c>
      <c r="C475" t="n">
        <v>47407796</v>
      </c>
      <c r="D475" t="inlineStr">
        <is>
          <t>TEG财务管理</t>
        </is>
      </c>
      <c r="E475" t="inlineStr">
        <is>
          <t>TEG财务管理</t>
        </is>
      </c>
      <c r="G475" t="inlineStr">
        <is>
          <t>S2职能系统－财经线/TEG财务管理</t>
        </is>
      </c>
      <c r="H475" s="188" t="n">
        <v>42136</v>
      </c>
      <c r="I475" t="inlineStr">
        <is>
          <t>社会招聘</t>
        </is>
      </c>
      <c r="J475" t="inlineStr">
        <is>
          <t>财经类－FN</t>
        </is>
      </c>
      <c r="K475" t="inlineStr">
        <is>
          <t>财务管理</t>
        </is>
      </c>
      <c r="L475" t="inlineStr">
        <is>
          <t>S5</t>
        </is>
      </c>
      <c r="N475" t="inlineStr">
        <is>
          <t>T1#</t>
        </is>
      </c>
      <c r="Q475" t="inlineStr">
        <is>
          <t>G,O</t>
        </is>
      </c>
      <c r="U475" t="n">
        <v>29752.85</v>
      </c>
      <c r="V475" t="n">
        <v>0.083333</v>
      </c>
      <c r="W475" t="inlineStr">
        <is>
          <t>CNY</t>
        </is>
      </c>
      <c r="X475" t="n">
        <v>1</v>
      </c>
      <c r="Y475" t="n">
        <v>28737.72</v>
      </c>
      <c r="Z475" t="n">
        <v>0</v>
      </c>
      <c r="AA475" t="n">
        <v>89258.55</v>
      </c>
      <c r="AB475" t="n">
        <v>100005</v>
      </c>
      <c r="AC475" t="n">
        <v>32940</v>
      </c>
      <c r="AF475" t="n">
        <v>0</v>
      </c>
      <c r="AG475" t="n">
        <v>222203.55</v>
      </c>
      <c r="AH475" t="n">
        <v>7.732121754961771</v>
      </c>
      <c r="AI475" t="n">
        <v>222203.55</v>
      </c>
      <c r="AJ475" t="n">
        <v>7.732121754961771</v>
      </c>
      <c r="AK475" t="n">
        <v>6.585893035355623</v>
      </c>
      <c r="AQ475" t="n">
        <v>222203.55</v>
      </c>
      <c r="AR475" t="n">
        <v>7.732121754961771</v>
      </c>
      <c r="AS475" t="n">
        <v>1.937934327577185</v>
      </c>
      <c r="BL475" t="n">
        <v>1</v>
      </c>
      <c r="BM475" t="n">
        <v>26185</v>
      </c>
      <c r="BN475" t="n">
        <v>0</v>
      </c>
      <c r="BO475" t="n">
        <v>28610</v>
      </c>
      <c r="BP475" t="inlineStr">
        <is>
          <t>U,G</t>
        </is>
      </c>
      <c r="BQ475" t="inlineStr">
        <is>
          <t>T1#</t>
        </is>
      </c>
      <c r="BR475" t="n">
        <v>114660</v>
      </c>
      <c r="BS475" t="n">
        <v>4.378842848959328</v>
      </c>
      <c r="BT475" t="n">
        <v>0</v>
      </c>
      <c r="BU475" t="n">
        <v>114660</v>
      </c>
      <c r="BV475" t="n">
        <v>4.378842848959328</v>
      </c>
      <c r="BY475" t="n">
        <v>114660</v>
      </c>
      <c r="BZ475" t="n">
        <v>4.378842848959328</v>
      </c>
      <c r="CP475" t="inlineStr">
        <is>
          <t>TEG财务管理</t>
        </is>
      </c>
      <c r="CQ475" t="inlineStr">
        <is>
          <t>5,3</t>
        </is>
      </c>
      <c r="CR475" t="n">
        <v>5</v>
      </c>
      <c r="CS475" t="inlineStr">
        <is>
          <t>T1#</t>
        </is>
      </c>
      <c r="CT475" t="inlineStr">
        <is>
          <t>N</t>
        </is>
      </c>
    </row>
    <row r="476">
      <c r="A476" t="inlineStr">
        <is>
          <t>ryanMa(马刚)</t>
        </is>
      </c>
      <c r="C476" t="n">
        <v>96738220</v>
      </c>
      <c r="D476" t="inlineStr">
        <is>
          <t>风险管理和内部控制</t>
        </is>
      </c>
      <c r="E476" t="inlineStr">
        <is>
          <t>CSIG风控中心</t>
        </is>
      </c>
      <c r="G476" t="inlineStr">
        <is>
          <t>S2职能系统－财经线/风险管理和内部控制/CSIG风控中心</t>
        </is>
      </c>
      <c r="H476" s="188" t="n">
        <v>40989</v>
      </c>
      <c r="I476" t="inlineStr">
        <is>
          <t>社会招聘</t>
        </is>
      </c>
      <c r="J476" t="inlineStr">
        <is>
          <t>财经类－FN</t>
        </is>
      </c>
      <c r="K476" t="inlineStr">
        <is>
          <t>风险管理</t>
        </is>
      </c>
      <c r="L476" t="inlineStr">
        <is>
          <t>S7</t>
        </is>
      </c>
      <c r="N476" t="inlineStr">
        <is>
          <t>T1</t>
        </is>
      </c>
      <c r="Q476" t="inlineStr">
        <is>
          <t>G,O</t>
        </is>
      </c>
      <c r="U476" t="n">
        <v>43003.6</v>
      </c>
      <c r="V476" t="n">
        <v>0.083333</v>
      </c>
      <c r="W476" t="inlineStr">
        <is>
          <t>CNY</t>
        </is>
      </c>
      <c r="X476" t="n">
        <v>1</v>
      </c>
      <c r="Y476" t="n">
        <v>40079.23</v>
      </c>
      <c r="Z476" t="n">
        <v>0</v>
      </c>
      <c r="AA476" t="n">
        <v>129010.8</v>
      </c>
      <c r="AB476" t="n">
        <v>103640</v>
      </c>
      <c r="AC476" t="n">
        <v>71420</v>
      </c>
      <c r="AF476" t="n">
        <v>0</v>
      </c>
      <c r="AG476" t="n">
        <v>304070.8</v>
      </c>
      <c r="AH476" t="n">
        <v>7.586742559674923</v>
      </c>
      <c r="AI476" t="n">
        <v>304070.8</v>
      </c>
      <c r="AJ476" t="n">
        <v>7.586742559674923</v>
      </c>
      <c r="AK476" t="n">
        <v>5.804772197469861</v>
      </c>
      <c r="AQ476" t="n">
        <v>304070.8</v>
      </c>
      <c r="AR476" t="n">
        <v>7.586742559674923</v>
      </c>
      <c r="AS476" t="n">
        <v>1.655617989763694</v>
      </c>
      <c r="BL476" t="n">
        <v>1</v>
      </c>
      <c r="BM476" t="n">
        <v>34825</v>
      </c>
      <c r="BN476" t="n">
        <v>0</v>
      </c>
      <c r="BO476" t="n">
        <v>36245</v>
      </c>
      <c r="BP476" t="inlineStr">
        <is>
          <t>G,G</t>
        </is>
      </c>
      <c r="BQ476" t="inlineStr">
        <is>
          <t>T1</t>
        </is>
      </c>
      <c r="BR476" t="n">
        <v>111780</v>
      </c>
      <c r="BS476" t="n">
        <v>3.209763101220388</v>
      </c>
      <c r="BT476" t="n">
        <v>71880</v>
      </c>
      <c r="BU476" t="n">
        <v>183660</v>
      </c>
      <c r="BV476" t="n">
        <v>5.273797559224695</v>
      </c>
      <c r="BY476" t="n">
        <v>183660</v>
      </c>
      <c r="BZ476" t="n">
        <v>5.273797559224695</v>
      </c>
      <c r="CP476" t="inlineStr">
        <is>
          <t>风险管理和内部控制</t>
        </is>
      </c>
      <c r="CQ476" t="inlineStr">
        <is>
          <t>5,3</t>
        </is>
      </c>
      <c r="CR476" t="n">
        <v>7</v>
      </c>
      <c r="CS476" t="inlineStr">
        <is>
          <t>T1</t>
        </is>
      </c>
      <c r="CT476" t="inlineStr">
        <is>
          <t>N</t>
        </is>
      </c>
    </row>
    <row r="477">
      <c r="A477" t="inlineStr">
        <is>
          <t>chloeLiao(廖姗)</t>
        </is>
      </c>
      <c r="C477" t="n">
        <v>27541803</v>
      </c>
      <c r="D477" t="inlineStr">
        <is>
          <t>WXG财务管理</t>
        </is>
      </c>
      <c r="E477" t="inlineStr">
        <is>
          <t>微信支付财务管理中心</t>
        </is>
      </c>
      <c r="G477" t="inlineStr">
        <is>
          <t>S2职能系统－财经线/WXG财务管理/微信支付财务管理中心</t>
        </is>
      </c>
      <c r="H477" s="188" t="n">
        <v>41846</v>
      </c>
      <c r="I477" t="inlineStr">
        <is>
          <t>社会招聘</t>
        </is>
      </c>
      <c r="J477" t="inlineStr">
        <is>
          <t>财经类－FN</t>
        </is>
      </c>
      <c r="K477" t="inlineStr">
        <is>
          <t>财务管理</t>
        </is>
      </c>
      <c r="L477" t="inlineStr">
        <is>
          <t>S8</t>
        </is>
      </c>
      <c r="N477" t="inlineStr">
        <is>
          <t>T2</t>
        </is>
      </c>
      <c r="Q477" t="inlineStr">
        <is>
          <t>G,G</t>
        </is>
      </c>
      <c r="U477" t="n">
        <v>51132.1</v>
      </c>
      <c r="V477" t="n">
        <v>0.083333</v>
      </c>
      <c r="W477" t="inlineStr">
        <is>
          <t>CNY</t>
        </is>
      </c>
      <c r="X477" t="n">
        <v>1</v>
      </c>
      <c r="Y477" t="n">
        <v>49896.63</v>
      </c>
      <c r="Z477" t="n">
        <v>0</v>
      </c>
      <c r="AA477" t="n">
        <v>102264.2</v>
      </c>
      <c r="AB477" t="n">
        <v>68695</v>
      </c>
      <c r="AC477" t="n">
        <v>0</v>
      </c>
      <c r="AF477" t="n">
        <v>0</v>
      </c>
      <c r="AG477" t="n">
        <v>170959.2</v>
      </c>
      <c r="AH477" t="n">
        <v>3.426267465357881</v>
      </c>
      <c r="AI477" t="n">
        <v>170959.2</v>
      </c>
      <c r="AJ477" t="n">
        <v>3.426267465357881</v>
      </c>
      <c r="AK477" t="n">
        <v>3.426267465357881</v>
      </c>
      <c r="AQ477" t="n">
        <v>170959.2</v>
      </c>
      <c r="AR477" t="n">
        <v>3.426267465357881</v>
      </c>
      <c r="AS477" t="n">
        <v>1.149498739283913</v>
      </c>
      <c r="BL477" t="n">
        <v>1</v>
      </c>
      <c r="BM477" t="n">
        <v>43920</v>
      </c>
      <c r="BN477" t="n">
        <v>0</v>
      </c>
      <c r="BO477" t="n">
        <v>47860</v>
      </c>
      <c r="BP477" t="inlineStr">
        <is>
          <t>G,G</t>
        </is>
      </c>
      <c r="BQ477" t="inlineStr">
        <is>
          <t>T2</t>
        </is>
      </c>
      <c r="BR477" t="n">
        <v>148725</v>
      </c>
      <c r="BS477" t="n">
        <v>3.386270491803279</v>
      </c>
      <c r="BT477" t="n">
        <v>0</v>
      </c>
      <c r="BU477" t="n">
        <v>148725</v>
      </c>
      <c r="BV477" t="n">
        <v>3.386270491803279</v>
      </c>
      <c r="BY477" t="n">
        <v>148725</v>
      </c>
      <c r="BZ477" t="n">
        <v>3.386270491803279</v>
      </c>
      <c r="CP477" t="inlineStr">
        <is>
          <t>WXG财务管理</t>
        </is>
      </c>
      <c r="CQ477" t="inlineStr">
        <is>
          <t>3,3</t>
        </is>
      </c>
      <c r="CR477" t="n">
        <v>8</v>
      </c>
      <c r="CS477" t="inlineStr">
        <is>
          <t>T2</t>
        </is>
      </c>
      <c r="CT477" t="inlineStr">
        <is>
          <t>N</t>
        </is>
      </c>
    </row>
    <row r="478">
      <c r="A478" t="inlineStr">
        <is>
          <t>gabrielDuan(段松)</t>
        </is>
      </c>
      <c r="C478" t="n">
        <v>95552439</v>
      </c>
      <c r="D478" t="inlineStr">
        <is>
          <t>应收账款管理中心</t>
        </is>
      </c>
      <c r="E478" t="inlineStr">
        <is>
          <t>应收管理2组</t>
        </is>
      </c>
      <c r="G478" t="inlineStr">
        <is>
          <t>S2职能系统－财经线/应收账款管理中心/应收管理2组</t>
        </is>
      </c>
      <c r="H478" s="188" t="n">
        <v>41560</v>
      </c>
      <c r="I478" t="inlineStr">
        <is>
          <t>高校招聘</t>
        </is>
      </c>
      <c r="J478" t="inlineStr">
        <is>
          <t>财经类－FN</t>
        </is>
      </c>
      <c r="K478" t="inlineStr">
        <is>
          <t>会计</t>
        </is>
      </c>
      <c r="L478" t="inlineStr">
        <is>
          <t>S9</t>
        </is>
      </c>
      <c r="N478" t="inlineStr">
        <is>
          <t>T1</t>
        </is>
      </c>
      <c r="Q478" t="inlineStr">
        <is>
          <t>O,O</t>
        </is>
      </c>
      <c r="U478" t="n">
        <v>37642.85</v>
      </c>
      <c r="V478" t="n">
        <v>0.083333</v>
      </c>
      <c r="W478" t="inlineStr">
        <is>
          <t>CNY</t>
        </is>
      </c>
      <c r="X478" t="n">
        <v>1</v>
      </c>
      <c r="Y478" t="n">
        <v>33988.76</v>
      </c>
      <c r="Z478" t="n">
        <v>0</v>
      </c>
      <c r="AA478" t="n">
        <v>150571.4</v>
      </c>
      <c r="AB478" t="n">
        <v>81135</v>
      </c>
      <c r="AC478" t="n">
        <v>63250</v>
      </c>
      <c r="AF478" t="n">
        <v>0</v>
      </c>
      <c r="AG478" t="n">
        <v>294956.4</v>
      </c>
      <c r="AH478" t="n">
        <v>8.678057098876216</v>
      </c>
      <c r="AI478" t="n">
        <v>294956.4</v>
      </c>
      <c r="AJ478" t="n">
        <v>8.678057098876216</v>
      </c>
      <c r="AK478" t="n">
        <v>6.817147786503537</v>
      </c>
      <c r="AQ478" t="n">
        <v>294956.4</v>
      </c>
      <c r="AR478" t="n">
        <v>8.678057098876216</v>
      </c>
      <c r="AS478" t="n">
        <v>2.71611400156545</v>
      </c>
      <c r="BL478" t="n">
        <v>1</v>
      </c>
      <c r="BM478" t="n">
        <v>33075</v>
      </c>
      <c r="BN478" t="n">
        <v>0</v>
      </c>
      <c r="BO478" t="n">
        <v>35915</v>
      </c>
      <c r="BP478" t="inlineStr">
        <is>
          <t>G,G</t>
        </is>
      </c>
      <c r="BQ478" t="inlineStr">
        <is>
          <t>T2</t>
        </is>
      </c>
      <c r="BR478" t="n">
        <v>108595</v>
      </c>
      <c r="BS478" t="n">
        <v>3.283295540438397</v>
      </c>
      <c r="BT478" t="n">
        <v>0</v>
      </c>
      <c r="BU478" t="n">
        <v>108595</v>
      </c>
      <c r="BV478" t="n">
        <v>3.283295540438397</v>
      </c>
      <c r="BY478" t="n">
        <v>108595</v>
      </c>
      <c r="BZ478" t="n">
        <v>3.283295540438397</v>
      </c>
      <c r="CP478" t="inlineStr">
        <is>
          <t>应收账款管理中心</t>
        </is>
      </c>
      <c r="CQ478" t="inlineStr">
        <is>
          <t>5,5</t>
        </is>
      </c>
      <c r="CR478" t="n">
        <v>9</v>
      </c>
      <c r="CS478" t="inlineStr">
        <is>
          <t>T1</t>
        </is>
      </c>
      <c r="CT478" t="inlineStr">
        <is>
          <t>N</t>
        </is>
      </c>
    </row>
    <row r="479">
      <c r="A479" t="inlineStr">
        <is>
          <t>loganChang(常力)</t>
        </is>
      </c>
      <c r="C479" t="n">
        <v>14524056</v>
      </c>
      <c r="D479" t="inlineStr">
        <is>
          <t>反舞弊调查部</t>
        </is>
      </c>
      <c r="E479" t="inlineStr">
        <is>
          <t>反舞弊调查部</t>
        </is>
      </c>
      <c r="G479" t="inlineStr">
        <is>
          <t>S2职能系统－财经线/反舞弊调查部</t>
        </is>
      </c>
      <c r="H479" s="188" t="n">
        <v>45540</v>
      </c>
      <c r="I479" t="inlineStr">
        <is>
          <t>高校招聘</t>
        </is>
      </c>
      <c r="J479" t="inlineStr">
        <is>
          <t>财经类－FN</t>
        </is>
      </c>
      <c r="K479" t="inlineStr">
        <is>
          <t>风险管理</t>
        </is>
      </c>
      <c r="L479" t="inlineStr">
        <is>
          <t>S7</t>
        </is>
      </c>
      <c r="N479" t="inlineStr">
        <is>
          <t>T2</t>
        </is>
      </c>
      <c r="Q479" t="inlineStr">
        <is>
          <t>N,O</t>
        </is>
      </c>
      <c r="U479" t="n">
        <v>43752.8</v>
      </c>
      <c r="V479" t="n">
        <v>0.083333</v>
      </c>
      <c r="W479" t="inlineStr">
        <is>
          <t>CNY</t>
        </is>
      </c>
      <c r="X479" t="n">
        <v>0.320548</v>
      </c>
      <c r="Y479" t="n">
        <v>43752.8</v>
      </c>
      <c r="Z479" t="n">
        <v>0</v>
      </c>
      <c r="AA479" t="n">
        <v>14024.87</v>
      </c>
      <c r="AB479" t="n">
        <v>0</v>
      </c>
      <c r="AC479" t="n">
        <v>0</v>
      </c>
      <c r="AF479" t="n">
        <v>0</v>
      </c>
      <c r="AG479" t="n">
        <v>14024.87</v>
      </c>
      <c r="AH479" t="n">
        <v>0.3205479420745644</v>
      </c>
      <c r="AI479" t="n">
        <v>14024.87</v>
      </c>
      <c r="AJ479" t="n">
        <v>0.3205479420745644</v>
      </c>
      <c r="AK479" t="n">
        <v>0.3205479420745644</v>
      </c>
      <c r="AQ479" t="n">
        <v>14024.87</v>
      </c>
      <c r="AR479" t="n">
        <v>0.3205479420745644</v>
      </c>
      <c r="BM479" t="n">
        <v>0</v>
      </c>
      <c r="BN479" t="n">
        <v>0</v>
      </c>
      <c r="BO479" t="n">
        <v>0</v>
      </c>
      <c r="BR479" t="n">
        <v>0</v>
      </c>
      <c r="BT479" t="n">
        <v>0</v>
      </c>
      <c r="BU479" t="n">
        <v>0</v>
      </c>
      <c r="BY479" t="n">
        <v>0</v>
      </c>
      <c r="CP479" t="inlineStr">
        <is>
          <t>反舞弊调查部</t>
        </is>
      </c>
      <c r="CQ479" t="n">
        <v>5</v>
      </c>
      <c r="CR479" t="n">
        <v>7</v>
      </c>
      <c r="CS479" t="inlineStr">
        <is>
          <t>T2</t>
        </is>
      </c>
      <c r="CT479" t="inlineStr">
        <is>
          <t>N</t>
        </is>
      </c>
    </row>
    <row r="480">
      <c r="A480" t="inlineStr">
        <is>
          <t>dianaGuo(郭瑶)</t>
        </is>
      </c>
      <c r="C480" t="n">
        <v>43200908</v>
      </c>
      <c r="D480" t="inlineStr">
        <is>
          <t>财会及报告管理部</t>
        </is>
      </c>
      <c r="E480" t="inlineStr">
        <is>
          <t>供应商支付管理中心</t>
        </is>
      </c>
      <c r="G480" t="inlineStr">
        <is>
          <t>S2职能系统－财经线/财会及报告管理部/供应商支付管理中心</t>
        </is>
      </c>
      <c r="H480" s="188" t="n">
        <v>40034</v>
      </c>
      <c r="I480" t="inlineStr">
        <is>
          <t>高校招聘</t>
        </is>
      </c>
      <c r="J480" t="inlineStr">
        <is>
          <t>财经类－FN</t>
        </is>
      </c>
      <c r="K480" t="inlineStr">
        <is>
          <t>会计</t>
        </is>
      </c>
      <c r="L480" t="inlineStr">
        <is>
          <t>S8</t>
        </is>
      </c>
      <c r="N480" t="inlineStr">
        <is>
          <t>T1</t>
        </is>
      </c>
      <c r="Q480" t="inlineStr">
        <is>
          <t>G,G</t>
        </is>
      </c>
      <c r="U480" t="n">
        <v>48637.05</v>
      </c>
      <c r="V480" t="n">
        <v>0.083333</v>
      </c>
      <c r="W480" t="inlineStr">
        <is>
          <t>CNY</t>
        </is>
      </c>
      <c r="X480" t="n">
        <v>1</v>
      </c>
      <c r="Y480" t="n">
        <v>45295.58</v>
      </c>
      <c r="Z480" t="n">
        <v>0</v>
      </c>
      <c r="AA480" t="n">
        <v>97274.10000000001</v>
      </c>
      <c r="AB480" t="n">
        <v>106455</v>
      </c>
      <c r="AC480" t="n">
        <v>51060</v>
      </c>
      <c r="AF480" t="n">
        <v>0</v>
      </c>
      <c r="AG480" t="n">
        <v>254789.1</v>
      </c>
      <c r="AH480" t="n">
        <v>5.6250322879186</v>
      </c>
      <c r="AI480" t="n">
        <v>254789.1</v>
      </c>
      <c r="AJ480" t="n">
        <v>5.6250322879186</v>
      </c>
      <c r="AK480" t="n">
        <v>4.497769981088663</v>
      </c>
      <c r="AQ480" t="n">
        <v>254789.1</v>
      </c>
      <c r="AR480" t="n">
        <v>5.6250322879186</v>
      </c>
      <c r="AS480" t="n">
        <v>0.9020041066307927</v>
      </c>
      <c r="BL480" t="n">
        <v>1</v>
      </c>
      <c r="BM480" t="n">
        <v>43360</v>
      </c>
      <c r="BN480" t="n">
        <v>0</v>
      </c>
      <c r="BO480" t="n">
        <v>47265</v>
      </c>
      <c r="BP480" t="inlineStr">
        <is>
          <t>O,G</t>
        </is>
      </c>
      <c r="BQ480" t="inlineStr">
        <is>
          <t>T1</t>
        </is>
      </c>
      <c r="BR480" t="n">
        <v>201220</v>
      </c>
      <c r="BS480" t="n">
        <v>4.640682656826568</v>
      </c>
      <c r="BT480" t="n">
        <v>81250</v>
      </c>
      <c r="BU480" t="n">
        <v>282470</v>
      </c>
      <c r="BV480" t="n">
        <v>6.514529520295203</v>
      </c>
      <c r="BY480" t="n">
        <v>282470</v>
      </c>
      <c r="BZ480" t="n">
        <v>6.514529520295203</v>
      </c>
      <c r="CP480" t="inlineStr">
        <is>
          <t>财会及报告管理部</t>
        </is>
      </c>
      <c r="CQ480" t="inlineStr">
        <is>
          <t>3,3</t>
        </is>
      </c>
      <c r="CR480" t="n">
        <v>8</v>
      </c>
      <c r="CS480" t="inlineStr">
        <is>
          <t>T1</t>
        </is>
      </c>
      <c r="CT480" t="inlineStr">
        <is>
          <t>N</t>
        </is>
      </c>
    </row>
    <row r="481">
      <c r="A481" t="inlineStr">
        <is>
          <t>jerryXia(夏旭刚)</t>
        </is>
      </c>
      <c r="C481" t="n">
        <v>72811169</v>
      </c>
      <c r="D481" t="inlineStr">
        <is>
          <t>财会及报告管理部</t>
        </is>
      </c>
      <c r="E481" t="inlineStr">
        <is>
          <t>应收管理中心</t>
        </is>
      </c>
      <c r="G481" t="inlineStr">
        <is>
          <t>S2职能系统－财经线/财会及报告管理部/应收管理中心</t>
        </is>
      </c>
      <c r="H481" s="188" t="n">
        <v>43240</v>
      </c>
      <c r="I481" t="inlineStr">
        <is>
          <t>社会招聘</t>
        </is>
      </c>
      <c r="J481" t="inlineStr">
        <is>
          <t>财经类－FN</t>
        </is>
      </c>
      <c r="K481" t="inlineStr">
        <is>
          <t>会计</t>
        </is>
      </c>
      <c r="L481" t="inlineStr">
        <is>
          <t>S10</t>
        </is>
      </c>
      <c r="N481" t="inlineStr">
        <is>
          <t>T1</t>
        </is>
      </c>
      <c r="Q481" t="inlineStr">
        <is>
          <t>G,O</t>
        </is>
      </c>
      <c r="U481" t="n">
        <v>64768</v>
      </c>
      <c r="V481" t="n">
        <v>0.083333</v>
      </c>
      <c r="W481" t="inlineStr">
        <is>
          <t>CNY</t>
        </is>
      </c>
      <c r="X481" t="n">
        <v>1</v>
      </c>
      <c r="Y481" t="n">
        <v>60328.67</v>
      </c>
      <c r="Z481" t="n">
        <v>0</v>
      </c>
      <c r="AA481" t="n">
        <v>194304</v>
      </c>
      <c r="AB481" t="n">
        <v>140360</v>
      </c>
      <c r="AC481" t="n">
        <v>107495</v>
      </c>
      <c r="AF481" t="n">
        <v>0</v>
      </c>
      <c r="AG481" t="n">
        <v>442159</v>
      </c>
      <c r="AH481" t="n">
        <v>7.329168702044981</v>
      </c>
      <c r="AI481" t="n">
        <v>442159</v>
      </c>
      <c r="AJ481" t="n">
        <v>7.329168702044981</v>
      </c>
      <c r="AK481" t="n">
        <v>5.547345897066851</v>
      </c>
      <c r="AQ481" t="n">
        <v>442159</v>
      </c>
      <c r="AR481" t="n">
        <v>7.329168702044981</v>
      </c>
      <c r="AS481" t="n">
        <v>3.439587709062621</v>
      </c>
      <c r="BL481" t="n">
        <v>1</v>
      </c>
      <c r="BM481" t="n">
        <v>52915</v>
      </c>
      <c r="BN481" t="n">
        <v>0</v>
      </c>
      <c r="BO481" t="n">
        <v>54960</v>
      </c>
      <c r="BP481" t="inlineStr">
        <is>
          <t>U,G</t>
        </is>
      </c>
      <c r="BQ481" t="inlineStr">
        <is>
          <t>T1</t>
        </is>
      </c>
      <c r="BR481" t="n">
        <v>128550</v>
      </c>
      <c r="BS481" t="n">
        <v>2.429367854105641</v>
      </c>
      <c r="BT481" t="n">
        <v>0</v>
      </c>
      <c r="BU481" t="n">
        <v>128550</v>
      </c>
      <c r="BV481" t="n">
        <v>2.429367854105641</v>
      </c>
      <c r="BY481" t="n">
        <v>128550</v>
      </c>
      <c r="BZ481" t="n">
        <v>2.429367854105641</v>
      </c>
      <c r="CP481" t="inlineStr">
        <is>
          <t>财会及报告管理部</t>
        </is>
      </c>
      <c r="CQ481" t="inlineStr">
        <is>
          <t>5,3</t>
        </is>
      </c>
      <c r="CR481" t="n">
        <v>10</v>
      </c>
      <c r="CS481" t="inlineStr">
        <is>
          <t>T1</t>
        </is>
      </c>
      <c r="CT481" t="inlineStr">
        <is>
          <t>N</t>
        </is>
      </c>
    </row>
    <row r="482">
      <c r="A482" t="inlineStr">
        <is>
          <t>jacobPan(潘涛雄)</t>
        </is>
      </c>
      <c r="C482" t="n">
        <v>56002809</v>
      </c>
      <c r="D482" t="inlineStr">
        <is>
          <t>CFO办公室</t>
        </is>
      </c>
      <c r="E482" t="inlineStr">
        <is>
          <t>管理决策委员会</t>
        </is>
      </c>
      <c r="G482" t="inlineStr">
        <is>
          <t>S2职能系统－财经线/CFO办公室/管理决策委员会</t>
        </is>
      </c>
      <c r="H482" s="188" t="n">
        <v>39848</v>
      </c>
      <c r="I482" t="inlineStr">
        <is>
          <t>高校招聘</t>
        </is>
      </c>
      <c r="J482" t="inlineStr">
        <is>
          <t>财经类－FN</t>
        </is>
      </c>
      <c r="K482" t="inlineStr">
        <is>
          <t>投资者关系</t>
        </is>
      </c>
      <c r="L482" t="inlineStr">
        <is>
          <t>S5</t>
        </is>
      </c>
      <c r="N482" t="inlineStr">
        <is>
          <t>Others</t>
        </is>
      </c>
      <c r="Q482" t="inlineStr">
        <is>
          <t>O,G</t>
        </is>
      </c>
      <c r="U482" t="n">
        <v>17971.25</v>
      </c>
      <c r="V482" t="n">
        <v>0.083333</v>
      </c>
      <c r="W482" t="inlineStr">
        <is>
          <t>CNY</t>
        </is>
      </c>
      <c r="X482" t="n">
        <v>1</v>
      </c>
      <c r="Y482" t="n">
        <v>16219.03</v>
      </c>
      <c r="Z482" t="n">
        <v>0</v>
      </c>
      <c r="AA482" t="n">
        <v>53913.75</v>
      </c>
      <c r="AB482" t="n">
        <v>17060</v>
      </c>
      <c r="AC482" t="n">
        <v>0</v>
      </c>
      <c r="AF482" t="n">
        <v>0</v>
      </c>
      <c r="AG482" t="n">
        <v>70973.75</v>
      </c>
      <c r="AH482" t="n">
        <v>4.375955282159291</v>
      </c>
      <c r="AI482" t="n">
        <v>70973.75</v>
      </c>
      <c r="AJ482" t="n">
        <v>4.375955282159291</v>
      </c>
      <c r="AK482" t="n">
        <v>4.375955282159291</v>
      </c>
      <c r="AQ482" t="n">
        <v>70973.75</v>
      </c>
      <c r="AR482" t="n">
        <v>4.375955282159291</v>
      </c>
      <c r="AS482" t="n">
        <v>1.406953117256418</v>
      </c>
      <c r="BL482" t="n">
        <v>1</v>
      </c>
      <c r="BM482" t="n">
        <v>15735</v>
      </c>
      <c r="BN482" t="n">
        <v>0</v>
      </c>
      <c r="BO482" t="n">
        <v>16270</v>
      </c>
      <c r="BP482" t="inlineStr">
        <is>
          <t>O,U</t>
        </is>
      </c>
      <c r="BQ482" t="inlineStr">
        <is>
          <t>Others</t>
        </is>
      </c>
      <c r="BR482" t="n">
        <v>50445</v>
      </c>
      <c r="BS482" t="n">
        <v>3.205910390848427</v>
      </c>
      <c r="BT482" t="n">
        <v>0</v>
      </c>
      <c r="BU482" t="n">
        <v>50445</v>
      </c>
      <c r="BV482" t="n">
        <v>3.205910390848427</v>
      </c>
      <c r="BY482" t="n">
        <v>50445</v>
      </c>
      <c r="BZ482" t="n">
        <v>3.205910390848427</v>
      </c>
      <c r="CP482" t="inlineStr">
        <is>
          <t>CFO办公室</t>
        </is>
      </c>
      <c r="CQ482" t="inlineStr">
        <is>
          <t>5,3</t>
        </is>
      </c>
      <c r="CR482" t="n">
        <v>5</v>
      </c>
      <c r="CS482" t="inlineStr">
        <is>
          <t>Others</t>
        </is>
      </c>
      <c r="CT482" t="inlineStr">
        <is>
          <t>N</t>
        </is>
      </c>
    </row>
    <row r="483">
      <c r="A483" t="inlineStr">
        <is>
          <t>frankCheng(程德)</t>
        </is>
      </c>
      <c r="C483" t="n">
        <v>19389320</v>
      </c>
      <c r="D483" t="inlineStr">
        <is>
          <t>IEG财务管理</t>
        </is>
      </c>
      <c r="E483" t="inlineStr">
        <is>
          <t>IEG Global Finance</t>
        </is>
      </c>
      <c r="G483" t="inlineStr">
        <is>
          <t>S2职能系统－财经线/IEG财务管理/IEG Global Finance</t>
        </is>
      </c>
      <c r="H483" s="188" t="n">
        <v>37407</v>
      </c>
      <c r="I483" t="inlineStr">
        <is>
          <t>高校招聘</t>
        </is>
      </c>
      <c r="J483" t="inlineStr">
        <is>
          <t>财经类－FN</t>
        </is>
      </c>
      <c r="K483" t="inlineStr">
        <is>
          <t>财务管理</t>
        </is>
      </c>
      <c r="L483" t="inlineStr">
        <is>
          <t>S5</t>
        </is>
      </c>
      <c r="N483" t="inlineStr">
        <is>
          <t>T2</t>
        </is>
      </c>
      <c r="Q483" t="inlineStr">
        <is>
          <t>G,G</t>
        </is>
      </c>
      <c r="U483" t="n">
        <v>31662.55</v>
      </c>
      <c r="V483" t="n">
        <v>0.083333</v>
      </c>
      <c r="W483" t="inlineStr">
        <is>
          <t>CNY</t>
        </is>
      </c>
      <c r="X483" t="n">
        <v>1</v>
      </c>
      <c r="Y483" t="n">
        <v>29263.39</v>
      </c>
      <c r="Z483" t="n">
        <v>0</v>
      </c>
      <c r="AA483" t="n">
        <v>63325.1</v>
      </c>
      <c r="AB483" t="n">
        <v>40190</v>
      </c>
      <c r="AC483" t="n">
        <v>0</v>
      </c>
      <c r="AF483" t="n">
        <v>0</v>
      </c>
      <c r="AG483" t="n">
        <v>103515.1</v>
      </c>
      <c r="AH483" t="n">
        <v>3.537358453685647</v>
      </c>
      <c r="AI483" t="n">
        <v>103515.1</v>
      </c>
      <c r="AJ483" t="n">
        <v>3.537358453685647</v>
      </c>
      <c r="AK483" t="n">
        <v>3.537358453685647</v>
      </c>
      <c r="AQ483" t="n">
        <v>103515.1</v>
      </c>
      <c r="AR483" t="n">
        <v>3.537358453685647</v>
      </c>
      <c r="AS483" t="n">
        <v>0.8756511441018484</v>
      </c>
      <c r="BL483" t="n">
        <v>1</v>
      </c>
      <c r="BM483" t="n">
        <v>26820</v>
      </c>
      <c r="BN483" t="n">
        <v>0</v>
      </c>
      <c r="BO483" t="n">
        <v>27525</v>
      </c>
      <c r="BP483" t="inlineStr">
        <is>
          <t>O,G</t>
        </is>
      </c>
      <c r="BQ483" t="inlineStr">
        <is>
          <t>T2</t>
        </is>
      </c>
      <c r="BR483" t="n">
        <v>118215</v>
      </c>
      <c r="BS483" t="n">
        <v>4.407718120805369</v>
      </c>
      <c r="BT483" t="n">
        <v>0</v>
      </c>
      <c r="BU483" t="n">
        <v>118215</v>
      </c>
      <c r="BV483" t="n">
        <v>4.407718120805369</v>
      </c>
      <c r="BY483" t="n">
        <v>118215</v>
      </c>
      <c r="BZ483" t="n">
        <v>4.407718120805369</v>
      </c>
      <c r="CP483" t="inlineStr">
        <is>
          <t>IEG财务管理</t>
        </is>
      </c>
      <c r="CQ483" t="inlineStr">
        <is>
          <t>3,3</t>
        </is>
      </c>
      <c r="CR483" t="n">
        <v>5</v>
      </c>
      <c r="CS483" t="inlineStr">
        <is>
          <t>T2</t>
        </is>
      </c>
      <c r="CT483" t="inlineStr">
        <is>
          <t>N</t>
        </is>
      </c>
    </row>
    <row r="484">
      <c r="A484" t="inlineStr">
        <is>
          <t>jackNiu(牛国)</t>
        </is>
      </c>
      <c r="C484" t="n">
        <v>15151923</v>
      </c>
      <c r="D484" t="inlineStr">
        <is>
          <t>CDG财务管理</t>
        </is>
      </c>
      <c r="E484" t="inlineStr">
        <is>
          <t>综合财务管理中心</t>
        </is>
      </c>
      <c r="G484" t="inlineStr">
        <is>
          <t>S2职能系统－财经线/CDG财务管理/综合财务管理中心</t>
        </is>
      </c>
      <c r="H484" s="188" t="n">
        <v>42755</v>
      </c>
      <c r="I484" t="inlineStr">
        <is>
          <t>高校招聘</t>
        </is>
      </c>
      <c r="J484" t="inlineStr">
        <is>
          <t>财经类－FN</t>
        </is>
      </c>
      <c r="K484" t="inlineStr">
        <is>
          <t>财务管理</t>
        </is>
      </c>
      <c r="L484" t="inlineStr">
        <is>
          <t>S6</t>
        </is>
      </c>
      <c r="N484" t="inlineStr">
        <is>
          <t>Others</t>
        </is>
      </c>
      <c r="Q484" t="inlineStr">
        <is>
          <t>G,U</t>
        </is>
      </c>
      <c r="U484" t="n">
        <v>37664.9</v>
      </c>
      <c r="V484" t="n">
        <v>0.083333</v>
      </c>
      <c r="W484" t="inlineStr">
        <is>
          <t>CNY</t>
        </is>
      </c>
      <c r="X484" t="n">
        <v>1</v>
      </c>
      <c r="Y484" t="n">
        <v>36596.98</v>
      </c>
      <c r="Z484" t="n">
        <v>0</v>
      </c>
      <c r="AA484" t="n">
        <v>37664.9</v>
      </c>
      <c r="AB484" t="n">
        <v>30940</v>
      </c>
      <c r="AC484" t="n">
        <v>0</v>
      </c>
      <c r="AF484" t="n">
        <v>0</v>
      </c>
      <c r="AG484" t="n">
        <v>68604.89999999999</v>
      </c>
      <c r="AH484" t="n">
        <v>1.874605500235265</v>
      </c>
      <c r="AI484" t="n">
        <v>68604.89999999999</v>
      </c>
      <c r="AJ484" t="n">
        <v>1.874605500235265</v>
      </c>
      <c r="AK484" t="n">
        <v>1.874605500235265</v>
      </c>
      <c r="AQ484" t="n">
        <v>68604.89999999999</v>
      </c>
      <c r="AR484" t="n">
        <v>1.874605500235265</v>
      </c>
      <c r="AS484" t="n">
        <v>0.4454574378287124</v>
      </c>
      <c r="BL484" t="n">
        <v>1</v>
      </c>
      <c r="BM484" t="n">
        <v>33740</v>
      </c>
      <c r="BN484" t="n">
        <v>0</v>
      </c>
      <c r="BO484" t="n">
        <v>34390</v>
      </c>
      <c r="BP484" t="inlineStr">
        <is>
          <t>O,G</t>
        </is>
      </c>
      <c r="BQ484" t="inlineStr">
        <is>
          <t>Others</t>
        </is>
      </c>
      <c r="BR484" t="n">
        <v>154010</v>
      </c>
      <c r="BS484" t="n">
        <v>4.564611736810907</v>
      </c>
      <c r="BT484" t="n">
        <v>0</v>
      </c>
      <c r="BU484" t="n">
        <v>154010</v>
      </c>
      <c r="BV484" t="n">
        <v>4.564611736810907</v>
      </c>
      <c r="BY484" t="n">
        <v>154010</v>
      </c>
      <c r="BZ484" t="n">
        <v>4.564611736810907</v>
      </c>
      <c r="CP484" t="inlineStr">
        <is>
          <t>CDG财务管理</t>
        </is>
      </c>
      <c r="CQ484" t="inlineStr">
        <is>
          <t>3,1</t>
        </is>
      </c>
      <c r="CR484" t="n">
        <v>6</v>
      </c>
      <c r="CS484" t="inlineStr">
        <is>
          <t>Others</t>
        </is>
      </c>
      <c r="CT484" t="inlineStr">
        <is>
          <t>N</t>
        </is>
      </c>
    </row>
    <row r="485">
      <c r="A485" t="inlineStr">
        <is>
          <t>claireYe(叶馨莉)</t>
        </is>
      </c>
      <c r="C485" t="n">
        <v>28868603</v>
      </c>
      <c r="D485" t="inlineStr">
        <is>
          <t>风险管理和内部控制</t>
        </is>
      </c>
      <c r="E485" t="inlineStr">
        <is>
          <t>WXG风控中心</t>
        </is>
      </c>
      <c r="G485" t="inlineStr">
        <is>
          <t>S2职能系统－财经线/风险管理和内部控制/WXG风控中心</t>
        </is>
      </c>
      <c r="H485" s="188" t="n">
        <v>37339</v>
      </c>
      <c r="I485" t="inlineStr">
        <is>
          <t>高校招聘</t>
        </is>
      </c>
      <c r="J485" t="inlineStr">
        <is>
          <t>财经类－FN</t>
        </is>
      </c>
      <c r="K485" t="inlineStr">
        <is>
          <t>风险管理</t>
        </is>
      </c>
      <c r="L485" t="inlineStr">
        <is>
          <t>S7</t>
        </is>
      </c>
      <c r="N485" t="inlineStr">
        <is>
          <t>Others</t>
        </is>
      </c>
      <c r="Q485" t="inlineStr">
        <is>
          <t>G,G</t>
        </is>
      </c>
      <c r="U485" t="n">
        <v>37182.5</v>
      </c>
      <c r="V485" t="n">
        <v>0.083333</v>
      </c>
      <c r="W485" t="inlineStr">
        <is>
          <t>CNY</t>
        </is>
      </c>
      <c r="X485" t="n">
        <v>1</v>
      </c>
      <c r="Y485" t="n">
        <v>36110.01</v>
      </c>
      <c r="Z485" t="n">
        <v>0</v>
      </c>
      <c r="AA485" t="n">
        <v>74365</v>
      </c>
      <c r="AB485" t="n">
        <v>24960</v>
      </c>
      <c r="AC485" t="n">
        <v>0</v>
      </c>
      <c r="AF485" t="n">
        <v>0</v>
      </c>
      <c r="AG485" t="n">
        <v>99325</v>
      </c>
      <c r="AH485" t="n">
        <v>2.750622334361026</v>
      </c>
      <c r="AI485" t="n">
        <v>99325</v>
      </c>
      <c r="AJ485" t="n">
        <v>2.750622334361026</v>
      </c>
      <c r="AK485" t="n">
        <v>2.750622334361026</v>
      </c>
      <c r="AQ485" t="n">
        <v>99325</v>
      </c>
      <c r="AR485" t="n">
        <v>2.750622334361026</v>
      </c>
      <c r="AS485" t="n">
        <v>0.8515517832647462</v>
      </c>
      <c r="BL485" t="n">
        <v>1</v>
      </c>
      <c r="BM485" t="n">
        <v>33440</v>
      </c>
      <c r="BN485" t="n">
        <v>0</v>
      </c>
      <c r="BO485" t="n">
        <v>36220</v>
      </c>
      <c r="BP485" t="inlineStr">
        <is>
          <t>G,G</t>
        </is>
      </c>
      <c r="BQ485" t="inlineStr">
        <is>
          <t>T2</t>
        </is>
      </c>
      <c r="BR485" t="n">
        <v>116640</v>
      </c>
      <c r="BS485" t="n">
        <v>3.488038277511962</v>
      </c>
      <c r="BT485" t="n">
        <v>0</v>
      </c>
      <c r="BU485" t="n">
        <v>116640</v>
      </c>
      <c r="BV485" t="n">
        <v>3.488038277511962</v>
      </c>
      <c r="BY485" t="n">
        <v>116640</v>
      </c>
      <c r="BZ485" t="n">
        <v>3.488038277511962</v>
      </c>
      <c r="CP485" t="inlineStr">
        <is>
          <t>风险管理和内部控制</t>
        </is>
      </c>
      <c r="CQ485" t="inlineStr">
        <is>
          <t>3,3</t>
        </is>
      </c>
      <c r="CR485" t="n">
        <v>7</v>
      </c>
      <c r="CS485" t="inlineStr">
        <is>
          <t>Others</t>
        </is>
      </c>
      <c r="CT485" t="inlineStr">
        <is>
          <t>N</t>
        </is>
      </c>
    </row>
    <row r="486">
      <c r="A486" t="inlineStr">
        <is>
          <t>joseWu(吴涛)</t>
        </is>
      </c>
      <c r="C486" t="n">
        <v>98308998</v>
      </c>
      <c r="D486" t="inlineStr">
        <is>
          <t>CSIG财务管理</t>
        </is>
      </c>
      <c r="E486" t="inlineStr">
        <is>
          <t>行业财务管理1中心</t>
        </is>
      </c>
      <c r="G486" t="inlineStr">
        <is>
          <t>S2职能系统－财经线/CSIG财务管理/行业财务管理1中心</t>
        </is>
      </c>
      <c r="H486" s="188" t="n">
        <v>42632</v>
      </c>
      <c r="I486" t="inlineStr">
        <is>
          <t>社会招聘</t>
        </is>
      </c>
      <c r="J486" t="inlineStr">
        <is>
          <t>财经类－FN</t>
        </is>
      </c>
      <c r="K486" t="inlineStr">
        <is>
          <t>财务管理</t>
        </is>
      </c>
      <c r="L486" t="inlineStr">
        <is>
          <t>S10</t>
        </is>
      </c>
      <c r="N486" t="inlineStr">
        <is>
          <t>T1</t>
        </is>
      </c>
      <c r="Q486" t="inlineStr">
        <is>
          <t>O,G</t>
        </is>
      </c>
      <c r="U486" t="n">
        <v>48746.3</v>
      </c>
      <c r="V486" t="n">
        <v>0.083333</v>
      </c>
      <c r="W486" t="inlineStr">
        <is>
          <t>CNY</t>
        </is>
      </c>
      <c r="X486" t="n">
        <v>1</v>
      </c>
      <c r="Y486" t="n">
        <v>47438.17</v>
      </c>
      <c r="Z486" t="n">
        <v>0</v>
      </c>
      <c r="AA486" t="n">
        <v>146238.9</v>
      </c>
      <c r="AB486" t="n">
        <v>121700</v>
      </c>
      <c r="AC486" t="n">
        <v>57495</v>
      </c>
      <c r="AF486" t="n">
        <v>0</v>
      </c>
      <c r="AG486" t="n">
        <v>325433.9</v>
      </c>
      <c r="AH486" t="n">
        <v>6.860169774677228</v>
      </c>
      <c r="AI486" t="n">
        <v>325433.9</v>
      </c>
      <c r="AJ486" t="n">
        <v>6.860169774677228</v>
      </c>
      <c r="AK486" t="n">
        <v>5.648171082484843</v>
      </c>
      <c r="AQ486" t="n">
        <v>325433.9</v>
      </c>
      <c r="AR486" t="n">
        <v>6.860169774677228</v>
      </c>
      <c r="AS486" t="n">
        <v>2.593098804780877</v>
      </c>
      <c r="BL486" t="n">
        <v>1</v>
      </c>
      <c r="BM486" t="n">
        <v>39570</v>
      </c>
      <c r="BN486" t="n">
        <v>0</v>
      </c>
      <c r="BO486" t="n">
        <v>41110</v>
      </c>
      <c r="BP486" t="inlineStr">
        <is>
          <t>U,O</t>
        </is>
      </c>
      <c r="BQ486" t="inlineStr">
        <is>
          <t>T1</t>
        </is>
      </c>
      <c r="BR486" t="n">
        <v>125500</v>
      </c>
      <c r="BS486" t="n">
        <v>3.171594642405863</v>
      </c>
      <c r="BT486" t="n">
        <v>0</v>
      </c>
      <c r="BU486" t="n">
        <v>125500</v>
      </c>
      <c r="BV486" t="n">
        <v>3.171594642405863</v>
      </c>
      <c r="BY486" t="n">
        <v>125500</v>
      </c>
      <c r="BZ486" t="n">
        <v>3.171594642405863</v>
      </c>
      <c r="CP486" t="inlineStr">
        <is>
          <t>CSIG财务管理</t>
        </is>
      </c>
      <c r="CQ486" t="inlineStr">
        <is>
          <t>5,3</t>
        </is>
      </c>
      <c r="CR486" t="n">
        <v>10</v>
      </c>
      <c r="CS486" t="inlineStr">
        <is>
          <t>T1</t>
        </is>
      </c>
      <c r="CT486" t="inlineStr">
        <is>
          <t>N</t>
        </is>
      </c>
    </row>
    <row r="487">
      <c r="A487" t="inlineStr">
        <is>
          <t>terryHe(贺鹏立)</t>
        </is>
      </c>
      <c r="C487" t="n">
        <v>14356886</v>
      </c>
      <c r="D487" t="inlineStr">
        <is>
          <t>税务部</t>
        </is>
      </c>
      <c r="E487" t="inlineStr">
        <is>
          <t>BG税务组</t>
        </is>
      </c>
      <c r="G487" t="inlineStr">
        <is>
          <t>S2职能系统－财经线/税务部/BG税务组</t>
        </is>
      </c>
      <c r="H487" s="188" t="n">
        <v>43174</v>
      </c>
      <c r="I487" t="inlineStr">
        <is>
          <t>社会招聘</t>
        </is>
      </c>
      <c r="J487" t="inlineStr">
        <is>
          <t>财经类－FN</t>
        </is>
      </c>
      <c r="K487" t="inlineStr">
        <is>
          <t>税务</t>
        </is>
      </c>
      <c r="L487" t="inlineStr">
        <is>
          <t>S7</t>
        </is>
      </c>
      <c r="N487" t="inlineStr">
        <is>
          <t>T1#</t>
        </is>
      </c>
      <c r="Q487" t="inlineStr">
        <is>
          <t>O,G</t>
        </is>
      </c>
      <c r="U487" t="n">
        <v>43537.1</v>
      </c>
      <c r="V487" t="n">
        <v>0.083333</v>
      </c>
      <c r="W487" t="inlineStr">
        <is>
          <t>CNY</t>
        </is>
      </c>
      <c r="X487" t="n">
        <v>1</v>
      </c>
      <c r="Y487" t="n">
        <v>42716.58</v>
      </c>
      <c r="Z487" t="n">
        <v>0</v>
      </c>
      <c r="AA487" t="n">
        <v>130611.3</v>
      </c>
      <c r="AB487" t="n">
        <v>143855</v>
      </c>
      <c r="AC487" t="n">
        <v>59555</v>
      </c>
      <c r="AF487" t="n">
        <v>0</v>
      </c>
      <c r="AG487" t="n">
        <v>334021.3</v>
      </c>
      <c r="AH487" t="n">
        <v>7.819476652859381</v>
      </c>
      <c r="AI487" t="n">
        <v>334021.3</v>
      </c>
      <c r="AJ487" t="n">
        <v>7.819476652859381</v>
      </c>
      <c r="AK487" t="n">
        <v>6.425287324032026</v>
      </c>
      <c r="AQ487" t="n">
        <v>334021.3</v>
      </c>
      <c r="AR487" t="n">
        <v>7.819476652859381</v>
      </c>
      <c r="AS487" t="n">
        <v>0.9701320050536588</v>
      </c>
      <c r="BL487" t="n">
        <v>1</v>
      </c>
      <c r="BM487" t="n">
        <v>38985</v>
      </c>
      <c r="BN487" t="n">
        <v>0</v>
      </c>
      <c r="BO487" t="n">
        <v>42230</v>
      </c>
      <c r="BP487" t="inlineStr">
        <is>
          <t>G,O</t>
        </is>
      </c>
      <c r="BQ487" t="inlineStr">
        <is>
          <t>T1#</t>
        </is>
      </c>
      <c r="BR487" t="n">
        <v>265715</v>
      </c>
      <c r="BS487" t="n">
        <v>6.815826599974349</v>
      </c>
      <c r="BT487" t="n">
        <v>78590</v>
      </c>
      <c r="BU487" t="n">
        <v>344305</v>
      </c>
      <c r="BV487" t="n">
        <v>8.831730152622804</v>
      </c>
      <c r="BY487" t="n">
        <v>344305</v>
      </c>
      <c r="BZ487" t="n">
        <v>8.831730152622804</v>
      </c>
      <c r="CP487" t="inlineStr">
        <is>
          <t>税务部</t>
        </is>
      </c>
      <c r="CQ487" t="inlineStr">
        <is>
          <t>5,3</t>
        </is>
      </c>
      <c r="CR487" t="n">
        <v>7</v>
      </c>
      <c r="CS487" t="inlineStr">
        <is>
          <t>T1#</t>
        </is>
      </c>
      <c r="CT487" t="inlineStr">
        <is>
          <t>N</t>
        </is>
      </c>
    </row>
    <row r="488">
      <c r="A488" t="inlineStr">
        <is>
          <t>stellaSong(宋英茜)</t>
        </is>
      </c>
      <c r="C488" t="n">
        <v>67662264</v>
      </c>
      <c r="D488" t="inlineStr">
        <is>
          <t>CSIG财务管理</t>
        </is>
      </c>
      <c r="E488" t="inlineStr">
        <is>
          <t>产品财务管理中心</t>
        </is>
      </c>
      <c r="G488" t="inlineStr">
        <is>
          <t>S2职能系统－财经线/CSIG财务管理/产品财务管理中心</t>
        </is>
      </c>
      <c r="H488" s="188" t="n">
        <v>37384</v>
      </c>
      <c r="I488" t="inlineStr">
        <is>
          <t>高校招聘</t>
        </is>
      </c>
      <c r="J488" t="inlineStr">
        <is>
          <t>财经类－FN</t>
        </is>
      </c>
      <c r="K488" t="inlineStr">
        <is>
          <t>财务管理</t>
        </is>
      </c>
      <c r="L488" t="inlineStr">
        <is>
          <t>S6</t>
        </is>
      </c>
      <c r="N488" t="inlineStr">
        <is>
          <t>T1#</t>
        </is>
      </c>
      <c r="Q488" t="inlineStr">
        <is>
          <t>O,O</t>
        </is>
      </c>
      <c r="U488" t="n">
        <v>25910.55</v>
      </c>
      <c r="V488" t="n">
        <v>0.083333</v>
      </c>
      <c r="W488" t="inlineStr">
        <is>
          <t>CNY</t>
        </is>
      </c>
      <c r="X488" t="n">
        <v>1</v>
      </c>
      <c r="Y488" t="n">
        <v>24847.23</v>
      </c>
      <c r="Z488" t="n">
        <v>0</v>
      </c>
      <c r="AA488" t="n">
        <v>103642.2</v>
      </c>
      <c r="AB488" t="n">
        <v>89370</v>
      </c>
      <c r="AC488" t="n">
        <v>38735</v>
      </c>
      <c r="AF488" t="n">
        <v>0</v>
      </c>
      <c r="AG488" t="n">
        <v>231747.2</v>
      </c>
      <c r="AH488" t="n">
        <v>9.326882714894175</v>
      </c>
      <c r="AI488" t="n">
        <v>231747.2</v>
      </c>
      <c r="AJ488" t="n">
        <v>9.326882714894175</v>
      </c>
      <c r="AK488" t="n">
        <v>7.767956428141085</v>
      </c>
      <c r="AQ488" t="n">
        <v>231747.2</v>
      </c>
      <c r="AR488" t="n">
        <v>9.326882714894175</v>
      </c>
      <c r="AS488" t="n">
        <v>3.333293060050342</v>
      </c>
      <c r="BL488" t="n">
        <v>1</v>
      </c>
      <c r="BM488" t="n">
        <v>22850</v>
      </c>
      <c r="BN488" t="n">
        <v>0</v>
      </c>
      <c r="BO488" t="n">
        <v>23105</v>
      </c>
      <c r="BP488" t="inlineStr">
        <is>
          <t>G,G</t>
        </is>
      </c>
      <c r="BQ488" t="inlineStr">
        <is>
          <t>T2</t>
        </is>
      </c>
      <c r="BR488" t="n">
        <v>69525</v>
      </c>
      <c r="BS488" t="n">
        <v>3.042669584245076</v>
      </c>
      <c r="BT488" t="n">
        <v>0</v>
      </c>
      <c r="BU488" t="n">
        <v>69525</v>
      </c>
      <c r="BV488" t="n">
        <v>3.042669584245076</v>
      </c>
      <c r="BY488" t="n">
        <v>69525</v>
      </c>
      <c r="BZ488" t="n">
        <v>3.042669584245076</v>
      </c>
      <c r="CP488" t="inlineStr">
        <is>
          <t>CSIG财务管理</t>
        </is>
      </c>
      <c r="CQ488" t="inlineStr">
        <is>
          <t>5,5</t>
        </is>
      </c>
      <c r="CR488" t="n">
        <v>6</v>
      </c>
      <c r="CS488" t="inlineStr">
        <is>
          <t>T1#</t>
        </is>
      </c>
      <c r="CT488" t="inlineStr">
        <is>
          <t>N</t>
        </is>
      </c>
    </row>
    <row r="489">
      <c r="A489" t="inlineStr">
        <is>
          <t>avaLi(李畅)</t>
        </is>
      </c>
      <c r="C489" t="n">
        <v>22593655</v>
      </c>
      <c r="D489" t="inlineStr">
        <is>
          <t>CFO办公室</t>
        </is>
      </c>
      <c r="E489" t="inlineStr">
        <is>
          <t>ESG协同办公室</t>
        </is>
      </c>
      <c r="G489" t="inlineStr">
        <is>
          <t>S2职能系统－财经线/CFO办公室/ESG协同办公室</t>
        </is>
      </c>
      <c r="H489" s="188" t="n">
        <v>36479</v>
      </c>
      <c r="I489" t="inlineStr">
        <is>
          <t>高校招聘</t>
        </is>
      </c>
      <c r="J489" t="inlineStr">
        <is>
          <t>财经类－FN</t>
        </is>
      </c>
      <c r="K489" t="inlineStr">
        <is>
          <t>投资者关系</t>
        </is>
      </c>
      <c r="L489" t="inlineStr">
        <is>
          <t>S13</t>
        </is>
      </c>
      <c r="N489" t="inlineStr">
        <is>
          <t>T1</t>
        </is>
      </c>
      <c r="Q489" t="inlineStr">
        <is>
          <t>G,G</t>
        </is>
      </c>
      <c r="U489" t="n">
        <v>82704.75</v>
      </c>
      <c r="V489" t="n">
        <v>0.083333</v>
      </c>
      <c r="W489" t="inlineStr">
        <is>
          <t>CNY</t>
        </is>
      </c>
      <c r="X489" t="n">
        <v>1</v>
      </c>
      <c r="Y489" t="n">
        <v>76621.17</v>
      </c>
      <c r="Z489" t="n">
        <v>0</v>
      </c>
      <c r="AA489" t="n">
        <v>165409.5</v>
      </c>
      <c r="AB489" t="n">
        <v>205045</v>
      </c>
      <c r="AC489" t="n">
        <v>131300</v>
      </c>
      <c r="AF489" t="n">
        <v>0</v>
      </c>
      <c r="AG489" t="n">
        <v>501754.5</v>
      </c>
      <c r="AH489" t="n">
        <v>6.548510026667564</v>
      </c>
      <c r="AI489" t="n">
        <v>501754.5</v>
      </c>
      <c r="AJ489" t="n">
        <v>6.548510026667564</v>
      </c>
      <c r="AK489" t="n">
        <v>4.834884405967698</v>
      </c>
      <c r="AQ489" t="n">
        <v>501754.5</v>
      </c>
      <c r="AR489" t="n">
        <v>6.548510026667564</v>
      </c>
      <c r="AS489" t="n">
        <v>1.306040137435577</v>
      </c>
      <c r="BL489" t="n">
        <v>1</v>
      </c>
      <c r="BM489" t="n">
        <v>68955</v>
      </c>
      <c r="BN489" t="n">
        <v>0</v>
      </c>
      <c r="BO489" t="n">
        <v>70975</v>
      </c>
      <c r="BP489" t="inlineStr">
        <is>
          <t>G,O</t>
        </is>
      </c>
      <c r="BQ489" t="inlineStr">
        <is>
          <t>T1</t>
        </is>
      </c>
      <c r="BR489" t="n">
        <v>300290</v>
      </c>
      <c r="BS489" t="n">
        <v>4.354869117540425</v>
      </c>
      <c r="BT489" t="n">
        <v>83890</v>
      </c>
      <c r="BU489" t="n">
        <v>384180</v>
      </c>
      <c r="BV489" t="n">
        <v>5.571459647596258</v>
      </c>
      <c r="BY489" t="n">
        <v>384180</v>
      </c>
      <c r="BZ489" t="n">
        <v>5.571459647596258</v>
      </c>
      <c r="CP489" t="inlineStr">
        <is>
          <t>CFO办公室</t>
        </is>
      </c>
      <c r="CQ489" t="inlineStr">
        <is>
          <t>3,3</t>
        </is>
      </c>
      <c r="CR489" t="n">
        <v>13</v>
      </c>
      <c r="CS489" t="inlineStr">
        <is>
          <t>T1</t>
        </is>
      </c>
      <c r="CT489" t="inlineStr">
        <is>
          <t>N</t>
        </is>
      </c>
    </row>
    <row r="490">
      <c r="A490" t="inlineStr">
        <is>
          <t>ashleyGong(龚静)</t>
        </is>
      </c>
      <c r="C490" t="n">
        <v>84116265</v>
      </c>
      <c r="D490" t="inlineStr">
        <is>
          <t>财会及报告管理部</t>
        </is>
      </c>
      <c r="E490" t="inlineStr">
        <is>
          <t>应收管理中心</t>
        </is>
      </c>
      <c r="G490" t="inlineStr">
        <is>
          <t>S2职能系统－财经线/财会及报告管理部/应收管理中心</t>
        </is>
      </c>
      <c r="H490" s="188" t="n">
        <v>40422</v>
      </c>
      <c r="I490" t="inlineStr">
        <is>
          <t>社会招聘</t>
        </is>
      </c>
      <c r="J490" t="inlineStr">
        <is>
          <t>财经类－FN</t>
        </is>
      </c>
      <c r="K490" t="inlineStr">
        <is>
          <t>会计</t>
        </is>
      </c>
      <c r="L490" t="inlineStr">
        <is>
          <t>S6</t>
        </is>
      </c>
      <c r="N490" t="inlineStr">
        <is>
          <t>T1#</t>
        </is>
      </c>
      <c r="Q490" t="inlineStr">
        <is>
          <t>O,G</t>
        </is>
      </c>
      <c r="U490" t="n">
        <v>33655.5</v>
      </c>
      <c r="V490" t="n">
        <v>0.083333</v>
      </c>
      <c r="W490" t="inlineStr">
        <is>
          <t>CNY</t>
        </is>
      </c>
      <c r="X490" t="n">
        <v>1</v>
      </c>
      <c r="Y490" t="n">
        <v>31059.98</v>
      </c>
      <c r="Z490" t="n">
        <v>0</v>
      </c>
      <c r="AA490" t="n">
        <v>100966.5</v>
      </c>
      <c r="AB490" t="n">
        <v>110045</v>
      </c>
      <c r="AC490" t="n">
        <v>50245</v>
      </c>
      <c r="AF490" t="n">
        <v>0</v>
      </c>
      <c r="AG490" t="n">
        <v>261256.5</v>
      </c>
      <c r="AH490" t="n">
        <v>8.411354418129052</v>
      </c>
      <c r="AI490" t="n">
        <v>261256.5</v>
      </c>
      <c r="AJ490" t="n">
        <v>8.411354418129052</v>
      </c>
      <c r="AK490" t="n">
        <v>6.793677909644501</v>
      </c>
      <c r="AQ490" t="n">
        <v>261256.5</v>
      </c>
      <c r="AR490" t="n">
        <v>8.411354418129052</v>
      </c>
      <c r="AS490" t="n">
        <v>1.30759009009009</v>
      </c>
      <c r="BL490" t="n">
        <v>1</v>
      </c>
      <c r="BM490" t="n">
        <v>28305</v>
      </c>
      <c r="BN490" t="n">
        <v>0</v>
      </c>
      <c r="BO490" t="n">
        <v>29575</v>
      </c>
      <c r="BP490" t="inlineStr">
        <is>
          <t>G,G</t>
        </is>
      </c>
      <c r="BQ490" t="inlineStr">
        <is>
          <t>T1#</t>
        </is>
      </c>
      <c r="BR490" t="n">
        <v>149025</v>
      </c>
      <c r="BS490" t="n">
        <v>5.264970853206147</v>
      </c>
      <c r="BT490" t="n">
        <v>50775</v>
      </c>
      <c r="BU490" t="n">
        <v>199800</v>
      </c>
      <c r="BV490" t="n">
        <v>7.058823529411764</v>
      </c>
      <c r="BY490" t="n">
        <v>199800</v>
      </c>
      <c r="BZ490" t="n">
        <v>7.058823529411764</v>
      </c>
      <c r="CP490" t="inlineStr">
        <is>
          <t>财会及报告管理部</t>
        </is>
      </c>
      <c r="CQ490" t="inlineStr">
        <is>
          <t>5,3</t>
        </is>
      </c>
      <c r="CR490" t="n">
        <v>6</v>
      </c>
      <c r="CS490" t="inlineStr">
        <is>
          <t>T1#</t>
        </is>
      </c>
      <c r="CT490" t="inlineStr">
        <is>
          <t>N</t>
        </is>
      </c>
    </row>
    <row r="491">
      <c r="A491" t="inlineStr">
        <is>
          <t>elizabethFeng(冯柔婷)</t>
        </is>
      </c>
      <c r="C491" t="n">
        <v>62618642</v>
      </c>
      <c r="D491" t="inlineStr">
        <is>
          <t>资金管理</t>
        </is>
      </c>
      <c r="E491" t="inlineStr">
        <is>
          <t>资金管理</t>
        </is>
      </c>
      <c r="G491" t="inlineStr">
        <is>
          <t>S2职能系统－财经线/资金管理</t>
        </is>
      </c>
      <c r="H491" s="188" t="n">
        <v>41383</v>
      </c>
      <c r="I491" t="inlineStr">
        <is>
          <t>高校招聘</t>
        </is>
      </c>
      <c r="J491" t="inlineStr">
        <is>
          <t>财经类－FN</t>
        </is>
      </c>
      <c r="K491" t="inlineStr">
        <is>
          <t>资金管理</t>
        </is>
      </c>
      <c r="L491" t="inlineStr">
        <is>
          <t>S11</t>
        </is>
      </c>
      <c r="N491" t="inlineStr">
        <is>
          <t>T2</t>
        </is>
      </c>
      <c r="Q491" t="inlineStr">
        <is>
          <t>G,O</t>
        </is>
      </c>
      <c r="U491" t="n">
        <v>44404.25</v>
      </c>
      <c r="V491" t="n">
        <v>0.083333</v>
      </c>
      <c r="W491" t="inlineStr">
        <is>
          <t>CNY</t>
        </is>
      </c>
      <c r="X491" t="n">
        <v>1</v>
      </c>
      <c r="Y491" t="n">
        <v>41089.29</v>
      </c>
      <c r="Z491" t="n">
        <v>0</v>
      </c>
      <c r="AA491" t="n">
        <v>133212.75</v>
      </c>
      <c r="AB491" t="n">
        <v>55280</v>
      </c>
      <c r="AC491" t="n">
        <v>0</v>
      </c>
      <c r="AF491" t="n">
        <v>0</v>
      </c>
      <c r="AG491" t="n">
        <v>188492.75</v>
      </c>
      <c r="AH491" t="n">
        <v>4.587393697968498</v>
      </c>
      <c r="AI491" t="n">
        <v>188492.75</v>
      </c>
      <c r="AJ491" t="n">
        <v>4.587393697968498</v>
      </c>
      <c r="AK491" t="n">
        <v>4.587393697968498</v>
      </c>
      <c r="AQ491" t="n">
        <v>188492.75</v>
      </c>
      <c r="AR491" t="n">
        <v>4.587393697968498</v>
      </c>
      <c r="AS491" t="n">
        <v>1.540665740324492</v>
      </c>
      <c r="BL491" t="n">
        <v>1</v>
      </c>
      <c r="BM491" t="n">
        <v>37670</v>
      </c>
      <c r="BN491" t="n">
        <v>0</v>
      </c>
      <c r="BO491" t="n">
        <v>38685</v>
      </c>
      <c r="BP491" t="inlineStr">
        <is>
          <t>G,G</t>
        </is>
      </c>
      <c r="BQ491" t="inlineStr">
        <is>
          <t>T2</t>
        </is>
      </c>
      <c r="BR491" t="n">
        <v>122345</v>
      </c>
      <c r="BS491" t="n">
        <v>3.247809928324927</v>
      </c>
      <c r="BT491" t="n">
        <v>0</v>
      </c>
      <c r="BU491" t="n">
        <v>122345</v>
      </c>
      <c r="BV491" t="n">
        <v>3.247809928324927</v>
      </c>
      <c r="BY491" t="n">
        <v>122345</v>
      </c>
      <c r="BZ491" t="n">
        <v>3.247809928324927</v>
      </c>
      <c r="CP491" t="inlineStr">
        <is>
          <t>资金管理</t>
        </is>
      </c>
      <c r="CQ491" t="inlineStr">
        <is>
          <t>5,3</t>
        </is>
      </c>
      <c r="CR491" t="n">
        <v>11</v>
      </c>
      <c r="CS491" t="inlineStr">
        <is>
          <t>T2</t>
        </is>
      </c>
      <c r="CT491" t="inlineStr">
        <is>
          <t>N</t>
        </is>
      </c>
    </row>
    <row r="492">
      <c r="A492" t="inlineStr">
        <is>
          <t>natalieQian(钱晶)</t>
        </is>
      </c>
      <c r="C492" t="n">
        <v>18071733</v>
      </c>
      <c r="D492" t="inlineStr">
        <is>
          <t>IEG财务管理</t>
        </is>
      </c>
      <c r="E492" t="inlineStr">
        <is>
          <t>自研财务管理组</t>
        </is>
      </c>
      <c r="G492" t="inlineStr">
        <is>
          <t>S2职能系统－财经线/IEG财务管理/自研财务管理组</t>
        </is>
      </c>
      <c r="H492" s="188" t="n">
        <v>43759</v>
      </c>
      <c r="I492" t="inlineStr">
        <is>
          <t>社会招聘</t>
        </is>
      </c>
      <c r="J492" t="inlineStr">
        <is>
          <t>财经类－FN</t>
        </is>
      </c>
      <c r="K492" t="inlineStr">
        <is>
          <t>财务管理</t>
        </is>
      </c>
      <c r="L492" t="inlineStr">
        <is>
          <t>S8</t>
        </is>
      </c>
      <c r="N492" t="inlineStr">
        <is>
          <t>T1#</t>
        </is>
      </c>
      <c r="Q492" t="inlineStr">
        <is>
          <t>G,U</t>
        </is>
      </c>
      <c r="U492" t="n">
        <v>35373.15</v>
      </c>
      <c r="V492" t="n">
        <v>0.083333</v>
      </c>
      <c r="W492" t="inlineStr">
        <is>
          <t>CNY</t>
        </is>
      </c>
      <c r="X492" t="n">
        <v>1</v>
      </c>
      <c r="Y492" t="n">
        <v>32422.08</v>
      </c>
      <c r="Z492" t="n">
        <v>0</v>
      </c>
      <c r="AA492" t="n">
        <v>35373.15</v>
      </c>
      <c r="AB492" t="n">
        <v>116480</v>
      </c>
      <c r="AC492" t="n">
        <v>0</v>
      </c>
      <c r="AF492" t="n">
        <v>0</v>
      </c>
      <c r="AG492" t="n">
        <v>151853.15</v>
      </c>
      <c r="AH492" t="n">
        <v>4.683633807578045</v>
      </c>
      <c r="AI492" t="n">
        <v>151853.15</v>
      </c>
      <c r="AJ492" t="n">
        <v>4.683633807578045</v>
      </c>
      <c r="AK492" t="n">
        <v>4.683633807578045</v>
      </c>
      <c r="AQ492" t="n">
        <v>151853.15</v>
      </c>
      <c r="AR492" t="n">
        <v>4.683633807578045</v>
      </c>
      <c r="AS492" t="n">
        <v>1.101542562837764</v>
      </c>
      <c r="BL492" t="n">
        <v>1</v>
      </c>
      <c r="BM492" t="n">
        <v>30510</v>
      </c>
      <c r="BN492" t="n">
        <v>0</v>
      </c>
      <c r="BO492" t="n">
        <v>33115</v>
      </c>
      <c r="BP492" t="inlineStr">
        <is>
          <t>U,G</t>
        </is>
      </c>
      <c r="BQ492" t="inlineStr">
        <is>
          <t>T1#</t>
        </is>
      </c>
      <c r="BR492" t="n">
        <v>137855</v>
      </c>
      <c r="BS492" t="n">
        <v>4.518354637823665</v>
      </c>
      <c r="BT492" t="n">
        <v>0</v>
      </c>
      <c r="BU492" t="n">
        <v>137855</v>
      </c>
      <c r="BV492" t="n">
        <v>4.518354637823665</v>
      </c>
      <c r="BY492" t="n">
        <v>137855</v>
      </c>
      <c r="BZ492" t="n">
        <v>4.518354637823665</v>
      </c>
      <c r="CP492" t="inlineStr">
        <is>
          <t>IEG财务管理</t>
        </is>
      </c>
      <c r="CQ492" t="inlineStr">
        <is>
          <t>3,1</t>
        </is>
      </c>
      <c r="CR492" t="n">
        <v>8</v>
      </c>
      <c r="CS492" t="inlineStr">
        <is>
          <t>T1#</t>
        </is>
      </c>
      <c r="CT492" t="inlineStr">
        <is>
          <t>N</t>
        </is>
      </c>
    </row>
    <row r="493">
      <c r="A493" t="inlineStr">
        <is>
          <t>dorothyFan(范红蕾)</t>
        </is>
      </c>
      <c r="C493" t="n">
        <v>86953527</v>
      </c>
      <c r="D493" t="inlineStr">
        <is>
          <t>风险管理和内部控制</t>
        </is>
      </c>
      <c r="E493" t="inlineStr">
        <is>
          <t>CSIG风控中心</t>
        </is>
      </c>
      <c r="G493" t="inlineStr">
        <is>
          <t>S2职能系统－财经线/风险管理和内部控制/CSIG风控中心</t>
        </is>
      </c>
      <c r="H493" s="188" t="n">
        <v>44075</v>
      </c>
      <c r="I493" t="inlineStr">
        <is>
          <t>社会招聘</t>
        </is>
      </c>
      <c r="J493" t="inlineStr">
        <is>
          <t>财经类－FN</t>
        </is>
      </c>
      <c r="K493" t="inlineStr">
        <is>
          <t>风险管理</t>
        </is>
      </c>
      <c r="L493" t="inlineStr">
        <is>
          <t>S6</t>
        </is>
      </c>
      <c r="N493" t="inlineStr">
        <is>
          <t>Others</t>
        </is>
      </c>
      <c r="Q493" t="inlineStr">
        <is>
          <t>G,O</t>
        </is>
      </c>
      <c r="U493" t="n">
        <v>24358.7</v>
      </c>
      <c r="V493" t="n">
        <v>0.083333</v>
      </c>
      <c r="W493" t="inlineStr">
        <is>
          <t>CNY</t>
        </is>
      </c>
      <c r="X493" t="n">
        <v>1</v>
      </c>
      <c r="Y493" t="n">
        <v>23803.43</v>
      </c>
      <c r="Z493" t="n">
        <v>0</v>
      </c>
      <c r="AA493" t="n">
        <v>73076.10000000001</v>
      </c>
      <c r="AB493" t="n">
        <v>19195</v>
      </c>
      <c r="AC493" t="n">
        <v>0</v>
      </c>
      <c r="AF493" t="n">
        <v>0</v>
      </c>
      <c r="AG493" t="n">
        <v>92271.10000000001</v>
      </c>
      <c r="AH493" t="n">
        <v>3.876378320267289</v>
      </c>
      <c r="AI493" t="n">
        <v>92271.10000000001</v>
      </c>
      <c r="AJ493" t="n">
        <v>3.876378320267289</v>
      </c>
      <c r="AK493" t="n">
        <v>3.876378320267289</v>
      </c>
      <c r="AQ493" t="n">
        <v>92271.10000000001</v>
      </c>
      <c r="AR493" t="n">
        <v>3.876378320267289</v>
      </c>
      <c r="AS493" t="n">
        <v>0.9656839351125066</v>
      </c>
      <c r="BL493" t="n">
        <v>1</v>
      </c>
      <c r="BM493" t="n">
        <v>20605</v>
      </c>
      <c r="BN493" t="n">
        <v>0</v>
      </c>
      <c r="BO493" t="n">
        <v>22130</v>
      </c>
      <c r="BP493" t="inlineStr">
        <is>
          <t>G,O</t>
        </is>
      </c>
      <c r="BQ493" t="inlineStr">
        <is>
          <t>Others</t>
        </is>
      </c>
      <c r="BR493" t="n">
        <v>95550</v>
      </c>
      <c r="BS493" t="n">
        <v>4.637223974763407</v>
      </c>
      <c r="BT493" t="n">
        <v>0</v>
      </c>
      <c r="BU493" t="n">
        <v>95550</v>
      </c>
      <c r="BV493" t="n">
        <v>4.637223974763407</v>
      </c>
      <c r="BY493" t="n">
        <v>95550</v>
      </c>
      <c r="BZ493" t="n">
        <v>4.637223974763407</v>
      </c>
      <c r="CP493" t="inlineStr">
        <is>
          <t>风险管理和内部控制</t>
        </is>
      </c>
      <c r="CQ493" t="inlineStr">
        <is>
          <t>5,3</t>
        </is>
      </c>
      <c r="CR493" t="n">
        <v>6</v>
      </c>
      <c r="CS493" t="inlineStr">
        <is>
          <t>Others</t>
        </is>
      </c>
      <c r="CT493" t="inlineStr">
        <is>
          <t>N</t>
        </is>
      </c>
    </row>
    <row r="494">
      <c r="A494" t="inlineStr">
        <is>
          <t>dorothyJiang(江悦沁)</t>
        </is>
      </c>
      <c r="C494" t="n">
        <v>37301415</v>
      </c>
      <c r="D494" t="inlineStr">
        <is>
          <t>在线视频财务管理中心</t>
        </is>
      </c>
      <c r="E494" t="inlineStr">
        <is>
          <t>OVB长视频财务管理组</t>
        </is>
      </c>
      <c r="G494" t="inlineStr">
        <is>
          <t>S2职能系统－财经线/在线视频财务管理中心/OVB长视频财务管理组</t>
        </is>
      </c>
      <c r="H494" s="188" t="n">
        <v>39553</v>
      </c>
      <c r="I494" t="inlineStr">
        <is>
          <t>社会招聘</t>
        </is>
      </c>
      <c r="J494" t="inlineStr">
        <is>
          <t>财经类－FN</t>
        </is>
      </c>
      <c r="K494" t="inlineStr">
        <is>
          <t>财务管理</t>
        </is>
      </c>
      <c r="L494" t="inlineStr">
        <is>
          <t>S8</t>
        </is>
      </c>
      <c r="N494" t="inlineStr">
        <is>
          <t>T1#</t>
        </is>
      </c>
      <c r="Q494" t="inlineStr">
        <is>
          <t>G,G</t>
        </is>
      </c>
      <c r="U494" t="n">
        <v>36720.5</v>
      </c>
      <c r="V494" t="n">
        <v>0.083333</v>
      </c>
      <c r="W494" t="inlineStr">
        <is>
          <t>CNY</t>
        </is>
      </c>
      <c r="X494" t="n">
        <v>1</v>
      </c>
      <c r="Y494" t="n">
        <v>33537.54</v>
      </c>
      <c r="Z494" t="n">
        <v>0</v>
      </c>
      <c r="AA494" t="n">
        <v>73441</v>
      </c>
      <c r="AB494" t="n">
        <v>124475</v>
      </c>
      <c r="AC494" t="n">
        <v>40285</v>
      </c>
      <c r="AF494" t="n">
        <v>0</v>
      </c>
      <c r="AG494" t="n">
        <v>238201</v>
      </c>
      <c r="AH494" t="n">
        <v>7.10251855085376</v>
      </c>
      <c r="AI494" t="n">
        <v>238201</v>
      </c>
      <c r="AJ494" t="n">
        <v>7.10251855085376</v>
      </c>
      <c r="AK494" t="n">
        <v>5.901327288763577</v>
      </c>
      <c r="AQ494" t="n">
        <v>238201</v>
      </c>
      <c r="AR494" t="n">
        <v>7.10251855085376</v>
      </c>
      <c r="AS494" t="n">
        <v>1.677708127905339</v>
      </c>
      <c r="BL494" t="n">
        <v>1</v>
      </c>
      <c r="BM494" t="n">
        <v>29670</v>
      </c>
      <c r="BN494" t="n">
        <v>0</v>
      </c>
      <c r="BO494" t="n">
        <v>31570</v>
      </c>
      <c r="BP494" t="inlineStr">
        <is>
          <t>U,G</t>
        </is>
      </c>
      <c r="BQ494" t="inlineStr">
        <is>
          <t>T1#</t>
        </is>
      </c>
      <c r="BR494" t="n">
        <v>141980</v>
      </c>
      <c r="BS494" t="n">
        <v>4.785305021907651</v>
      </c>
      <c r="BT494" t="n">
        <v>0</v>
      </c>
      <c r="BU494" t="n">
        <v>141980</v>
      </c>
      <c r="BV494" t="n">
        <v>4.785305021907651</v>
      </c>
      <c r="BY494" t="n">
        <v>141980</v>
      </c>
      <c r="BZ494" t="n">
        <v>4.785305021907651</v>
      </c>
      <c r="CP494" t="inlineStr">
        <is>
          <t>在线视频财务管理中心</t>
        </is>
      </c>
      <c r="CQ494" t="inlineStr">
        <is>
          <t>3,3</t>
        </is>
      </c>
      <c r="CR494" t="n">
        <v>8</v>
      </c>
      <c r="CS494" t="inlineStr">
        <is>
          <t>T1#</t>
        </is>
      </c>
      <c r="CT494" t="inlineStr">
        <is>
          <t>N</t>
        </is>
      </c>
    </row>
    <row r="495">
      <c r="A495" t="inlineStr">
        <is>
          <t>marthaLin(林静婷)</t>
        </is>
      </c>
      <c r="C495" t="n">
        <v>91775653</v>
      </c>
      <c r="D495" t="inlineStr">
        <is>
          <t>WXG财务管理</t>
        </is>
      </c>
      <c r="E495" t="inlineStr">
        <is>
          <t>微信支付财务管理中心</t>
        </is>
      </c>
      <c r="G495" t="inlineStr">
        <is>
          <t>S2职能系统－财经线/WXG财务管理/微信支付财务管理中心</t>
        </is>
      </c>
      <c r="H495" s="188" t="n">
        <v>38470</v>
      </c>
      <c r="I495" t="inlineStr">
        <is>
          <t>高校招聘</t>
        </is>
      </c>
      <c r="J495" t="inlineStr">
        <is>
          <t>财经类－FN</t>
        </is>
      </c>
      <c r="K495" t="inlineStr">
        <is>
          <t>财务管理</t>
        </is>
      </c>
      <c r="L495" t="inlineStr">
        <is>
          <t>S6</t>
        </is>
      </c>
      <c r="N495" t="inlineStr">
        <is>
          <t>T1#</t>
        </is>
      </c>
      <c r="Q495" t="inlineStr">
        <is>
          <t>G,G</t>
        </is>
      </c>
      <c r="U495" t="n">
        <v>31402.35</v>
      </c>
      <c r="V495" t="n">
        <v>0.083333</v>
      </c>
      <c r="W495" t="inlineStr">
        <is>
          <t>CNY</t>
        </is>
      </c>
      <c r="X495" t="n">
        <v>1</v>
      </c>
      <c r="Y495" t="n">
        <v>30256.28</v>
      </c>
      <c r="Z495" t="n">
        <v>0</v>
      </c>
      <c r="AA495" t="n">
        <v>62804.7</v>
      </c>
      <c r="AB495" t="n">
        <v>95215</v>
      </c>
      <c r="AC495" t="n">
        <v>49075</v>
      </c>
      <c r="AF495" t="n">
        <v>0</v>
      </c>
      <c r="AG495" t="n">
        <v>207094.7</v>
      </c>
      <c r="AH495" t="n">
        <v>6.844684805931199</v>
      </c>
      <c r="AI495" t="n">
        <v>207094.7</v>
      </c>
      <c r="AJ495" t="n">
        <v>6.844684805931199</v>
      </c>
      <c r="AK495" t="n">
        <v>5.222707484198322</v>
      </c>
      <c r="AQ495" t="n">
        <v>207094.7</v>
      </c>
      <c r="AR495" t="n">
        <v>6.844684805931199</v>
      </c>
      <c r="AS495" t="n">
        <v>0.9602165295004057</v>
      </c>
      <c r="BL495" t="n">
        <v>1</v>
      </c>
      <c r="BM495" t="n">
        <v>26640</v>
      </c>
      <c r="BN495" t="n">
        <v>0</v>
      </c>
      <c r="BO495" t="n">
        <v>27710</v>
      </c>
      <c r="BP495" t="inlineStr">
        <is>
          <t>O,G</t>
        </is>
      </c>
      <c r="BQ495" t="inlineStr">
        <is>
          <t>T1#</t>
        </is>
      </c>
      <c r="BR495" t="n">
        <v>177395</v>
      </c>
      <c r="BS495" t="n">
        <v>6.658971471471472</v>
      </c>
      <c r="BT495" t="n">
        <v>38280</v>
      </c>
      <c r="BU495" t="n">
        <v>215675</v>
      </c>
      <c r="BV495" t="n">
        <v>8.095908408408409</v>
      </c>
      <c r="BY495" t="n">
        <v>215675</v>
      </c>
      <c r="BZ495" t="n">
        <v>8.095908408408409</v>
      </c>
      <c r="CP495" t="inlineStr">
        <is>
          <t>WXG财务管理</t>
        </is>
      </c>
      <c r="CQ495" t="inlineStr">
        <is>
          <t>3,3</t>
        </is>
      </c>
      <c r="CR495" t="n">
        <v>6</v>
      </c>
      <c r="CS495" t="inlineStr">
        <is>
          <t>T1#</t>
        </is>
      </c>
      <c r="CT495" t="inlineStr">
        <is>
          <t>N</t>
        </is>
      </c>
    </row>
    <row r="496">
      <c r="A496" t="inlineStr">
        <is>
          <t>justinQian(钱力)</t>
        </is>
      </c>
      <c r="C496" t="n">
        <v>12769633</v>
      </c>
      <c r="D496" t="inlineStr">
        <is>
          <t>董事会办公室</t>
        </is>
      </c>
      <c r="E496" t="inlineStr">
        <is>
          <t>公司治理财经办公室</t>
        </is>
      </c>
      <c r="G496" t="inlineStr">
        <is>
          <t>S2职能系统－财经线/董事会办公室/公司治理财经办公室</t>
        </is>
      </c>
      <c r="H496" s="188" t="n">
        <v>43228</v>
      </c>
      <c r="I496" t="inlineStr">
        <is>
          <t>社会招聘</t>
        </is>
      </c>
      <c r="J496" t="inlineStr">
        <is>
          <t>财经类－FN</t>
        </is>
      </c>
      <c r="K496" t="inlineStr">
        <is>
          <t>公司秘书</t>
        </is>
      </c>
      <c r="L496" t="inlineStr">
        <is>
          <t>S6</t>
        </is>
      </c>
      <c r="N496" t="inlineStr">
        <is>
          <t>T1</t>
        </is>
      </c>
      <c r="Q496" t="inlineStr">
        <is>
          <t>G,G</t>
        </is>
      </c>
      <c r="U496" t="n">
        <v>27619</v>
      </c>
      <c r="V496" t="n">
        <v>0.083333</v>
      </c>
      <c r="W496" t="inlineStr">
        <is>
          <t>CNY</t>
        </is>
      </c>
      <c r="X496" t="n">
        <v>1</v>
      </c>
      <c r="Y496" t="n">
        <v>26204.42</v>
      </c>
      <c r="Z496" t="n">
        <v>0</v>
      </c>
      <c r="AA496" t="n">
        <v>55238</v>
      </c>
      <c r="AB496" t="n">
        <v>60435</v>
      </c>
      <c r="AC496" t="n">
        <v>49985</v>
      </c>
      <c r="AF496" t="n">
        <v>0</v>
      </c>
      <c r="AG496" t="n">
        <v>165658</v>
      </c>
      <c r="AH496" t="n">
        <v>6.321757932440406</v>
      </c>
      <c r="AI496" t="n">
        <v>165658</v>
      </c>
      <c r="AJ496" t="n">
        <v>6.321757932440406</v>
      </c>
      <c r="AK496" t="n">
        <v>4.414255305021062</v>
      </c>
      <c r="AQ496" t="n">
        <v>165658</v>
      </c>
      <c r="AR496" t="n">
        <v>6.321757932440406</v>
      </c>
      <c r="AS496" t="n">
        <v>1.0996946362188</v>
      </c>
      <c r="BL496" t="n">
        <v>1</v>
      </c>
      <c r="BM496" t="n">
        <v>23975</v>
      </c>
      <c r="BN496" t="n">
        <v>0</v>
      </c>
      <c r="BO496" t="n">
        <v>25485</v>
      </c>
      <c r="BP496" t="inlineStr">
        <is>
          <t>O,G</t>
        </is>
      </c>
      <c r="BQ496" t="inlineStr">
        <is>
          <t>T1</t>
        </is>
      </c>
      <c r="BR496" t="n">
        <v>105715</v>
      </c>
      <c r="BS496" t="n">
        <v>4.409384775808133</v>
      </c>
      <c r="BT496" t="n">
        <v>44925</v>
      </c>
      <c r="BU496" t="n">
        <v>150640</v>
      </c>
      <c r="BV496" t="n">
        <v>6.283211678832116</v>
      </c>
      <c r="BY496" t="n">
        <v>150640</v>
      </c>
      <c r="BZ496" t="n">
        <v>6.283211678832116</v>
      </c>
      <c r="CP496" t="inlineStr">
        <is>
          <t>董事会办公室</t>
        </is>
      </c>
      <c r="CQ496" t="inlineStr">
        <is>
          <t>3,3</t>
        </is>
      </c>
      <c r="CR496" t="n">
        <v>6</v>
      </c>
      <c r="CS496" t="inlineStr">
        <is>
          <t>T1</t>
        </is>
      </c>
      <c r="CT496" t="inlineStr">
        <is>
          <t>N</t>
        </is>
      </c>
    </row>
    <row r="497">
      <c r="A497" t="inlineStr">
        <is>
          <t>russellShen(沈东明)</t>
        </is>
      </c>
      <c r="C497" t="n">
        <v>48558232</v>
      </c>
      <c r="D497" t="inlineStr">
        <is>
          <t>财会及报告管理部</t>
        </is>
      </c>
      <c r="E497" t="inlineStr">
        <is>
          <t>员工报销服务中心</t>
        </is>
      </c>
      <c r="G497" t="inlineStr">
        <is>
          <t>S2职能系统－财经线/财会及报告管理部/员工报销服务中心</t>
        </is>
      </c>
      <c r="H497" s="188" t="n">
        <v>43870</v>
      </c>
      <c r="I497" t="inlineStr">
        <is>
          <t>高校招聘</t>
        </is>
      </c>
      <c r="J497" t="inlineStr">
        <is>
          <t>财经类－FN</t>
        </is>
      </c>
      <c r="K497" t="inlineStr">
        <is>
          <t>会计</t>
        </is>
      </c>
      <c r="L497" t="inlineStr">
        <is>
          <t>S5</t>
        </is>
      </c>
      <c r="N497" t="inlineStr">
        <is>
          <t>T1#</t>
        </is>
      </c>
      <c r="Q497" t="inlineStr">
        <is>
          <t>G,G</t>
        </is>
      </c>
      <c r="U497" t="n">
        <v>23141.25</v>
      </c>
      <c r="V497" t="n">
        <v>0.083333</v>
      </c>
      <c r="W497" t="inlineStr">
        <is>
          <t>CNY</t>
        </is>
      </c>
      <c r="X497" t="n">
        <v>1</v>
      </c>
      <c r="Y497" t="n">
        <v>22811.87</v>
      </c>
      <c r="Z497" t="n">
        <v>0</v>
      </c>
      <c r="AA497" t="n">
        <v>46282.5</v>
      </c>
      <c r="AB497" t="n">
        <v>77460</v>
      </c>
      <c r="AC497" t="n">
        <v>23355</v>
      </c>
      <c r="AF497" t="n">
        <v>0</v>
      </c>
      <c r="AG497" t="n">
        <v>147097.5</v>
      </c>
      <c r="AH497" t="n">
        <v>6.448287667779976</v>
      </c>
      <c r="AI497" t="n">
        <v>147097.5</v>
      </c>
      <c r="AJ497" t="n">
        <v>6.448287667779976</v>
      </c>
      <c r="AK497" t="n">
        <v>5.424478571901383</v>
      </c>
      <c r="AQ497" t="n">
        <v>147097.5</v>
      </c>
      <c r="AR497" t="n">
        <v>6.448287667779976</v>
      </c>
      <c r="AS497" t="n">
        <v>1.097169389125084</v>
      </c>
      <c r="BL497" t="n">
        <v>1</v>
      </c>
      <c r="BM497" t="n">
        <v>19020</v>
      </c>
      <c r="BN497" t="n">
        <v>0</v>
      </c>
      <c r="BO497" t="n">
        <v>19210</v>
      </c>
      <c r="BP497" t="inlineStr">
        <is>
          <t>G,G</t>
        </is>
      </c>
      <c r="BQ497" t="inlineStr">
        <is>
          <t>T1#</t>
        </is>
      </c>
      <c r="BR497" t="n">
        <v>97995</v>
      </c>
      <c r="BS497" t="n">
        <v>5.152208201892744</v>
      </c>
      <c r="BT497" t="n">
        <v>36075</v>
      </c>
      <c r="BU497" t="n">
        <v>134070</v>
      </c>
      <c r="BV497" t="n">
        <v>7.048895899053628</v>
      </c>
      <c r="BY497" t="n">
        <v>134070</v>
      </c>
      <c r="BZ497" t="n">
        <v>7.048895899053628</v>
      </c>
      <c r="CP497" t="inlineStr">
        <is>
          <t>财会及报告管理部</t>
        </is>
      </c>
      <c r="CQ497" t="inlineStr">
        <is>
          <t>3,3</t>
        </is>
      </c>
      <c r="CR497" t="n">
        <v>5</v>
      </c>
      <c r="CS497" t="inlineStr">
        <is>
          <t>T1#</t>
        </is>
      </c>
      <c r="CT497" t="inlineStr">
        <is>
          <t>N</t>
        </is>
      </c>
    </row>
    <row r="498">
      <c r="A498" t="inlineStr">
        <is>
          <t>evaYuan(袁红)</t>
        </is>
      </c>
      <c r="C498" t="n">
        <v>11554504</v>
      </c>
      <c r="D498" t="inlineStr">
        <is>
          <t>风险管理和内部控制</t>
        </is>
      </c>
      <c r="E498" t="inlineStr">
        <is>
          <t>IEG风控中心</t>
        </is>
      </c>
      <c r="G498" t="inlineStr">
        <is>
          <t>S2职能系统－财经线/风险管理和内部控制/IEG风控中心</t>
        </is>
      </c>
      <c r="H498" s="188" t="n">
        <v>39259</v>
      </c>
      <c r="I498" t="inlineStr">
        <is>
          <t>社会招聘</t>
        </is>
      </c>
      <c r="J498" t="inlineStr">
        <is>
          <t>财经类－FN</t>
        </is>
      </c>
      <c r="K498" t="inlineStr">
        <is>
          <t>风险管理</t>
        </is>
      </c>
      <c r="L498" t="inlineStr">
        <is>
          <t>S8</t>
        </is>
      </c>
      <c r="N498" t="inlineStr">
        <is>
          <t>T2</t>
        </is>
      </c>
      <c r="Q498" t="inlineStr">
        <is>
          <t>G,U</t>
        </is>
      </c>
      <c r="U498" t="n">
        <v>43649.75</v>
      </c>
      <c r="V498" t="n">
        <v>0.083333</v>
      </c>
      <c r="W498" t="inlineStr">
        <is>
          <t>CNY</t>
        </is>
      </c>
      <c r="X498" t="n">
        <v>1</v>
      </c>
      <c r="Y498" t="n">
        <v>40640.8</v>
      </c>
      <c r="Z498" t="n">
        <v>0</v>
      </c>
      <c r="AA498" t="n">
        <v>43649.75</v>
      </c>
      <c r="AB498" t="n">
        <v>55155</v>
      </c>
      <c r="AC498" t="n">
        <v>0</v>
      </c>
      <c r="AF498" t="n">
        <v>0</v>
      </c>
      <c r="AG498" t="n">
        <v>98804.75</v>
      </c>
      <c r="AH498" t="n">
        <v>2.431171384421567</v>
      </c>
      <c r="AI498" t="n">
        <v>98804.75</v>
      </c>
      <c r="AJ498" t="n">
        <v>2.431171384421567</v>
      </c>
      <c r="AK498" t="n">
        <v>2.431171384421567</v>
      </c>
      <c r="AQ498" t="n">
        <v>98804.75</v>
      </c>
      <c r="AR498" t="n">
        <v>2.431171384421567</v>
      </c>
      <c r="AS498" t="n">
        <v>0.7259717119764879</v>
      </c>
      <c r="BL498" t="n">
        <v>1</v>
      </c>
      <c r="BM498" t="n">
        <v>37980</v>
      </c>
      <c r="BN498" t="n">
        <v>0</v>
      </c>
      <c r="BO498" t="n">
        <v>39400</v>
      </c>
      <c r="BP498" t="inlineStr">
        <is>
          <t>G,G</t>
        </is>
      </c>
      <c r="BQ498" t="inlineStr">
        <is>
          <t>T2</t>
        </is>
      </c>
      <c r="BR498" t="n">
        <v>136100</v>
      </c>
      <c r="BS498" t="n">
        <v>3.583464981569247</v>
      </c>
      <c r="BT498" t="n">
        <v>0</v>
      </c>
      <c r="BU498" t="n">
        <v>136100</v>
      </c>
      <c r="BV498" t="n">
        <v>3.583464981569247</v>
      </c>
      <c r="BY498" t="n">
        <v>136100</v>
      </c>
      <c r="BZ498" t="n">
        <v>3.583464981569247</v>
      </c>
      <c r="CP498" t="inlineStr">
        <is>
          <t>风险管理和内部控制</t>
        </is>
      </c>
      <c r="CQ498" t="inlineStr">
        <is>
          <t>3,1</t>
        </is>
      </c>
      <c r="CR498" t="n">
        <v>8</v>
      </c>
      <c r="CS498" t="inlineStr">
        <is>
          <t>T2</t>
        </is>
      </c>
      <c r="CT498" t="inlineStr">
        <is>
          <t>N</t>
        </is>
      </c>
    </row>
    <row r="499">
      <c r="A499" t="inlineStr">
        <is>
          <t>graceMeng(孟慧悦)</t>
        </is>
      </c>
      <c r="C499" t="n">
        <v>23137388</v>
      </c>
      <c r="D499" t="inlineStr">
        <is>
          <t>税务部</t>
        </is>
      </c>
      <c r="E499" t="inlineStr">
        <is>
          <t>BG税务组</t>
        </is>
      </c>
      <c r="G499" t="inlineStr">
        <is>
          <t>S2职能系统－财经线/税务部/BG税务组</t>
        </is>
      </c>
      <c r="H499" s="188" t="n">
        <v>45307</v>
      </c>
      <c r="I499" t="inlineStr">
        <is>
          <t>高校招聘</t>
        </is>
      </c>
      <c r="J499" t="inlineStr">
        <is>
          <t>财经类－FN</t>
        </is>
      </c>
      <c r="K499" t="inlineStr">
        <is>
          <t>税务</t>
        </is>
      </c>
      <c r="L499" t="inlineStr">
        <is>
          <t>S9</t>
        </is>
      </c>
      <c r="N499" t="inlineStr">
        <is>
          <t>T2</t>
        </is>
      </c>
      <c r="Q499" t="inlineStr">
        <is>
          <t>O,O</t>
        </is>
      </c>
      <c r="U499" t="n">
        <v>47111.5</v>
      </c>
      <c r="V499" t="n">
        <v>0.083333</v>
      </c>
      <c r="W499" t="inlineStr">
        <is>
          <t>CNY</t>
        </is>
      </c>
      <c r="X499" t="n">
        <v>0.958904</v>
      </c>
      <c r="Y499" t="n">
        <v>45066.32</v>
      </c>
      <c r="Z499" t="n">
        <v>0</v>
      </c>
      <c r="AA499" t="n">
        <v>45175.41</v>
      </c>
      <c r="AB499" t="n">
        <v>0</v>
      </c>
      <c r="AC499" t="n">
        <v>0</v>
      </c>
      <c r="AF499" t="n">
        <v>0</v>
      </c>
      <c r="AG499" t="n">
        <v>45175.41</v>
      </c>
      <c r="AH499" t="n">
        <v>1.002420654715096</v>
      </c>
      <c r="AI499" t="n">
        <v>45175.41</v>
      </c>
      <c r="AJ499" t="n">
        <v>1.002420654715096</v>
      </c>
      <c r="AK499" t="n">
        <v>1.002420654715096</v>
      </c>
      <c r="AQ499" t="n">
        <v>45175.41</v>
      </c>
      <c r="AR499" t="n">
        <v>1.002420654715096</v>
      </c>
      <c r="BM499" t="n">
        <v>0</v>
      </c>
      <c r="BN499" t="n">
        <v>0</v>
      </c>
      <c r="BO499" t="n">
        <v>0</v>
      </c>
      <c r="BR499" t="n">
        <v>0</v>
      </c>
      <c r="BT499" t="n">
        <v>0</v>
      </c>
      <c r="BU499" t="n">
        <v>0</v>
      </c>
      <c r="BY499" t="n">
        <v>0</v>
      </c>
      <c r="CP499" t="inlineStr">
        <is>
          <t>税务部</t>
        </is>
      </c>
      <c r="CQ499" t="inlineStr">
        <is>
          <t>5,5</t>
        </is>
      </c>
      <c r="CR499" t="n">
        <v>9</v>
      </c>
      <c r="CS499" t="inlineStr">
        <is>
          <t>T2</t>
        </is>
      </c>
      <c r="CT499" t="inlineStr">
        <is>
          <t>N</t>
        </is>
      </c>
    </row>
    <row r="500">
      <c r="A500" t="inlineStr">
        <is>
          <t>nicholasFan(范曦)</t>
        </is>
      </c>
      <c r="C500" t="n">
        <v>45950535</v>
      </c>
      <c r="D500" t="inlineStr">
        <is>
          <t>WXG财务管理</t>
        </is>
      </c>
      <c r="E500" t="inlineStr">
        <is>
          <t>微信支付财务管理中心</t>
        </is>
      </c>
      <c r="G500" t="inlineStr">
        <is>
          <t>S2职能系统－财经线/WXG财务管理/微信支付财务管理中心</t>
        </is>
      </c>
      <c r="H500" s="188" t="n">
        <v>45085</v>
      </c>
      <c r="I500" t="inlineStr">
        <is>
          <t>高校招聘</t>
        </is>
      </c>
      <c r="J500" t="inlineStr">
        <is>
          <t>财经类－FN</t>
        </is>
      </c>
      <c r="K500" t="inlineStr">
        <is>
          <t>财务管理</t>
        </is>
      </c>
      <c r="L500" t="inlineStr">
        <is>
          <t>S6</t>
        </is>
      </c>
      <c r="N500" t="inlineStr">
        <is>
          <t>T1</t>
        </is>
      </c>
      <c r="Q500" t="inlineStr">
        <is>
          <t>G,U</t>
        </is>
      </c>
      <c r="U500" t="n">
        <v>38967.65</v>
      </c>
      <c r="V500" t="n">
        <v>0.083333</v>
      </c>
      <c r="W500" t="inlineStr">
        <is>
          <t>CNY</t>
        </is>
      </c>
      <c r="X500" t="n">
        <v>1</v>
      </c>
      <c r="Y500" t="n">
        <v>38119.22</v>
      </c>
      <c r="Z500" t="n">
        <v>0</v>
      </c>
      <c r="AA500" t="n">
        <v>38967.65</v>
      </c>
      <c r="AB500" t="n">
        <v>82205</v>
      </c>
      <c r="AC500" t="n">
        <v>0</v>
      </c>
      <c r="AF500" t="n">
        <v>0</v>
      </c>
      <c r="AG500" t="n">
        <v>121172.65</v>
      </c>
      <c r="AH500" t="n">
        <v>3.178780940428477</v>
      </c>
      <c r="AI500" t="n">
        <v>121172.65</v>
      </c>
      <c r="AJ500" t="n">
        <v>3.178780940428477</v>
      </c>
      <c r="AK500" t="n">
        <v>3.178780940428477</v>
      </c>
      <c r="AQ500" t="n">
        <v>121172.65</v>
      </c>
      <c r="AR500" t="n">
        <v>3.178780940428477</v>
      </c>
      <c r="AS500" t="n">
        <v>5.994194904773683</v>
      </c>
      <c r="BL500" t="n">
        <v>0.564383561643835</v>
      </c>
      <c r="BM500" t="n">
        <v>32950</v>
      </c>
      <c r="BN500" t="n">
        <v>0</v>
      </c>
      <c r="BO500" t="n">
        <v>35820</v>
      </c>
      <c r="BP500" t="inlineStr">
        <is>
          <t>N,O</t>
        </is>
      </c>
      <c r="BQ500" t="inlineStr">
        <is>
          <t>T1</t>
        </is>
      </c>
      <c r="BR500" t="n">
        <v>20215</v>
      </c>
      <c r="BS500" t="n">
        <v>0.61350531107739</v>
      </c>
      <c r="BT500" t="n">
        <v>0</v>
      </c>
      <c r="BU500" t="n">
        <v>20215</v>
      </c>
      <c r="BV500" t="n">
        <v>0.61350531107739</v>
      </c>
      <c r="BY500" t="n">
        <v>20215</v>
      </c>
      <c r="BZ500" t="n">
        <v>0.61350531107739</v>
      </c>
      <c r="CP500" t="inlineStr">
        <is>
          <t>WXG财务管理</t>
        </is>
      </c>
      <c r="CQ500" t="inlineStr">
        <is>
          <t>3,1</t>
        </is>
      </c>
      <c r="CR500" t="n">
        <v>6</v>
      </c>
      <c r="CS500" t="inlineStr">
        <is>
          <t>T1</t>
        </is>
      </c>
      <c r="CT500" t="inlineStr">
        <is>
          <t>N</t>
        </is>
      </c>
    </row>
    <row r="501">
      <c r="A501" t="inlineStr">
        <is>
          <t>geraldZhong(钟华亮)</t>
        </is>
      </c>
      <c r="C501" t="n">
        <v>76207792</v>
      </c>
      <c r="D501" t="inlineStr">
        <is>
          <t>财会及报告管理部</t>
        </is>
      </c>
      <c r="E501" t="inlineStr">
        <is>
          <t>账务中心</t>
        </is>
      </c>
      <c r="G501" t="inlineStr">
        <is>
          <t>S2职能系统－财经线/财会及报告管理部/账务中心</t>
        </is>
      </c>
      <c r="H501" s="188" t="n">
        <v>38340</v>
      </c>
      <c r="I501" t="inlineStr">
        <is>
          <t>高校招聘</t>
        </is>
      </c>
      <c r="J501" t="inlineStr">
        <is>
          <t>财经类－FN</t>
        </is>
      </c>
      <c r="K501" t="inlineStr">
        <is>
          <t>会计</t>
        </is>
      </c>
      <c r="L501" t="inlineStr">
        <is>
          <t>S6</t>
        </is>
      </c>
      <c r="N501" t="inlineStr">
        <is>
          <t>T1#</t>
        </is>
      </c>
      <c r="Q501" t="inlineStr">
        <is>
          <t>G,G</t>
        </is>
      </c>
      <c r="U501" t="n">
        <v>37441.25</v>
      </c>
      <c r="V501" t="n">
        <v>0.083333</v>
      </c>
      <c r="W501" t="inlineStr">
        <is>
          <t>CNY</t>
        </is>
      </c>
      <c r="X501" t="n">
        <v>1</v>
      </c>
      <c r="Y501" t="n">
        <v>34053</v>
      </c>
      <c r="Z501" t="n">
        <v>0</v>
      </c>
      <c r="AA501" t="n">
        <v>74882.5</v>
      </c>
      <c r="AB501" t="n">
        <v>129660</v>
      </c>
      <c r="AC501" t="n">
        <v>39035</v>
      </c>
      <c r="AF501" t="n">
        <v>0</v>
      </c>
      <c r="AG501" t="n">
        <v>243577.5</v>
      </c>
      <c r="AH501" t="n">
        <v>7.152894018148181</v>
      </c>
      <c r="AI501" t="n">
        <v>243577.5</v>
      </c>
      <c r="AJ501" t="n">
        <v>7.152894018148181</v>
      </c>
      <c r="AK501" t="n">
        <v>6.00659266437612</v>
      </c>
      <c r="AQ501" t="n">
        <v>243577.5</v>
      </c>
      <c r="AR501" t="n">
        <v>7.152894018148181</v>
      </c>
      <c r="AS501" t="n">
        <v>0.8639951049943246</v>
      </c>
      <c r="BL501" t="n">
        <v>1</v>
      </c>
      <c r="BM501" t="n">
        <v>33215</v>
      </c>
      <c r="BN501" t="n">
        <v>0</v>
      </c>
      <c r="BO501" t="n">
        <v>35680</v>
      </c>
      <c r="BP501" t="inlineStr">
        <is>
          <t>G,O</t>
        </is>
      </c>
      <c r="BQ501" t="inlineStr">
        <is>
          <t>T1#</t>
        </is>
      </c>
      <c r="BR501" t="n">
        <v>215510</v>
      </c>
      <c r="BS501" t="n">
        <v>6.488333584223995</v>
      </c>
      <c r="BT501" t="n">
        <v>66410</v>
      </c>
      <c r="BU501" t="n">
        <v>281920</v>
      </c>
      <c r="BV501" t="n">
        <v>8.487731446635555</v>
      </c>
      <c r="BY501" t="n">
        <v>281920</v>
      </c>
      <c r="BZ501" t="n">
        <v>8.487731446635555</v>
      </c>
      <c r="CP501" t="inlineStr">
        <is>
          <t>财会及报告管理部</t>
        </is>
      </c>
      <c r="CQ501" t="inlineStr">
        <is>
          <t>3,3</t>
        </is>
      </c>
      <c r="CR501" t="n">
        <v>6</v>
      </c>
      <c r="CS501" t="inlineStr">
        <is>
          <t>T1#</t>
        </is>
      </c>
      <c r="CT501" t="inlineStr">
        <is>
          <t>N</t>
        </is>
      </c>
    </row>
    <row r="502">
      <c r="A502" t="inlineStr">
        <is>
          <t>allisonXiao(萧舒萍)</t>
        </is>
      </c>
      <c r="C502" t="n">
        <v>40853342</v>
      </c>
      <c r="D502" t="inlineStr">
        <is>
          <t>财会及报告管理部</t>
        </is>
      </c>
      <c r="E502" t="inlineStr">
        <is>
          <t>供应商支付管理中心</t>
        </is>
      </c>
      <c r="G502" t="inlineStr">
        <is>
          <t>S2职能系统－财经线/财会及报告管理部/供应商支付管理中心</t>
        </is>
      </c>
      <c r="H502" s="188" t="n">
        <v>37331</v>
      </c>
      <c r="I502" t="inlineStr">
        <is>
          <t>高校招聘</t>
        </is>
      </c>
      <c r="J502" t="inlineStr">
        <is>
          <t>财经类－FN</t>
        </is>
      </c>
      <c r="K502" t="inlineStr">
        <is>
          <t>会计</t>
        </is>
      </c>
      <c r="L502" t="inlineStr">
        <is>
          <t>S6</t>
        </is>
      </c>
      <c r="N502" t="inlineStr">
        <is>
          <t>T1</t>
        </is>
      </c>
      <c r="Q502" t="inlineStr">
        <is>
          <t>G,G</t>
        </is>
      </c>
      <c r="U502" t="n">
        <v>29459.75</v>
      </c>
      <c r="V502" t="n">
        <v>0.083333</v>
      </c>
      <c r="W502" t="inlineStr">
        <is>
          <t>CNY</t>
        </is>
      </c>
      <c r="X502" t="n">
        <v>1</v>
      </c>
      <c r="Y502" t="n">
        <v>28470.26</v>
      </c>
      <c r="Z502" t="n">
        <v>0</v>
      </c>
      <c r="AA502" t="n">
        <v>58919.5</v>
      </c>
      <c r="AB502" t="n">
        <v>61085</v>
      </c>
      <c r="AC502" t="n">
        <v>50520</v>
      </c>
      <c r="AF502" t="n">
        <v>0</v>
      </c>
      <c r="AG502" t="n">
        <v>170524.5</v>
      </c>
      <c r="AH502" t="n">
        <v>5.989565954086826</v>
      </c>
      <c r="AI502" t="n">
        <v>170524.5</v>
      </c>
      <c r="AJ502" t="n">
        <v>5.989565954086826</v>
      </c>
      <c r="AK502" t="n">
        <v>4.215082686283862</v>
      </c>
      <c r="AQ502" t="n">
        <v>170524.5</v>
      </c>
      <c r="AR502" t="n">
        <v>5.989565954086826</v>
      </c>
      <c r="AS502" t="n">
        <v>2.74000964087732</v>
      </c>
      <c r="BL502" t="n">
        <v>1</v>
      </c>
      <c r="BM502" t="n">
        <v>24630</v>
      </c>
      <c r="BN502" t="n">
        <v>0</v>
      </c>
      <c r="BO502" t="n">
        <v>25845</v>
      </c>
      <c r="BP502" t="inlineStr">
        <is>
          <t>U,G</t>
        </is>
      </c>
      <c r="BQ502" t="inlineStr">
        <is>
          <t>T1</t>
        </is>
      </c>
      <c r="BR502" t="n">
        <v>62235</v>
      </c>
      <c r="BS502" t="n">
        <v>2.526796589524969</v>
      </c>
      <c r="BT502" t="n">
        <v>0</v>
      </c>
      <c r="BU502" t="n">
        <v>62235</v>
      </c>
      <c r="BV502" t="n">
        <v>2.526796589524969</v>
      </c>
      <c r="BY502" t="n">
        <v>62235</v>
      </c>
      <c r="BZ502" t="n">
        <v>2.526796589524969</v>
      </c>
      <c r="CP502" t="inlineStr">
        <is>
          <t>财会及报告管理部</t>
        </is>
      </c>
      <c r="CQ502" t="inlineStr">
        <is>
          <t>3,3</t>
        </is>
      </c>
      <c r="CR502" t="n">
        <v>6</v>
      </c>
      <c r="CS502" t="inlineStr">
        <is>
          <t>T1</t>
        </is>
      </c>
      <c r="CT502" t="inlineStr">
        <is>
          <t>N</t>
        </is>
      </c>
    </row>
    <row r="503">
      <c r="A503" t="inlineStr">
        <is>
          <t>brandonLong(龙峰军)</t>
        </is>
      </c>
      <c r="C503" t="n">
        <v>65789163</v>
      </c>
      <c r="D503" t="inlineStr">
        <is>
          <t>财会及报告管理部</t>
        </is>
      </c>
      <c r="E503" t="inlineStr">
        <is>
          <t>应收管理中心</t>
        </is>
      </c>
      <c r="G503" t="inlineStr">
        <is>
          <t>S2职能系统－财经线/财会及报告管理部/应收管理中心</t>
        </is>
      </c>
      <c r="H503" s="188" t="n">
        <v>43441</v>
      </c>
      <c r="I503" t="inlineStr">
        <is>
          <t>社会招聘</t>
        </is>
      </c>
      <c r="J503" t="inlineStr">
        <is>
          <t>财经类－FN</t>
        </is>
      </c>
      <c r="K503" t="inlineStr">
        <is>
          <t>会计</t>
        </is>
      </c>
      <c r="L503" t="inlineStr">
        <is>
          <t>S10</t>
        </is>
      </c>
      <c r="N503" t="inlineStr">
        <is>
          <t>Others</t>
        </is>
      </c>
      <c r="Q503" t="inlineStr">
        <is>
          <t>O,U</t>
        </is>
      </c>
      <c r="U503" t="n">
        <v>42303.65</v>
      </c>
      <c r="V503" t="n">
        <v>0.083333</v>
      </c>
      <c r="W503" t="inlineStr">
        <is>
          <t>CNY</t>
        </is>
      </c>
      <c r="X503" t="n">
        <v>1</v>
      </c>
      <c r="Y503" t="n">
        <v>38239.29</v>
      </c>
      <c r="Z503" t="n">
        <v>0</v>
      </c>
      <c r="AA503" t="n">
        <v>84607.3</v>
      </c>
      <c r="AB503" t="n">
        <v>26395</v>
      </c>
      <c r="AC503" t="n">
        <v>0</v>
      </c>
      <c r="AF503" t="n">
        <v>0</v>
      </c>
      <c r="AG503" t="n">
        <v>111002.3</v>
      </c>
      <c r="AH503" t="n">
        <v>2.902833708471052</v>
      </c>
      <c r="AI503" t="n">
        <v>111002.3</v>
      </c>
      <c r="AJ503" t="n">
        <v>2.902833708471052</v>
      </c>
      <c r="AK503" t="n">
        <v>2.902833708471052</v>
      </c>
      <c r="AQ503" t="n">
        <v>111002.3</v>
      </c>
      <c r="AR503" t="n">
        <v>2.902833708471052</v>
      </c>
      <c r="AS503" t="n">
        <v>0.9341269039804764</v>
      </c>
      <c r="BL503" t="n">
        <v>1</v>
      </c>
      <c r="BM503" t="n">
        <v>34885</v>
      </c>
      <c r="BN503" t="n">
        <v>0</v>
      </c>
      <c r="BO503" t="n">
        <v>38055</v>
      </c>
      <c r="BP503" t="inlineStr">
        <is>
          <t>G,G</t>
        </is>
      </c>
      <c r="BQ503" t="inlineStr">
        <is>
          <t>Others</t>
        </is>
      </c>
      <c r="BR503" t="n">
        <v>118830</v>
      </c>
      <c r="BS503" t="n">
        <v>3.406335101046295</v>
      </c>
      <c r="BT503" t="n">
        <v>0</v>
      </c>
      <c r="BU503" t="n">
        <v>118830</v>
      </c>
      <c r="BV503" t="n">
        <v>3.406335101046295</v>
      </c>
      <c r="BY503" t="n">
        <v>118830</v>
      </c>
      <c r="BZ503" t="n">
        <v>3.406335101046295</v>
      </c>
      <c r="CP503" t="inlineStr">
        <is>
          <t>财会及报告管理部</t>
        </is>
      </c>
      <c r="CQ503" t="inlineStr">
        <is>
          <t>5,1</t>
        </is>
      </c>
      <c r="CR503" t="n">
        <v>10</v>
      </c>
      <c r="CS503" t="inlineStr">
        <is>
          <t>Others</t>
        </is>
      </c>
      <c r="CT503" t="inlineStr">
        <is>
          <t>N</t>
        </is>
      </c>
    </row>
    <row r="504">
      <c r="A504" t="inlineStr">
        <is>
          <t>margaretDai(戴畅畅)</t>
        </is>
      </c>
      <c r="C504" t="n">
        <v>9147896</v>
      </c>
      <c r="D504" t="inlineStr">
        <is>
          <t>审计监察</t>
        </is>
      </c>
      <c r="E504" t="inlineStr">
        <is>
          <t>审计中台及运营组</t>
        </is>
      </c>
      <c r="G504" t="inlineStr">
        <is>
          <t>S2职能系统－财经线/审计监察/审计中台及运营组</t>
        </is>
      </c>
      <c r="H504" s="188" t="n">
        <v>44148</v>
      </c>
      <c r="I504" t="inlineStr">
        <is>
          <t>社会招聘</t>
        </is>
      </c>
      <c r="J504" t="inlineStr">
        <is>
          <t>财经类－FN</t>
        </is>
      </c>
      <c r="K504" t="inlineStr">
        <is>
          <t>风险管理</t>
        </is>
      </c>
      <c r="L504" t="inlineStr">
        <is>
          <t>S7</t>
        </is>
      </c>
      <c r="N504" t="inlineStr">
        <is>
          <t>T2</t>
        </is>
      </c>
      <c r="Q504" t="inlineStr">
        <is>
          <t>G,G</t>
        </is>
      </c>
      <c r="U504" t="n">
        <v>41196.45</v>
      </c>
      <c r="V504" t="n">
        <v>0.083333</v>
      </c>
      <c r="W504" t="inlineStr">
        <is>
          <t>CNY</t>
        </is>
      </c>
      <c r="X504" t="n">
        <v>1</v>
      </c>
      <c r="Y504" t="n">
        <v>37744.05</v>
      </c>
      <c r="Z504" t="n">
        <v>0</v>
      </c>
      <c r="AA504" t="n">
        <v>82392.89999999999</v>
      </c>
      <c r="AB504" t="n">
        <v>43360</v>
      </c>
      <c r="AC504" t="n">
        <v>0</v>
      </c>
      <c r="AF504" t="n">
        <v>0</v>
      </c>
      <c r="AG504" t="n">
        <v>125752.9</v>
      </c>
      <c r="AH504" t="n">
        <v>3.33172778225972</v>
      </c>
      <c r="AI504" t="n">
        <v>125752.9</v>
      </c>
      <c r="AJ504" t="n">
        <v>3.33172778225972</v>
      </c>
      <c r="AK504" t="n">
        <v>3.33172778225972</v>
      </c>
      <c r="AQ504" t="n">
        <v>125752.9</v>
      </c>
      <c r="AR504" t="n">
        <v>3.33172778225972</v>
      </c>
      <c r="AS504" t="n">
        <v>0.9632178009268124</v>
      </c>
      <c r="BL504" t="n">
        <v>1</v>
      </c>
      <c r="BM504" t="n">
        <v>35165</v>
      </c>
      <c r="BN504" t="n">
        <v>0</v>
      </c>
      <c r="BO504" t="n">
        <v>38600</v>
      </c>
      <c r="BP504" t="inlineStr">
        <is>
          <t>U,O</t>
        </is>
      </c>
      <c r="BQ504" t="inlineStr">
        <is>
          <t>T2</t>
        </is>
      </c>
      <c r="BR504" t="n">
        <v>130555</v>
      </c>
      <c r="BS504" t="n">
        <v>3.71264040949808</v>
      </c>
      <c r="BT504" t="n">
        <v>0</v>
      </c>
      <c r="BU504" t="n">
        <v>130555</v>
      </c>
      <c r="BV504" t="n">
        <v>3.71264040949808</v>
      </c>
      <c r="BY504" t="n">
        <v>130555</v>
      </c>
      <c r="BZ504" t="n">
        <v>3.71264040949808</v>
      </c>
      <c r="CP504" t="inlineStr">
        <is>
          <t>审计监察</t>
        </is>
      </c>
      <c r="CQ504" t="inlineStr">
        <is>
          <t>3,3</t>
        </is>
      </c>
      <c r="CR504" t="n">
        <v>7</v>
      </c>
      <c r="CS504" t="inlineStr">
        <is>
          <t>T2</t>
        </is>
      </c>
      <c r="CT504" t="inlineStr">
        <is>
          <t>N</t>
        </is>
      </c>
    </row>
    <row r="505">
      <c r="A505" t="inlineStr">
        <is>
          <t>sophieShi(史梦)</t>
        </is>
      </c>
      <c r="C505" t="n">
        <v>48175124</v>
      </c>
      <c r="D505" t="inlineStr">
        <is>
          <t>反舞弊调查部</t>
        </is>
      </c>
      <c r="E505" t="inlineStr">
        <is>
          <t>反舞弊调查部</t>
        </is>
      </c>
      <c r="G505" t="inlineStr">
        <is>
          <t>S2职能系统－财经线/反舞弊调查部</t>
        </is>
      </c>
      <c r="H505" s="188" t="n">
        <v>38682</v>
      </c>
      <c r="I505" t="inlineStr">
        <is>
          <t>社会招聘</t>
        </is>
      </c>
      <c r="J505" t="inlineStr">
        <is>
          <t>财经类－FN</t>
        </is>
      </c>
      <c r="K505" t="inlineStr">
        <is>
          <t>风险管理</t>
        </is>
      </c>
      <c r="L505" t="inlineStr">
        <is>
          <t>S8</t>
        </is>
      </c>
      <c r="N505" t="inlineStr">
        <is>
          <t>T1</t>
        </is>
      </c>
      <c r="Q505" t="inlineStr">
        <is>
          <t>G,G</t>
        </is>
      </c>
      <c r="U505" t="n">
        <v>30730.05</v>
      </c>
      <c r="V505" t="n">
        <v>0.083333</v>
      </c>
      <c r="W505" t="inlineStr">
        <is>
          <t>CNY</t>
        </is>
      </c>
      <c r="X505" t="n">
        <v>1</v>
      </c>
      <c r="Y505" t="n">
        <v>28537.11</v>
      </c>
      <c r="Z505" t="n">
        <v>0</v>
      </c>
      <c r="AA505" t="n">
        <v>61460.1</v>
      </c>
      <c r="AB505" t="n">
        <v>68505</v>
      </c>
      <c r="AC505" t="n">
        <v>43910</v>
      </c>
      <c r="AF505" t="n">
        <v>0</v>
      </c>
      <c r="AG505" t="n">
        <v>173875.1</v>
      </c>
      <c r="AH505" t="n">
        <v>6.092947043341109</v>
      </c>
      <c r="AI505" t="n">
        <v>173875.1</v>
      </c>
      <c r="AJ505" t="n">
        <v>6.092947043341109</v>
      </c>
      <c r="AK505" t="n">
        <v>4.554248835989349</v>
      </c>
      <c r="AQ505" t="n">
        <v>173875.1</v>
      </c>
      <c r="AR505" t="n">
        <v>6.092947043341109</v>
      </c>
      <c r="AS505" t="n">
        <v>1.414481187716087</v>
      </c>
      <c r="BL505" t="n">
        <v>1</v>
      </c>
      <c r="BM505" t="n">
        <v>27010</v>
      </c>
      <c r="BN505" t="n">
        <v>0</v>
      </c>
      <c r="BO505" t="n">
        <v>29150</v>
      </c>
      <c r="BP505" t="inlineStr">
        <is>
          <t>O,G</t>
        </is>
      </c>
      <c r="BQ505" t="inlineStr">
        <is>
          <t>Others</t>
        </is>
      </c>
      <c r="BR505" t="n">
        <v>122925</v>
      </c>
      <c r="BS505" t="n">
        <v>4.551092188078489</v>
      </c>
      <c r="BT505" t="n">
        <v>0</v>
      </c>
      <c r="BU505" t="n">
        <v>122925</v>
      </c>
      <c r="BV505" t="n">
        <v>4.551092188078489</v>
      </c>
      <c r="BY505" t="n">
        <v>122925</v>
      </c>
      <c r="BZ505" t="n">
        <v>4.551092188078489</v>
      </c>
      <c r="CP505" t="inlineStr">
        <is>
          <t>反舞弊调查部</t>
        </is>
      </c>
      <c r="CQ505" t="inlineStr">
        <is>
          <t>3,3</t>
        </is>
      </c>
      <c r="CR505" t="n">
        <v>8</v>
      </c>
      <c r="CS505" t="inlineStr">
        <is>
          <t>T1</t>
        </is>
      </c>
      <c r="CT505" t="inlineStr">
        <is>
          <t>N</t>
        </is>
      </c>
    </row>
    <row r="506">
      <c r="A506" t="inlineStr">
        <is>
          <t>benjaminDing(丁锋)</t>
        </is>
      </c>
      <c r="C506" t="n">
        <v>80461244</v>
      </c>
      <c r="D506" t="inlineStr">
        <is>
          <t>风险管理和内部控制</t>
        </is>
      </c>
      <c r="E506" t="inlineStr">
        <is>
          <t>风险管理和内部控制</t>
        </is>
      </c>
      <c r="G506" t="inlineStr">
        <is>
          <t>S2职能系统－财经线/风险管理和内部控制</t>
        </is>
      </c>
      <c r="H506" s="188" t="n">
        <v>38128</v>
      </c>
      <c r="I506" t="inlineStr">
        <is>
          <t>社会招聘</t>
        </is>
      </c>
      <c r="J506" t="inlineStr">
        <is>
          <t>财经类－FN</t>
        </is>
      </c>
      <c r="K506" t="inlineStr">
        <is>
          <t>风险管理</t>
        </is>
      </c>
      <c r="L506" t="inlineStr">
        <is>
          <t>S5</t>
        </is>
      </c>
      <c r="N506" t="inlineStr">
        <is>
          <t>T1</t>
        </is>
      </c>
      <c r="Q506" t="inlineStr">
        <is>
          <t>G,G</t>
        </is>
      </c>
      <c r="U506" t="n">
        <v>30164.2</v>
      </c>
      <c r="V506" t="n">
        <v>0.083333</v>
      </c>
      <c r="W506" t="inlineStr">
        <is>
          <t>CNY</t>
        </is>
      </c>
      <c r="X506" t="n">
        <v>1</v>
      </c>
      <c r="Y506" t="n">
        <v>27347.13</v>
      </c>
      <c r="Z506" t="n">
        <v>0</v>
      </c>
      <c r="AA506" t="n">
        <v>60328.4</v>
      </c>
      <c r="AB506" t="n">
        <v>75095</v>
      </c>
      <c r="AC506" t="n">
        <v>38860</v>
      </c>
      <c r="AF506" t="n">
        <v>0</v>
      </c>
      <c r="AG506" t="n">
        <v>174283.4</v>
      </c>
      <c r="AH506" t="n">
        <v>6.37300513801631</v>
      </c>
      <c r="AI506" t="n">
        <v>174283.4</v>
      </c>
      <c r="AJ506" t="n">
        <v>6.37300513801631</v>
      </c>
      <c r="AK506" t="n">
        <v>4.952015074342353</v>
      </c>
      <c r="AQ506" t="n">
        <v>174283.4</v>
      </c>
      <c r="AR506" t="n">
        <v>6.37300513801631</v>
      </c>
      <c r="AS506" t="n">
        <v>1.175803002192612</v>
      </c>
      <c r="BL506" t="n">
        <v>1</v>
      </c>
      <c r="BM506" t="n">
        <v>25590</v>
      </c>
      <c r="BN506" t="n">
        <v>0</v>
      </c>
      <c r="BO506" t="n">
        <v>27270</v>
      </c>
      <c r="BP506" t="inlineStr">
        <is>
          <t>O,G</t>
        </is>
      </c>
      <c r="BQ506" t="inlineStr">
        <is>
          <t>T1</t>
        </is>
      </c>
      <c r="BR506" t="n">
        <v>114900</v>
      </c>
      <c r="BS506" t="n">
        <v>4.490035169988277</v>
      </c>
      <c r="BT506" t="n">
        <v>33325</v>
      </c>
      <c r="BU506" t="n">
        <v>148225</v>
      </c>
      <c r="BV506" t="n">
        <v>5.792301680343884</v>
      </c>
      <c r="BY506" t="n">
        <v>148225</v>
      </c>
      <c r="BZ506" t="n">
        <v>5.792301680343884</v>
      </c>
      <c r="CP506" t="inlineStr">
        <is>
          <t>风险管理和内部控制</t>
        </is>
      </c>
      <c r="CQ506" t="inlineStr">
        <is>
          <t>3,3</t>
        </is>
      </c>
      <c r="CR506" t="n">
        <v>5</v>
      </c>
      <c r="CS506" t="inlineStr">
        <is>
          <t>T1</t>
        </is>
      </c>
      <c r="CT506" t="inlineStr">
        <is>
          <t>N</t>
        </is>
      </c>
    </row>
    <row r="507">
      <c r="A507" t="inlineStr">
        <is>
          <t>kyleXiao(萧霖阳)</t>
        </is>
      </c>
      <c r="C507" t="n">
        <v>87318468</v>
      </c>
      <c r="D507" t="inlineStr">
        <is>
          <t>预算及职能系统财务管理部</t>
        </is>
      </c>
      <c r="E507" t="inlineStr">
        <is>
          <t>预算管理中心</t>
        </is>
      </c>
      <c r="G507" t="inlineStr">
        <is>
          <t>S2职能系统－财经线/预算及职能系统财务管理部/预算管理中心</t>
        </is>
      </c>
      <c r="H507" s="188" t="n">
        <v>37362</v>
      </c>
      <c r="I507" t="inlineStr">
        <is>
          <t>高校招聘</t>
        </is>
      </c>
      <c r="J507" t="inlineStr">
        <is>
          <t>财经类－FN</t>
        </is>
      </c>
      <c r="K507" t="inlineStr">
        <is>
          <t>预算管理</t>
        </is>
      </c>
      <c r="L507" t="inlineStr">
        <is>
          <t>S12</t>
        </is>
      </c>
      <c r="M507" t="inlineStr">
        <is>
          <t>L1-2</t>
        </is>
      </c>
      <c r="N507" t="inlineStr">
        <is>
          <t>T1</t>
        </is>
      </c>
      <c r="Q507" t="inlineStr">
        <is>
          <t>O,G</t>
        </is>
      </c>
      <c r="U507" t="n">
        <v>63784.95</v>
      </c>
      <c r="V507" t="n">
        <v>0.083333</v>
      </c>
      <c r="W507" t="inlineStr">
        <is>
          <t>CNY</t>
        </is>
      </c>
      <c r="X507" t="n">
        <v>1</v>
      </c>
      <c r="Y507" t="n">
        <v>60169.72</v>
      </c>
      <c r="Z507" t="n">
        <v>0</v>
      </c>
      <c r="AA507" t="n">
        <v>191354.85</v>
      </c>
      <c r="AB507" t="n">
        <v>128410</v>
      </c>
      <c r="AC507" t="n">
        <v>98220</v>
      </c>
      <c r="AF507" t="n">
        <v>52645</v>
      </c>
      <c r="AG507" t="n">
        <v>417984.85</v>
      </c>
      <c r="AH507" t="n">
        <v>6.946764086653552</v>
      </c>
      <c r="AI507" t="n">
        <v>470629.85</v>
      </c>
      <c r="AJ507" t="n">
        <v>7.821705834762069</v>
      </c>
      <c r="AK507" t="n">
        <v>6.189323300823071</v>
      </c>
      <c r="AQ507" t="n">
        <v>470629.85</v>
      </c>
      <c r="AR507" t="n">
        <v>7.821705834762069</v>
      </c>
      <c r="AS507" t="n">
        <v>1.28638353992702</v>
      </c>
      <c r="BL507" t="n">
        <v>1</v>
      </c>
      <c r="BM507" t="n">
        <v>57020</v>
      </c>
      <c r="BN507" t="n">
        <v>0</v>
      </c>
      <c r="BO507" t="n">
        <v>57710</v>
      </c>
      <c r="BP507" t="inlineStr">
        <is>
          <t>G,O</t>
        </is>
      </c>
      <c r="BQ507" t="inlineStr">
        <is>
          <t>T1</t>
        </is>
      </c>
      <c r="BR507" t="n">
        <v>254845</v>
      </c>
      <c r="BS507" t="n">
        <v>4.46939670291126</v>
      </c>
      <c r="BT507" t="n">
        <v>111010</v>
      </c>
      <c r="BU507" t="n">
        <v>365855</v>
      </c>
      <c r="BV507" t="n">
        <v>6.416257453525079</v>
      </c>
      <c r="BY507" t="n">
        <v>365855</v>
      </c>
      <c r="BZ507" t="n">
        <v>6.416257453525079</v>
      </c>
      <c r="CP507" t="inlineStr">
        <is>
          <t>预算及职能系统财务管理部</t>
        </is>
      </c>
      <c r="CQ507" t="inlineStr">
        <is>
          <t>5,3</t>
        </is>
      </c>
      <c r="CR507" t="n">
        <v>12</v>
      </c>
      <c r="CS507" t="inlineStr">
        <is>
          <t>T1</t>
        </is>
      </c>
      <c r="CT507" t="inlineStr">
        <is>
          <t>N</t>
        </is>
      </c>
    </row>
    <row r="508">
      <c r="A508" t="inlineStr">
        <is>
          <t>katherineHao(郝燕)</t>
        </is>
      </c>
      <c r="C508" t="n">
        <v>80130486</v>
      </c>
      <c r="D508" t="inlineStr">
        <is>
          <t>财会及报告管理部</t>
        </is>
      </c>
      <c r="E508" t="inlineStr">
        <is>
          <t>财报中心</t>
        </is>
      </c>
      <c r="G508" t="inlineStr">
        <is>
          <t>S2职能系统－财经线/财会及报告管理部/财报中心</t>
        </is>
      </c>
      <c r="H508" s="188" t="n">
        <v>40518</v>
      </c>
      <c r="I508" t="inlineStr">
        <is>
          <t>高校招聘</t>
        </is>
      </c>
      <c r="J508" t="inlineStr">
        <is>
          <t>财经类－FN</t>
        </is>
      </c>
      <c r="K508" t="inlineStr">
        <is>
          <t>会计</t>
        </is>
      </c>
      <c r="L508" t="inlineStr">
        <is>
          <t>S11</t>
        </is>
      </c>
      <c r="N508" t="inlineStr">
        <is>
          <t>T1#</t>
        </is>
      </c>
      <c r="Q508" t="inlineStr">
        <is>
          <t>G,G</t>
        </is>
      </c>
      <c r="U508" t="n">
        <v>47413.8</v>
      </c>
      <c r="V508" t="n">
        <v>0.083333</v>
      </c>
      <c r="W508" t="inlineStr">
        <is>
          <t>CNY</t>
        </is>
      </c>
      <c r="X508" t="n">
        <v>1</v>
      </c>
      <c r="Y508" t="n">
        <v>46758.42</v>
      </c>
      <c r="Z508" t="n">
        <v>0</v>
      </c>
      <c r="AA508" t="n">
        <v>94827.60000000001</v>
      </c>
      <c r="AB508" t="n">
        <v>162720</v>
      </c>
      <c r="AC508" t="n">
        <v>50255</v>
      </c>
      <c r="AF508" t="n">
        <v>0</v>
      </c>
      <c r="AG508" t="n">
        <v>307802.6</v>
      </c>
      <c r="AH508" t="n">
        <v>6.582827221279076</v>
      </c>
      <c r="AI508" t="n">
        <v>307802.6</v>
      </c>
      <c r="AJ508" t="n">
        <v>6.582827221279076</v>
      </c>
      <c r="AK508" t="n">
        <v>5.508047534540303</v>
      </c>
      <c r="AQ508" t="n">
        <v>307802.6</v>
      </c>
      <c r="AR508" t="n">
        <v>6.582827221279076</v>
      </c>
      <c r="AS508" t="n">
        <v>1.10100549067301</v>
      </c>
      <c r="BL508" t="n">
        <v>1</v>
      </c>
      <c r="BM508" t="n">
        <v>40590</v>
      </c>
      <c r="BN508" t="n">
        <v>0</v>
      </c>
      <c r="BO508" t="n">
        <v>43865</v>
      </c>
      <c r="BP508" t="inlineStr">
        <is>
          <t>G,G</t>
        </is>
      </c>
      <c r="BQ508" t="inlineStr">
        <is>
          <t>T1#</t>
        </is>
      </c>
      <c r="BR508" t="n">
        <v>234675</v>
      </c>
      <c r="BS508" t="n">
        <v>5.781596452328159</v>
      </c>
      <c r="BT508" t="n">
        <v>44890</v>
      </c>
      <c r="BU508" t="n">
        <v>279565</v>
      </c>
      <c r="BV508" t="n">
        <v>6.887533875338754</v>
      </c>
      <c r="BY508" t="n">
        <v>279565</v>
      </c>
      <c r="BZ508" t="n">
        <v>6.887533875338754</v>
      </c>
      <c r="CP508" t="inlineStr">
        <is>
          <t>财会及报告管理部</t>
        </is>
      </c>
      <c r="CQ508" t="inlineStr">
        <is>
          <t>3,3</t>
        </is>
      </c>
      <c r="CR508" t="n">
        <v>11</v>
      </c>
      <c r="CS508" t="inlineStr">
        <is>
          <t>T1#</t>
        </is>
      </c>
      <c r="CT508" t="inlineStr">
        <is>
          <t>N</t>
        </is>
      </c>
    </row>
    <row r="509">
      <c r="A509" t="inlineStr">
        <is>
          <t>albertZhong(钟亮)</t>
        </is>
      </c>
      <c r="C509" t="n">
        <v>6392125</v>
      </c>
      <c r="D509" t="inlineStr">
        <is>
          <t>财经投资并购及管理部</t>
        </is>
      </c>
      <c r="E509" t="inlineStr">
        <is>
          <t>行业及项目管理中心</t>
        </is>
      </c>
      <c r="G509" t="inlineStr">
        <is>
          <t>S2职能系统－财经线/财经投资并购及管理部/行业及项目管理中心</t>
        </is>
      </c>
      <c r="H509" s="188" t="n">
        <v>40563</v>
      </c>
      <c r="I509" t="inlineStr">
        <is>
          <t>社会招聘</t>
        </is>
      </c>
      <c r="J509" t="inlineStr">
        <is>
          <t>财经类－FN</t>
        </is>
      </c>
      <c r="K509" t="inlineStr">
        <is>
          <t>投资并购</t>
        </is>
      </c>
      <c r="L509" t="inlineStr">
        <is>
          <t>S11</t>
        </is>
      </c>
      <c r="N509" t="inlineStr">
        <is>
          <t>T1#</t>
        </is>
      </c>
      <c r="Q509" t="inlineStr">
        <is>
          <t>O,G</t>
        </is>
      </c>
      <c r="U509" t="n">
        <v>59455.8</v>
      </c>
      <c r="V509" t="n">
        <v>0.083333</v>
      </c>
      <c r="W509" t="inlineStr">
        <is>
          <t>CNY</t>
        </is>
      </c>
      <c r="X509" t="n">
        <v>1</v>
      </c>
      <c r="Y509" t="n">
        <v>57846.98</v>
      </c>
      <c r="Z509" t="n">
        <v>0</v>
      </c>
      <c r="AA509" t="n">
        <v>178367.4</v>
      </c>
      <c r="AB509" t="n">
        <v>207095</v>
      </c>
      <c r="AC509" t="n">
        <v>72500</v>
      </c>
      <c r="AF509" t="n">
        <v>0</v>
      </c>
      <c r="AG509" t="n">
        <v>457962.4</v>
      </c>
      <c r="AH509" t="n">
        <v>7.916790124566572</v>
      </c>
      <c r="AI509" t="n">
        <v>457962.4</v>
      </c>
      <c r="AJ509" t="n">
        <v>7.916790124566572</v>
      </c>
      <c r="AK509" t="n">
        <v>6.663483556099212</v>
      </c>
      <c r="AQ509" t="n">
        <v>457962.4</v>
      </c>
      <c r="AR509" t="n">
        <v>7.916790124566572</v>
      </c>
      <c r="AS509" t="n">
        <v>1.57988891572084</v>
      </c>
      <c r="BL509" t="n">
        <v>1</v>
      </c>
      <c r="BM509" t="n">
        <v>51770</v>
      </c>
      <c r="BN509" t="n">
        <v>0</v>
      </c>
      <c r="BO509" t="n">
        <v>53130</v>
      </c>
      <c r="BP509" t="inlineStr">
        <is>
          <t>O,U</t>
        </is>
      </c>
      <c r="BQ509" t="inlineStr">
        <is>
          <t>T1#</t>
        </is>
      </c>
      <c r="BR509" t="n">
        <v>289870</v>
      </c>
      <c r="BS509" t="n">
        <v>5.599188719335523</v>
      </c>
      <c r="BT509" t="n">
        <v>0</v>
      </c>
      <c r="BU509" t="n">
        <v>289870</v>
      </c>
      <c r="BV509" t="n">
        <v>5.599188719335523</v>
      </c>
      <c r="BY509" t="n">
        <v>289870</v>
      </c>
      <c r="BZ509" t="n">
        <v>5.599188719335523</v>
      </c>
      <c r="CP509" t="inlineStr">
        <is>
          <t>财经投资并购及管理部</t>
        </is>
      </c>
      <c r="CQ509" t="inlineStr">
        <is>
          <t>5,3</t>
        </is>
      </c>
      <c r="CR509" t="n">
        <v>11</v>
      </c>
      <c r="CS509" t="inlineStr">
        <is>
          <t>T1#</t>
        </is>
      </c>
      <c r="CT509" t="inlineStr">
        <is>
          <t>N</t>
        </is>
      </c>
    </row>
    <row r="510">
      <c r="A510" t="inlineStr">
        <is>
          <t>allisonDeng(邓嘉)</t>
        </is>
      </c>
      <c r="C510" t="n">
        <v>65394538</v>
      </c>
      <c r="D510" t="inlineStr">
        <is>
          <t>CSIG财务管理</t>
        </is>
      </c>
      <c r="E510" t="inlineStr">
        <is>
          <t>产品财务管理中心</t>
        </is>
      </c>
      <c r="G510" t="inlineStr">
        <is>
          <t>S2职能系统－财经线/CSIG财务管理/产品财务管理中心</t>
        </is>
      </c>
      <c r="H510" s="188" t="n">
        <v>38811</v>
      </c>
      <c r="I510" t="inlineStr">
        <is>
          <t>社会招聘</t>
        </is>
      </c>
      <c r="J510" t="inlineStr">
        <is>
          <t>财经类－FN</t>
        </is>
      </c>
      <c r="K510" t="inlineStr">
        <is>
          <t>财务管理</t>
        </is>
      </c>
      <c r="L510" t="inlineStr">
        <is>
          <t>S8</t>
        </is>
      </c>
      <c r="N510" t="inlineStr">
        <is>
          <t>T1#</t>
        </is>
      </c>
      <c r="Q510" t="inlineStr">
        <is>
          <t>G,U</t>
        </is>
      </c>
      <c r="U510" t="n">
        <v>38148.6</v>
      </c>
      <c r="V510" t="n">
        <v>0.083333</v>
      </c>
      <c r="W510" t="inlineStr">
        <is>
          <t>CNY</t>
        </is>
      </c>
      <c r="X510" t="n">
        <v>1</v>
      </c>
      <c r="Y510" t="n">
        <v>36765.17</v>
      </c>
      <c r="Z510" t="n">
        <v>0</v>
      </c>
      <c r="AA510" t="n">
        <v>38148.6</v>
      </c>
      <c r="AB510" t="n">
        <v>125830</v>
      </c>
      <c r="AC510" t="n">
        <v>0</v>
      </c>
      <c r="AF510" t="n">
        <v>0</v>
      </c>
      <c r="AG510" t="n">
        <v>163978.6</v>
      </c>
      <c r="AH510" t="n">
        <v>4.460161614919774</v>
      </c>
      <c r="AI510" t="n">
        <v>163978.6</v>
      </c>
      <c r="AJ510" t="n">
        <v>4.460161614919774</v>
      </c>
      <c r="AK510" t="n">
        <v>4.460161614919774</v>
      </c>
      <c r="AQ510" t="n">
        <v>163978.6</v>
      </c>
      <c r="AR510" t="n">
        <v>4.460161614919774</v>
      </c>
      <c r="AS510" t="n">
        <v>0.5808355914492677</v>
      </c>
      <c r="BL510" t="n">
        <v>1</v>
      </c>
      <c r="BM510" t="n">
        <v>34240</v>
      </c>
      <c r="BN510" t="n">
        <v>0</v>
      </c>
      <c r="BO510" t="n">
        <v>37455</v>
      </c>
      <c r="BP510" t="inlineStr">
        <is>
          <t>O,G</t>
        </is>
      </c>
      <c r="BQ510" t="inlineStr">
        <is>
          <t>T1#</t>
        </is>
      </c>
      <c r="BR510" t="n">
        <v>240245</v>
      </c>
      <c r="BS510" t="n">
        <v>7.016501168224299</v>
      </c>
      <c r="BT510" t="n">
        <v>42070</v>
      </c>
      <c r="BU510" t="n">
        <v>282315</v>
      </c>
      <c r="BV510" t="n">
        <v>8.245181074766355</v>
      </c>
      <c r="BY510" t="n">
        <v>282315</v>
      </c>
      <c r="BZ510" t="n">
        <v>8.245181074766355</v>
      </c>
      <c r="CP510" t="inlineStr">
        <is>
          <t>CSIG财务管理</t>
        </is>
      </c>
      <c r="CQ510" t="inlineStr">
        <is>
          <t>3,1</t>
        </is>
      </c>
      <c r="CR510" t="n">
        <v>8</v>
      </c>
      <c r="CS510" t="inlineStr">
        <is>
          <t>T1#</t>
        </is>
      </c>
      <c r="CT510" t="inlineStr">
        <is>
          <t>N</t>
        </is>
      </c>
    </row>
    <row r="511">
      <c r="A511" t="inlineStr">
        <is>
          <t>blakeJin(金雄海)</t>
        </is>
      </c>
      <c r="C511" t="n">
        <v>33830689</v>
      </c>
      <c r="D511" t="inlineStr">
        <is>
          <t>风险管理和内部控制</t>
        </is>
      </c>
      <c r="E511" t="inlineStr">
        <is>
          <t>WXG风控中心</t>
        </is>
      </c>
      <c r="G511" t="inlineStr">
        <is>
          <t>S2职能系统－财经线/风险管理和内部控制/WXG风控中心</t>
        </is>
      </c>
      <c r="H511" s="188" t="n">
        <v>37197</v>
      </c>
      <c r="I511" t="inlineStr">
        <is>
          <t>高校招聘</t>
        </is>
      </c>
      <c r="J511" t="inlineStr">
        <is>
          <t>财经类－FN</t>
        </is>
      </c>
      <c r="K511" t="inlineStr">
        <is>
          <t>风险管理</t>
        </is>
      </c>
      <c r="M511" t="inlineStr">
        <is>
          <t>L2-1</t>
        </is>
      </c>
      <c r="N511" t="inlineStr">
        <is>
          <t>Others</t>
        </is>
      </c>
      <c r="Q511" t="inlineStr">
        <is>
          <t>O,G</t>
        </is>
      </c>
      <c r="U511" t="n">
        <v>46349.15</v>
      </c>
      <c r="V511" t="n">
        <v>0.083333</v>
      </c>
      <c r="W511" t="inlineStr">
        <is>
          <t>CNY</t>
        </is>
      </c>
      <c r="X511" t="n">
        <v>1</v>
      </c>
      <c r="Y511" t="n">
        <v>44254.49</v>
      </c>
      <c r="Z511" t="n">
        <v>0</v>
      </c>
      <c r="AA511" t="n">
        <v>139047.45</v>
      </c>
      <c r="AB511" t="n">
        <v>29785</v>
      </c>
      <c r="AC511" t="n">
        <v>0</v>
      </c>
      <c r="AF511" t="n">
        <v>26440</v>
      </c>
      <c r="AG511" t="n">
        <v>168832.45</v>
      </c>
      <c r="AH511" t="n">
        <v>3.815035491313989</v>
      </c>
      <c r="AI511" t="n">
        <v>195272.45</v>
      </c>
      <c r="AJ511" t="n">
        <v>4.412488992642329</v>
      </c>
      <c r="AK511" t="n">
        <v>4.412488992642329</v>
      </c>
      <c r="AQ511" t="n">
        <v>195272.45</v>
      </c>
      <c r="AR511" t="n">
        <v>4.412488992642329</v>
      </c>
      <c r="AS511" t="n">
        <v>2.211716502435157</v>
      </c>
      <c r="BL511" t="n">
        <v>1</v>
      </c>
      <c r="BM511" t="n">
        <v>40295</v>
      </c>
      <c r="BN511" t="n">
        <v>0</v>
      </c>
      <c r="BO511" t="n">
        <v>40590</v>
      </c>
      <c r="BP511" t="inlineStr">
        <is>
          <t>U,G</t>
        </is>
      </c>
      <c r="BQ511" t="inlineStr">
        <is>
          <t>Others</t>
        </is>
      </c>
      <c r="BR511" t="n">
        <v>88290</v>
      </c>
      <c r="BS511" t="n">
        <v>2.191090706042933</v>
      </c>
      <c r="BT511" t="n">
        <v>0</v>
      </c>
      <c r="BU511" t="n">
        <v>88290</v>
      </c>
      <c r="BV511" t="n">
        <v>2.191090706042933</v>
      </c>
      <c r="BY511" t="n">
        <v>88290</v>
      </c>
      <c r="BZ511" t="n">
        <v>2.191090706042933</v>
      </c>
      <c r="CP511" t="inlineStr">
        <is>
          <t>风险管理和内部控制</t>
        </is>
      </c>
      <c r="CQ511" t="inlineStr">
        <is>
          <t>5,3</t>
        </is>
      </c>
      <c r="CR511" t="inlineStr">
        <is>
          <t>L2-1</t>
        </is>
      </c>
      <c r="CS511" t="inlineStr">
        <is>
          <t>Others</t>
        </is>
      </c>
      <c r="CT511" t="inlineStr">
        <is>
          <t>N</t>
        </is>
      </c>
    </row>
    <row r="512">
      <c r="A512" t="inlineStr">
        <is>
          <t>judyHe(何曼)</t>
        </is>
      </c>
      <c r="C512" t="n">
        <v>34374074</v>
      </c>
      <c r="D512" t="inlineStr">
        <is>
          <t>在线视频财务管理中心</t>
        </is>
      </c>
      <c r="E512" t="inlineStr">
        <is>
          <t>OVB长视频财务管理组</t>
        </is>
      </c>
      <c r="G512" t="inlineStr">
        <is>
          <t>S2职能系统－财经线/在线视频财务管理中心/OVB长视频财务管理组</t>
        </is>
      </c>
      <c r="H512" s="188" t="n">
        <v>42250</v>
      </c>
      <c r="I512" t="inlineStr">
        <is>
          <t>社会招聘</t>
        </is>
      </c>
      <c r="J512" t="inlineStr">
        <is>
          <t>财经类－FN</t>
        </is>
      </c>
      <c r="K512" t="inlineStr">
        <is>
          <t>财务管理</t>
        </is>
      </c>
      <c r="L512" t="inlineStr">
        <is>
          <t>S9</t>
        </is>
      </c>
      <c r="N512" t="inlineStr">
        <is>
          <t>T1</t>
        </is>
      </c>
      <c r="Q512" t="inlineStr">
        <is>
          <t>G,U</t>
        </is>
      </c>
      <c r="U512" t="n">
        <v>45220.05</v>
      </c>
      <c r="V512" t="n">
        <v>0.083333</v>
      </c>
      <c r="W512" t="inlineStr">
        <is>
          <t>CNY</t>
        </is>
      </c>
      <c r="X512" t="n">
        <v>1</v>
      </c>
      <c r="Y512" t="n">
        <v>41586.47</v>
      </c>
      <c r="Z512" t="n">
        <v>0</v>
      </c>
      <c r="AA512" t="n">
        <v>45220.05</v>
      </c>
      <c r="AB512" t="n">
        <v>112085</v>
      </c>
      <c r="AC512" t="n">
        <v>0</v>
      </c>
      <c r="AF512" t="n">
        <v>0</v>
      </c>
      <c r="AG512" t="n">
        <v>157305.05</v>
      </c>
      <c r="AH512" t="n">
        <v>3.782601649045951</v>
      </c>
      <c r="AI512" t="n">
        <v>157305.05</v>
      </c>
      <c r="AJ512" t="n">
        <v>3.782601649045951</v>
      </c>
      <c r="AK512" t="n">
        <v>3.782601649045951</v>
      </c>
      <c r="AQ512" t="n">
        <v>157305.05</v>
      </c>
      <c r="AR512" t="n">
        <v>3.782601649045951</v>
      </c>
      <c r="AS512" t="n">
        <v>0.817763828238719</v>
      </c>
      <c r="BL512" t="n">
        <v>1</v>
      </c>
      <c r="BM512" t="n">
        <v>40125</v>
      </c>
      <c r="BN512" t="n">
        <v>0</v>
      </c>
      <c r="BO512" t="n">
        <v>41110</v>
      </c>
      <c r="BP512" t="inlineStr">
        <is>
          <t>G,G</t>
        </is>
      </c>
      <c r="BQ512" t="inlineStr">
        <is>
          <t>T1</t>
        </is>
      </c>
      <c r="BR512" t="n">
        <v>143345</v>
      </c>
      <c r="BS512" t="n">
        <v>3.572461059190031</v>
      </c>
      <c r="BT512" t="n">
        <v>49015</v>
      </c>
      <c r="BU512" t="n">
        <v>192360</v>
      </c>
      <c r="BV512" t="n">
        <v>4.794018691588785</v>
      </c>
      <c r="BY512" t="n">
        <v>192360</v>
      </c>
      <c r="BZ512" t="n">
        <v>4.794018691588785</v>
      </c>
      <c r="CP512" t="inlineStr">
        <is>
          <t>在线视频财务管理中心</t>
        </is>
      </c>
      <c r="CQ512" t="inlineStr">
        <is>
          <t>3,1</t>
        </is>
      </c>
      <c r="CR512" t="n">
        <v>9</v>
      </c>
      <c r="CS512" t="inlineStr">
        <is>
          <t>T1</t>
        </is>
      </c>
      <c r="CT512" t="inlineStr">
        <is>
          <t>N</t>
        </is>
      </c>
    </row>
    <row r="513">
      <c r="A513" t="inlineStr">
        <is>
          <t>geraldLiang(梁刚哲)</t>
        </is>
      </c>
      <c r="C513" t="n">
        <v>33587120</v>
      </c>
      <c r="D513" t="inlineStr">
        <is>
          <t>财经IT管理部</t>
        </is>
      </c>
      <c r="E513" t="inlineStr">
        <is>
          <t>公共支持中心</t>
        </is>
      </c>
      <c r="G513" t="inlineStr">
        <is>
          <t>S2职能系统－财经线/财经IT管理部/公共支持中心</t>
        </is>
      </c>
      <c r="H513" s="188" t="n">
        <v>43049</v>
      </c>
      <c r="I513" t="inlineStr">
        <is>
          <t>社会招聘</t>
        </is>
      </c>
      <c r="J513" t="inlineStr">
        <is>
          <t>技术研发类－TRD</t>
        </is>
      </c>
      <c r="K513" t="inlineStr">
        <is>
          <t>应用开发</t>
        </is>
      </c>
      <c r="L513" t="inlineStr">
        <is>
          <t>T10</t>
        </is>
      </c>
      <c r="N513" t="inlineStr">
        <is>
          <t>T2</t>
        </is>
      </c>
      <c r="Q513" t="inlineStr">
        <is>
          <t>G,G</t>
        </is>
      </c>
      <c r="U513" t="n">
        <v>43421.2</v>
      </c>
      <c r="V513" t="n">
        <v>0.083333</v>
      </c>
      <c r="W513" t="inlineStr">
        <is>
          <t>CNY</t>
        </is>
      </c>
      <c r="X513" t="n">
        <v>1</v>
      </c>
      <c r="Y513" t="n">
        <v>42275.29</v>
      </c>
      <c r="Z513" t="n">
        <v>0</v>
      </c>
      <c r="AA513" t="n">
        <v>86842.39999999999</v>
      </c>
      <c r="AB513" t="n">
        <v>54565</v>
      </c>
      <c r="AC513" t="n">
        <v>0</v>
      </c>
      <c r="AF513" t="n">
        <v>0</v>
      </c>
      <c r="AG513" t="n">
        <v>141407.4</v>
      </c>
      <c r="AH513" t="n">
        <v>3.344918509133822</v>
      </c>
      <c r="AI513" t="n">
        <v>141407.4</v>
      </c>
      <c r="AJ513" t="n">
        <v>3.344918509133822</v>
      </c>
      <c r="AK513" t="n">
        <v>3.344918509133822</v>
      </c>
      <c r="AQ513" t="n">
        <v>141407.4</v>
      </c>
      <c r="AR513" t="n">
        <v>3.344918509133822</v>
      </c>
      <c r="AS513" t="n">
        <v>0.8423876329193101</v>
      </c>
      <c r="BL513" t="n">
        <v>1</v>
      </c>
      <c r="BM513" t="n">
        <v>37310</v>
      </c>
      <c r="BN513" t="n">
        <v>0</v>
      </c>
      <c r="BO513" t="n">
        <v>39965</v>
      </c>
      <c r="BP513" t="inlineStr">
        <is>
          <t>G,O</t>
        </is>
      </c>
      <c r="BQ513" t="inlineStr">
        <is>
          <t>T2</t>
        </is>
      </c>
      <c r="BR513" t="n">
        <v>167865</v>
      </c>
      <c r="BS513" t="n">
        <v>4.499195926025195</v>
      </c>
      <c r="BT513" t="n">
        <v>0</v>
      </c>
      <c r="BU513" t="n">
        <v>167865</v>
      </c>
      <c r="BV513" t="n">
        <v>4.499195926025195</v>
      </c>
      <c r="BY513" t="n">
        <v>167865</v>
      </c>
      <c r="BZ513" t="n">
        <v>4.499195926025195</v>
      </c>
      <c r="CP513" t="inlineStr">
        <is>
          <t>财经IT管理部</t>
        </is>
      </c>
      <c r="CQ513" t="inlineStr">
        <is>
          <t>3,3</t>
        </is>
      </c>
      <c r="CR513" t="n">
        <v>10</v>
      </c>
      <c r="CS513" t="inlineStr">
        <is>
          <t>T2</t>
        </is>
      </c>
      <c r="CT513" t="inlineStr">
        <is>
          <t>N</t>
        </is>
      </c>
    </row>
    <row r="514">
      <c r="A514" t="inlineStr">
        <is>
          <t>skylarFan(范晴)</t>
        </is>
      </c>
      <c r="C514" t="n">
        <v>45885817</v>
      </c>
      <c r="D514" t="inlineStr">
        <is>
          <t>财会及报告管理部</t>
        </is>
      </c>
      <c r="E514" t="inlineStr">
        <is>
          <t>账务中心</t>
        </is>
      </c>
      <c r="G514" t="inlineStr">
        <is>
          <t>S2职能系统－财经线/财会及报告管理部/账务中心</t>
        </is>
      </c>
      <c r="H514" s="188" t="n">
        <v>45613</v>
      </c>
      <c r="I514" t="inlineStr">
        <is>
          <t>社会招聘</t>
        </is>
      </c>
      <c r="J514" t="inlineStr">
        <is>
          <t>财经类－FN</t>
        </is>
      </c>
      <c r="K514" t="inlineStr">
        <is>
          <t>会计</t>
        </is>
      </c>
      <c r="L514" t="inlineStr">
        <is>
          <t>S8</t>
        </is>
      </c>
      <c r="N514" t="inlineStr">
        <is>
          <t>T1</t>
        </is>
      </c>
      <c r="Q514" t="inlineStr">
        <is>
          <t>N,N</t>
        </is>
      </c>
      <c r="U514" t="n">
        <v>45632.6</v>
      </c>
      <c r="V514" t="n">
        <v>0.083333</v>
      </c>
      <c r="W514" t="inlineStr">
        <is>
          <t>CNY</t>
        </is>
      </c>
      <c r="X514" t="n">
        <v>0.120548</v>
      </c>
      <c r="Y514" t="n">
        <v>45632.6</v>
      </c>
      <c r="Z514" t="n">
        <v>0</v>
      </c>
      <c r="AA514" t="n">
        <v>5500.92</v>
      </c>
      <c r="AB514" t="n">
        <v>0</v>
      </c>
      <c r="AC514" t="n">
        <v>0</v>
      </c>
      <c r="AF514" t="n">
        <v>0</v>
      </c>
      <c r="AG514" t="n">
        <v>5500.92</v>
      </c>
      <c r="AH514" t="n">
        <v>0.1205480292597836</v>
      </c>
      <c r="AI514" t="n">
        <v>5500.92</v>
      </c>
      <c r="AJ514" t="n">
        <v>0.1205480292597836</v>
      </c>
      <c r="AK514" t="n">
        <v>0.1205480292597836</v>
      </c>
      <c r="AQ514" t="n">
        <v>5500.92</v>
      </c>
      <c r="AR514" t="n">
        <v>0.1205480292597836</v>
      </c>
      <c r="BM514" t="n">
        <v>0</v>
      </c>
      <c r="BN514" t="n">
        <v>0</v>
      </c>
      <c r="BO514" t="n">
        <v>0</v>
      </c>
      <c r="BR514" t="n">
        <v>0</v>
      </c>
      <c r="BT514" t="n">
        <v>0</v>
      </c>
      <c r="BU514" t="n">
        <v>0</v>
      </c>
      <c r="BY514" t="n">
        <v>0</v>
      </c>
      <c r="CP514" t="inlineStr">
        <is>
          <t>财会及报告管理部</t>
        </is>
      </c>
      <c r="CR514" t="n">
        <v>8</v>
      </c>
      <c r="CS514" t="inlineStr">
        <is>
          <t>T1</t>
        </is>
      </c>
      <c r="CT514" t="inlineStr">
        <is>
          <t>N</t>
        </is>
      </c>
    </row>
    <row r="515">
      <c r="A515" t="inlineStr">
        <is>
          <t>loganChen(陈豪)</t>
        </is>
      </c>
      <c r="C515" t="n">
        <v>55310147</v>
      </c>
      <c r="D515" t="inlineStr">
        <is>
          <t>税务部</t>
        </is>
      </c>
      <c r="E515" t="inlineStr">
        <is>
          <t>印章及文档管理组</t>
        </is>
      </c>
      <c r="G515" t="inlineStr">
        <is>
          <t>S2职能系统－财经线/税务部/印章及文档管理组</t>
        </is>
      </c>
      <c r="H515" s="188" t="n">
        <v>37367</v>
      </c>
      <c r="I515" t="inlineStr">
        <is>
          <t>社会招聘</t>
        </is>
      </c>
      <c r="J515" t="inlineStr">
        <is>
          <t>财经类－FN</t>
        </is>
      </c>
      <c r="K515" t="inlineStr">
        <is>
          <t>税务</t>
        </is>
      </c>
      <c r="L515" t="inlineStr">
        <is>
          <t>S8</t>
        </is>
      </c>
      <c r="N515" t="inlineStr">
        <is>
          <t>T1</t>
        </is>
      </c>
      <c r="Q515" t="inlineStr">
        <is>
          <t>G,O</t>
        </is>
      </c>
      <c r="U515" t="n">
        <v>36153.7</v>
      </c>
      <c r="V515" t="n">
        <v>0.083333</v>
      </c>
      <c r="W515" t="inlineStr">
        <is>
          <t>CNY</t>
        </is>
      </c>
      <c r="X515" t="n">
        <v>1</v>
      </c>
      <c r="Y515" t="n">
        <v>33528.51</v>
      </c>
      <c r="Z515" t="n">
        <v>0</v>
      </c>
      <c r="AA515" t="n">
        <v>108461.1</v>
      </c>
      <c r="AB515" t="n">
        <v>83605</v>
      </c>
      <c r="AC515" t="n">
        <v>65375</v>
      </c>
      <c r="AF515" t="n">
        <v>0</v>
      </c>
      <c r="AG515" t="n">
        <v>257441.1</v>
      </c>
      <c r="AH515" t="n">
        <v>7.678274399906229</v>
      </c>
      <c r="AI515" t="n">
        <v>257441.1</v>
      </c>
      <c r="AJ515" t="n">
        <v>7.678274399906229</v>
      </c>
      <c r="AK515" t="n">
        <v>5.728441257902603</v>
      </c>
      <c r="AQ515" t="n">
        <v>257441.1</v>
      </c>
      <c r="AR515" t="n">
        <v>7.678274399906229</v>
      </c>
      <c r="AS515" t="n">
        <v>1.472564564564565</v>
      </c>
      <c r="BL515" t="n">
        <v>1</v>
      </c>
      <c r="BM515" t="n">
        <v>32165</v>
      </c>
      <c r="BN515" t="n">
        <v>0</v>
      </c>
      <c r="BO515" t="n">
        <v>34350</v>
      </c>
      <c r="BP515" t="inlineStr">
        <is>
          <t>G,G</t>
        </is>
      </c>
      <c r="BQ515" t="inlineStr">
        <is>
          <t>T1</t>
        </is>
      </c>
      <c r="BR515" t="n">
        <v>110820</v>
      </c>
      <c r="BS515" t="n">
        <v>3.445359863205347</v>
      </c>
      <c r="BT515" t="n">
        <v>64005</v>
      </c>
      <c r="BU515" t="n">
        <v>174825</v>
      </c>
      <c r="BV515" t="n">
        <v>5.435255712731229</v>
      </c>
      <c r="BY515" t="n">
        <v>174825</v>
      </c>
      <c r="BZ515" t="n">
        <v>5.435255712731229</v>
      </c>
      <c r="CP515" t="inlineStr">
        <is>
          <t>税务部</t>
        </is>
      </c>
      <c r="CQ515" t="inlineStr">
        <is>
          <t>5,3</t>
        </is>
      </c>
      <c r="CR515" t="n">
        <v>8</v>
      </c>
      <c r="CS515" t="inlineStr">
        <is>
          <t>T1</t>
        </is>
      </c>
      <c r="CT515" t="inlineStr">
        <is>
          <t>N</t>
        </is>
      </c>
    </row>
    <row r="516">
      <c r="A516" t="inlineStr">
        <is>
          <t>jerryYan(严成)</t>
        </is>
      </c>
      <c r="C516" t="n">
        <v>94388175</v>
      </c>
      <c r="D516" t="inlineStr">
        <is>
          <t>财经IT管理部</t>
        </is>
      </c>
      <c r="E516" t="inlineStr">
        <is>
          <t>国际业务支持中心</t>
        </is>
      </c>
      <c r="G516" t="inlineStr">
        <is>
          <t>S2职能系统－财经线/财经IT管理部/国际业务支持中心</t>
        </is>
      </c>
      <c r="H516" s="188" t="n">
        <v>44857</v>
      </c>
      <c r="I516" t="inlineStr">
        <is>
          <t>社会招聘</t>
        </is>
      </c>
      <c r="J516" t="inlineStr">
        <is>
          <t>技术研发类－TRD</t>
        </is>
      </c>
      <c r="K516" t="inlineStr">
        <is>
          <t>应用开发</t>
        </is>
      </c>
      <c r="L516" t="inlineStr">
        <is>
          <t>T7</t>
        </is>
      </c>
      <c r="N516" t="inlineStr">
        <is>
          <t>T2</t>
        </is>
      </c>
      <c r="Q516" t="inlineStr">
        <is>
          <t>O,G</t>
        </is>
      </c>
      <c r="U516" t="n">
        <v>42740.8</v>
      </c>
      <c r="V516" t="n">
        <v>0.083333</v>
      </c>
      <c r="W516" t="inlineStr">
        <is>
          <t>CNY</t>
        </is>
      </c>
      <c r="X516" t="n">
        <v>1</v>
      </c>
      <c r="Y516" t="n">
        <v>41244.85</v>
      </c>
      <c r="Z516" t="n">
        <v>0</v>
      </c>
      <c r="AA516" t="n">
        <v>128222.4</v>
      </c>
      <c r="AB516" t="n">
        <v>54830</v>
      </c>
      <c r="AC516" t="n">
        <v>0</v>
      </c>
      <c r="AF516" t="n">
        <v>0</v>
      </c>
      <c r="AG516" t="n">
        <v>183052.4</v>
      </c>
      <c r="AH516" t="n">
        <v>4.438188040446262</v>
      </c>
      <c r="AI516" t="n">
        <v>183052.4</v>
      </c>
      <c r="AJ516" t="n">
        <v>4.438188040446262</v>
      </c>
      <c r="AK516" t="n">
        <v>4.438188040446262</v>
      </c>
      <c r="AQ516" t="n">
        <v>183052.4</v>
      </c>
      <c r="AR516" t="n">
        <v>4.438188040446262</v>
      </c>
      <c r="AS516" t="n">
        <v>1.484549693848587</v>
      </c>
      <c r="BL516" t="n">
        <v>1</v>
      </c>
      <c r="BM516" t="n">
        <v>34550</v>
      </c>
      <c r="BN516" t="n">
        <v>0</v>
      </c>
      <c r="BO516" t="n">
        <v>37905</v>
      </c>
      <c r="BP516" t="inlineStr">
        <is>
          <t>G,G</t>
        </is>
      </c>
      <c r="BQ516" t="inlineStr">
        <is>
          <t>T2</t>
        </is>
      </c>
      <c r="BR516" t="n">
        <v>123305</v>
      </c>
      <c r="BS516" t="n">
        <v>3.568885672937771</v>
      </c>
      <c r="BT516" t="n">
        <v>0</v>
      </c>
      <c r="BU516" t="n">
        <v>123305</v>
      </c>
      <c r="BV516" t="n">
        <v>3.568885672937771</v>
      </c>
      <c r="BY516" t="n">
        <v>123305</v>
      </c>
      <c r="BZ516" t="n">
        <v>3.568885672937771</v>
      </c>
      <c r="CP516" t="inlineStr">
        <is>
          <t>财经IT管理部</t>
        </is>
      </c>
      <c r="CQ516" t="inlineStr">
        <is>
          <t>5,3</t>
        </is>
      </c>
      <c r="CR516" t="n">
        <v>7</v>
      </c>
      <c r="CS516" t="inlineStr">
        <is>
          <t>T2</t>
        </is>
      </c>
      <c r="CT516" t="inlineStr">
        <is>
          <t>N</t>
        </is>
      </c>
    </row>
    <row r="517">
      <c r="A517" t="inlineStr">
        <is>
          <t>randyJiang(江龙)</t>
        </is>
      </c>
      <c r="C517" t="n">
        <v>46422101</v>
      </c>
      <c r="D517" t="inlineStr">
        <is>
          <t>FiT财务管理</t>
        </is>
      </c>
      <c r="E517" t="inlineStr">
        <is>
          <t>结算支持中心</t>
        </is>
      </c>
      <c r="G517" t="inlineStr">
        <is>
          <t>S2职能系统－财经线/FiT财务管理/结算支持中心</t>
        </is>
      </c>
      <c r="H517" s="188" t="n">
        <v>36423</v>
      </c>
      <c r="I517" t="inlineStr">
        <is>
          <t>社会招聘</t>
        </is>
      </c>
      <c r="J517" t="inlineStr">
        <is>
          <t>财经类－FN</t>
        </is>
      </c>
      <c r="K517" t="inlineStr">
        <is>
          <t>财务管理</t>
        </is>
      </c>
      <c r="L517" t="inlineStr">
        <is>
          <t>S8</t>
        </is>
      </c>
      <c r="N517" t="inlineStr">
        <is>
          <t>T1</t>
        </is>
      </c>
      <c r="Q517" t="inlineStr">
        <is>
          <t>O,U</t>
        </is>
      </c>
      <c r="U517" t="n">
        <v>47858</v>
      </c>
      <c r="V517" t="n">
        <v>0.083333</v>
      </c>
      <c r="W517" t="inlineStr">
        <is>
          <t>CNY</t>
        </is>
      </c>
      <c r="X517" t="n">
        <v>1</v>
      </c>
      <c r="Y517" t="n">
        <v>45205.59</v>
      </c>
      <c r="Z517" t="n">
        <v>0</v>
      </c>
      <c r="AA517" t="n">
        <v>95716</v>
      </c>
      <c r="AB517" t="n">
        <v>98925</v>
      </c>
      <c r="AC517" t="n">
        <v>0</v>
      </c>
      <c r="AF517" t="n">
        <v>0</v>
      </c>
      <c r="AG517" t="n">
        <v>194641</v>
      </c>
      <c r="AH517" t="n">
        <v>4.30568431912956</v>
      </c>
      <c r="AI517" t="n">
        <v>194641</v>
      </c>
      <c r="AJ517" t="n">
        <v>4.30568431912956</v>
      </c>
      <c r="AK517" t="n">
        <v>4.30568431912956</v>
      </c>
      <c r="AQ517" t="n">
        <v>194641</v>
      </c>
      <c r="AR517" t="n">
        <v>4.30568431912956</v>
      </c>
      <c r="AS517" t="n">
        <v>1.114080476217732</v>
      </c>
      <c r="BL517" t="n">
        <v>1</v>
      </c>
      <c r="BM517" t="n">
        <v>40340</v>
      </c>
      <c r="BN517" t="n">
        <v>0</v>
      </c>
      <c r="BO517" t="n">
        <v>42175</v>
      </c>
      <c r="BP517" t="inlineStr">
        <is>
          <t>G,O</t>
        </is>
      </c>
      <c r="BQ517" t="inlineStr">
        <is>
          <t>T2</t>
        </is>
      </c>
      <c r="BR517" t="n">
        <v>174710</v>
      </c>
      <c r="BS517" t="n">
        <v>4.330937035200793</v>
      </c>
      <c r="BT517" t="n">
        <v>0</v>
      </c>
      <c r="BU517" t="n">
        <v>174710</v>
      </c>
      <c r="BV517" t="n">
        <v>4.330937035200793</v>
      </c>
      <c r="BY517" t="n">
        <v>174710</v>
      </c>
      <c r="BZ517" t="n">
        <v>4.330937035200793</v>
      </c>
      <c r="CP517" t="inlineStr">
        <is>
          <t>FiT财务管理</t>
        </is>
      </c>
      <c r="CQ517" t="inlineStr">
        <is>
          <t>5,1</t>
        </is>
      </c>
      <c r="CR517" t="n">
        <v>8</v>
      </c>
      <c r="CS517" t="inlineStr">
        <is>
          <t>T1</t>
        </is>
      </c>
      <c r="CT517" t="inlineStr">
        <is>
          <t>N</t>
        </is>
      </c>
    </row>
    <row r="518">
      <c r="A518" t="inlineStr">
        <is>
          <t>elenaLiu(刘蓉诗)</t>
        </is>
      </c>
      <c r="C518" t="n">
        <v>14404904</v>
      </c>
      <c r="D518" t="inlineStr">
        <is>
          <t>CSIG财务管理</t>
        </is>
      </c>
      <c r="E518" t="inlineStr">
        <is>
          <t>行业财务管理2中心</t>
        </is>
      </c>
      <c r="G518" t="inlineStr">
        <is>
          <t>S2职能系统－财经线/CSIG财务管理/行业财务管理2中心</t>
        </is>
      </c>
      <c r="H518" s="188" t="n">
        <v>38368</v>
      </c>
      <c r="I518" t="inlineStr">
        <is>
          <t>社会招聘</t>
        </is>
      </c>
      <c r="J518" t="inlineStr">
        <is>
          <t>财经类－FN</t>
        </is>
      </c>
      <c r="K518" t="inlineStr">
        <is>
          <t>财务管理</t>
        </is>
      </c>
      <c r="L518" t="inlineStr">
        <is>
          <t>S6</t>
        </is>
      </c>
      <c r="N518" t="inlineStr">
        <is>
          <t>Others</t>
        </is>
      </c>
      <c r="Q518" t="inlineStr">
        <is>
          <t>O,G</t>
        </is>
      </c>
      <c r="U518" t="n">
        <v>22043.5</v>
      </c>
      <c r="V518" t="n">
        <v>0.083333</v>
      </c>
      <c r="W518" t="inlineStr">
        <is>
          <t>CNY</t>
        </is>
      </c>
      <c r="X518" t="n">
        <v>1</v>
      </c>
      <c r="Y518" t="n">
        <v>20208.5</v>
      </c>
      <c r="Z518" t="n">
        <v>0</v>
      </c>
      <c r="AA518" t="n">
        <v>66130.5</v>
      </c>
      <c r="AB518" t="n">
        <v>18980</v>
      </c>
      <c r="AC518" t="n">
        <v>0</v>
      </c>
      <c r="AF518" t="n">
        <v>0</v>
      </c>
      <c r="AG518" t="n">
        <v>85110.5</v>
      </c>
      <c r="AH518" t="n">
        <v>4.211618873246406</v>
      </c>
      <c r="AI518" t="n">
        <v>85110.5</v>
      </c>
      <c r="AJ518" t="n">
        <v>4.211618873246406</v>
      </c>
      <c r="AK518" t="n">
        <v>4.211618873246406</v>
      </c>
      <c r="AQ518" t="n">
        <v>85110.5</v>
      </c>
      <c r="AR518" t="n">
        <v>4.211618873246406</v>
      </c>
      <c r="AS518" t="n">
        <v>1.291803900736131</v>
      </c>
      <c r="BL518" t="n">
        <v>1</v>
      </c>
      <c r="BM518" t="n">
        <v>18655</v>
      </c>
      <c r="BN518" t="n">
        <v>0</v>
      </c>
      <c r="BO518" t="n">
        <v>19140</v>
      </c>
      <c r="BP518" t="inlineStr">
        <is>
          <t>G,G</t>
        </is>
      </c>
      <c r="BQ518" t="inlineStr">
        <is>
          <t>Others</t>
        </is>
      </c>
      <c r="BR518" t="n">
        <v>65885</v>
      </c>
      <c r="BS518" t="n">
        <v>3.531760922004824</v>
      </c>
      <c r="BT518" t="n">
        <v>0</v>
      </c>
      <c r="BU518" t="n">
        <v>65885</v>
      </c>
      <c r="BV518" t="n">
        <v>3.531760922004824</v>
      </c>
      <c r="BY518" t="n">
        <v>65885</v>
      </c>
      <c r="BZ518" t="n">
        <v>3.531760922004824</v>
      </c>
      <c r="CP518" t="inlineStr">
        <is>
          <t>CSIG财务管理</t>
        </is>
      </c>
      <c r="CQ518" t="inlineStr">
        <is>
          <t>5,3</t>
        </is>
      </c>
      <c r="CR518" t="n">
        <v>6</v>
      </c>
      <c r="CS518" t="inlineStr">
        <is>
          <t>Others</t>
        </is>
      </c>
      <c r="CT518" t="inlineStr">
        <is>
          <t>N</t>
        </is>
      </c>
    </row>
    <row r="519">
      <c r="A519" t="inlineStr">
        <is>
          <t>roseYe(叶英)</t>
        </is>
      </c>
      <c r="C519" t="n">
        <v>56477306</v>
      </c>
      <c r="D519" t="inlineStr">
        <is>
          <t>PCG财务管理</t>
        </is>
      </c>
      <c r="E519" t="inlineStr">
        <is>
          <t>新闻财务管理组</t>
        </is>
      </c>
      <c r="G519" t="inlineStr">
        <is>
          <t>S2职能系统－财经线/PCG财务管理/新闻财务管理组</t>
        </is>
      </c>
      <c r="H519" s="188" t="n">
        <v>41718</v>
      </c>
      <c r="I519" t="inlineStr">
        <is>
          <t>社会招聘</t>
        </is>
      </c>
      <c r="J519" t="inlineStr">
        <is>
          <t>财经类－FN</t>
        </is>
      </c>
      <c r="K519" t="inlineStr">
        <is>
          <t>财务管理</t>
        </is>
      </c>
      <c r="L519" t="inlineStr">
        <is>
          <t>S8</t>
        </is>
      </c>
      <c r="N519" t="inlineStr">
        <is>
          <t>T1</t>
        </is>
      </c>
      <c r="Q519" t="inlineStr">
        <is>
          <t>G,G</t>
        </is>
      </c>
      <c r="U519" t="n">
        <v>28470.7</v>
      </c>
      <c r="V519" t="n">
        <v>0.083333</v>
      </c>
      <c r="W519" t="inlineStr">
        <is>
          <t>CNY</t>
        </is>
      </c>
      <c r="X519" t="n">
        <v>1</v>
      </c>
      <c r="Y519" t="n">
        <v>26283.23</v>
      </c>
      <c r="Z519" t="n">
        <v>0</v>
      </c>
      <c r="AA519" t="n">
        <v>56941.4</v>
      </c>
      <c r="AB519" t="n">
        <v>60560</v>
      </c>
      <c r="AC519" t="n">
        <v>43570</v>
      </c>
      <c r="AF519" t="n">
        <v>0</v>
      </c>
      <c r="AG519" t="n">
        <v>161071.4</v>
      </c>
      <c r="AH519" t="n">
        <v>6.128295494884</v>
      </c>
      <c r="AI519" t="n">
        <v>161071.4</v>
      </c>
      <c r="AJ519" t="n">
        <v>6.128295494884</v>
      </c>
      <c r="AK519" t="n">
        <v>4.470584475347969</v>
      </c>
      <c r="AQ519" t="n">
        <v>161071.4</v>
      </c>
      <c r="AR519" t="n">
        <v>6.128295494884</v>
      </c>
      <c r="AS519" t="n">
        <v>2.490666460491727</v>
      </c>
      <c r="BL519" t="n">
        <v>1</v>
      </c>
      <c r="BM519" t="n">
        <v>25140</v>
      </c>
      <c r="BN519" t="n">
        <v>0</v>
      </c>
      <c r="BO519" t="n">
        <v>26220</v>
      </c>
      <c r="BP519" t="inlineStr">
        <is>
          <t>U,G</t>
        </is>
      </c>
      <c r="BQ519" t="inlineStr">
        <is>
          <t>T1</t>
        </is>
      </c>
      <c r="BR519" t="n">
        <v>64670</v>
      </c>
      <c r="BS519" t="n">
        <v>2.572394590294352</v>
      </c>
      <c r="BT519" t="n">
        <v>0</v>
      </c>
      <c r="BU519" t="n">
        <v>64670</v>
      </c>
      <c r="BV519" t="n">
        <v>2.572394590294352</v>
      </c>
      <c r="BY519" t="n">
        <v>64670</v>
      </c>
      <c r="BZ519" t="n">
        <v>2.572394590294352</v>
      </c>
      <c r="CP519" t="inlineStr">
        <is>
          <t>PCG财务管理</t>
        </is>
      </c>
      <c r="CQ519" t="inlineStr">
        <is>
          <t>3,3</t>
        </is>
      </c>
      <c r="CR519" t="n">
        <v>8</v>
      </c>
      <c r="CS519" t="inlineStr">
        <is>
          <t>T1</t>
        </is>
      </c>
      <c r="CT519" t="inlineStr">
        <is>
          <t>N</t>
        </is>
      </c>
    </row>
    <row r="520">
      <c r="A520" t="inlineStr">
        <is>
          <t>royLong(龙宏炜)</t>
        </is>
      </c>
      <c r="C520" t="n">
        <v>43828729</v>
      </c>
      <c r="D520" t="inlineStr">
        <is>
          <t>IEG财务管理</t>
        </is>
      </c>
      <c r="E520" t="inlineStr">
        <is>
          <t>IEG财务管理</t>
        </is>
      </c>
      <c r="G520" t="inlineStr">
        <is>
          <t>S2职能系统－财经线/IEG财务管理</t>
        </is>
      </c>
      <c r="H520" s="188" t="n">
        <v>41938</v>
      </c>
      <c r="I520" t="inlineStr">
        <is>
          <t>社会招聘</t>
        </is>
      </c>
      <c r="J520" t="inlineStr">
        <is>
          <t>财经类－FN</t>
        </is>
      </c>
      <c r="K520" t="inlineStr">
        <is>
          <t>财务管理</t>
        </is>
      </c>
      <c r="L520" t="inlineStr">
        <is>
          <t>S5</t>
        </is>
      </c>
      <c r="N520" t="inlineStr">
        <is>
          <t>Others</t>
        </is>
      </c>
      <c r="Q520" t="inlineStr">
        <is>
          <t>G,U</t>
        </is>
      </c>
      <c r="U520" t="n">
        <v>17966.75</v>
      </c>
      <c r="V520" t="n">
        <v>0.083333</v>
      </c>
      <c r="W520" t="inlineStr">
        <is>
          <t>CNY</t>
        </is>
      </c>
      <c r="X520" t="n">
        <v>1</v>
      </c>
      <c r="Y520" t="n">
        <v>17733.89</v>
      </c>
      <c r="Z520" t="n">
        <v>0</v>
      </c>
      <c r="AA520" t="n">
        <v>17966.75</v>
      </c>
      <c r="AB520" t="n">
        <v>15490</v>
      </c>
      <c r="AC520" t="n">
        <v>0</v>
      </c>
      <c r="AF520" t="n">
        <v>0</v>
      </c>
      <c r="AG520" t="n">
        <v>33456.75</v>
      </c>
      <c r="AH520" t="n">
        <v>1.886599612380589</v>
      </c>
      <c r="AI520" t="n">
        <v>33456.75</v>
      </c>
      <c r="AJ520" t="n">
        <v>1.886599612380589</v>
      </c>
      <c r="AK520" t="n">
        <v>1.886599612380589</v>
      </c>
      <c r="AQ520" t="n">
        <v>33456.75</v>
      </c>
      <c r="AR520" t="n">
        <v>1.886599612380589</v>
      </c>
      <c r="AS520" t="n">
        <v>0.4523627636560303</v>
      </c>
      <c r="BL520" t="n">
        <v>1</v>
      </c>
      <c r="BM520" t="n">
        <v>15770</v>
      </c>
      <c r="BN520" t="n">
        <v>0</v>
      </c>
      <c r="BO520" t="n">
        <v>16670</v>
      </c>
      <c r="BP520" t="inlineStr">
        <is>
          <t>O,G</t>
        </is>
      </c>
      <c r="BQ520" t="inlineStr">
        <is>
          <t>Others</t>
        </is>
      </c>
      <c r="BR520" t="n">
        <v>73960</v>
      </c>
      <c r="BS520" t="n">
        <v>4.689917564996829</v>
      </c>
      <c r="BT520" t="n">
        <v>0</v>
      </c>
      <c r="BU520" t="n">
        <v>73960</v>
      </c>
      <c r="BV520" t="n">
        <v>4.689917564996829</v>
      </c>
      <c r="BY520" t="n">
        <v>73960</v>
      </c>
      <c r="BZ520" t="n">
        <v>4.689917564996829</v>
      </c>
      <c r="CP520" t="inlineStr">
        <is>
          <t>IEG财务管理</t>
        </is>
      </c>
      <c r="CQ520" t="inlineStr">
        <is>
          <t>3,1</t>
        </is>
      </c>
      <c r="CR520" t="n">
        <v>5</v>
      </c>
      <c r="CS520" t="inlineStr">
        <is>
          <t>Others</t>
        </is>
      </c>
      <c r="CT520" t="inlineStr">
        <is>
          <t>N</t>
        </is>
      </c>
    </row>
    <row r="521">
      <c r="A521" t="inlineStr">
        <is>
          <t>dylanHong(洪恒)</t>
        </is>
      </c>
      <c r="C521" t="n">
        <v>64275162</v>
      </c>
      <c r="D521" t="inlineStr">
        <is>
          <t>WXG财务管理</t>
        </is>
      </c>
      <c r="E521" t="inlineStr">
        <is>
          <t>微信支付财务管理中心</t>
        </is>
      </c>
      <c r="G521" t="inlineStr">
        <is>
          <t>S2职能系统－财经线/WXG财务管理/微信支付财务管理中心</t>
        </is>
      </c>
      <c r="H521" s="188" t="n">
        <v>45629</v>
      </c>
      <c r="I521" t="inlineStr">
        <is>
          <t>社会招聘</t>
        </is>
      </c>
      <c r="J521" t="inlineStr">
        <is>
          <t>财经类－FN</t>
        </is>
      </c>
      <c r="K521" t="inlineStr">
        <is>
          <t>财务管理</t>
        </is>
      </c>
      <c r="L521" t="inlineStr">
        <is>
          <t>S11</t>
        </is>
      </c>
      <c r="N521" t="inlineStr">
        <is>
          <t>T2</t>
        </is>
      </c>
      <c r="Q521" t="inlineStr">
        <is>
          <t>N,N</t>
        </is>
      </c>
      <c r="U521" t="n">
        <v>50654.95</v>
      </c>
      <c r="V521" t="n">
        <v>0.083333</v>
      </c>
      <c r="W521" t="inlineStr">
        <is>
          <t>CNY</t>
        </is>
      </c>
      <c r="X521" t="n">
        <v>0.076712</v>
      </c>
      <c r="Y521" t="n">
        <v>50654.95</v>
      </c>
      <c r="Z521" t="n">
        <v>0</v>
      </c>
      <c r="AA521" t="n">
        <v>3885.84</v>
      </c>
      <c r="AB521" t="n">
        <v>0</v>
      </c>
      <c r="AC521" t="n">
        <v>0</v>
      </c>
      <c r="AF521" t="n">
        <v>0</v>
      </c>
      <c r="AG521" t="n">
        <v>3885.84</v>
      </c>
      <c r="AH521" t="n">
        <v>0.0767119501647914</v>
      </c>
      <c r="AI521" t="n">
        <v>3885.84</v>
      </c>
      <c r="AJ521" t="n">
        <v>0.0767119501647914</v>
      </c>
      <c r="AK521" t="n">
        <v>0.0767119501647914</v>
      </c>
      <c r="AQ521" t="n">
        <v>3885.84</v>
      </c>
      <c r="AR521" t="n">
        <v>0.0767119501647914</v>
      </c>
      <c r="BM521" t="n">
        <v>0</v>
      </c>
      <c r="BN521" t="n">
        <v>0</v>
      </c>
      <c r="BO521" t="n">
        <v>0</v>
      </c>
      <c r="BR521" t="n">
        <v>0</v>
      </c>
      <c r="BT521" t="n">
        <v>0</v>
      </c>
      <c r="BU521" t="n">
        <v>0</v>
      </c>
      <c r="BY521" t="n">
        <v>0</v>
      </c>
      <c r="CP521" t="inlineStr">
        <is>
          <t>WXG财务管理</t>
        </is>
      </c>
      <c r="CR521" t="n">
        <v>11</v>
      </c>
      <c r="CS521" t="inlineStr">
        <is>
          <t>T2</t>
        </is>
      </c>
      <c r="CT521" t="inlineStr">
        <is>
          <t>N</t>
        </is>
      </c>
    </row>
    <row r="522">
      <c r="A522" t="inlineStr">
        <is>
          <t>justinTang(唐卓)</t>
        </is>
      </c>
      <c r="C522" t="n">
        <v>53281378</v>
      </c>
      <c r="D522" t="inlineStr">
        <is>
          <t>资金管理</t>
        </is>
      </c>
      <c r="E522" t="inlineStr">
        <is>
          <t>资金结算及风险控制中心</t>
        </is>
      </c>
      <c r="G522" t="inlineStr">
        <is>
          <t>S2职能系统－财经线/资金管理/资金结算及风险控制中心</t>
        </is>
      </c>
      <c r="H522" s="188" t="n">
        <v>40715</v>
      </c>
      <c r="I522" t="inlineStr">
        <is>
          <t>社会招聘</t>
        </is>
      </c>
      <c r="J522" t="inlineStr">
        <is>
          <t>财经类－FN</t>
        </is>
      </c>
      <c r="K522" t="inlineStr">
        <is>
          <t>资金管理</t>
        </is>
      </c>
      <c r="L522" t="inlineStr">
        <is>
          <t>S9</t>
        </is>
      </c>
      <c r="N522" t="inlineStr">
        <is>
          <t>T1</t>
        </is>
      </c>
      <c r="Q522" t="inlineStr">
        <is>
          <t>G,O</t>
        </is>
      </c>
      <c r="U522" t="n">
        <v>42679.1</v>
      </c>
      <c r="V522" t="n">
        <v>0.083333</v>
      </c>
      <c r="W522" t="inlineStr">
        <is>
          <t>CNY</t>
        </is>
      </c>
      <c r="X522" t="n">
        <v>1</v>
      </c>
      <c r="Y522" t="n">
        <v>40628.31</v>
      </c>
      <c r="Z522" t="n">
        <v>0</v>
      </c>
      <c r="AA522" t="n">
        <v>128037.3</v>
      </c>
      <c r="AB522" t="n">
        <v>101960</v>
      </c>
      <c r="AC522" t="n">
        <v>59850</v>
      </c>
      <c r="AF522" t="n">
        <v>0</v>
      </c>
      <c r="AG522" t="n">
        <v>289847.3</v>
      </c>
      <c r="AH522" t="n">
        <v>7.134121502961851</v>
      </c>
      <c r="AI522" t="n">
        <v>289847.3</v>
      </c>
      <c r="AJ522" t="n">
        <v>7.134121502961851</v>
      </c>
      <c r="AK522" t="n">
        <v>5.661010758261911</v>
      </c>
      <c r="AQ522" t="n">
        <v>289847.3</v>
      </c>
      <c r="AR522" t="n">
        <v>7.134121502961851</v>
      </c>
      <c r="AS522" t="n">
        <v>3.670346967202735</v>
      </c>
      <c r="BL522" t="n">
        <v>1</v>
      </c>
      <c r="BM522" t="n">
        <v>37050</v>
      </c>
      <c r="BN522" t="n">
        <v>0</v>
      </c>
      <c r="BO522" t="n">
        <v>37220</v>
      </c>
      <c r="BP522" t="inlineStr">
        <is>
          <t>G,U</t>
        </is>
      </c>
      <c r="BQ522" t="inlineStr">
        <is>
          <t>T1</t>
        </is>
      </c>
      <c r="BR522" t="n">
        <v>78970</v>
      </c>
      <c r="BS522" t="n">
        <v>2.131443994601889</v>
      </c>
      <c r="BT522" t="n">
        <v>0</v>
      </c>
      <c r="BU522" t="n">
        <v>78970</v>
      </c>
      <c r="BV522" t="n">
        <v>2.131443994601889</v>
      </c>
      <c r="BY522" t="n">
        <v>78970</v>
      </c>
      <c r="BZ522" t="n">
        <v>2.131443994601889</v>
      </c>
      <c r="CP522" t="inlineStr">
        <is>
          <t>资金管理</t>
        </is>
      </c>
      <c r="CQ522" t="inlineStr">
        <is>
          <t>5,3</t>
        </is>
      </c>
      <c r="CR522" t="n">
        <v>9</v>
      </c>
      <c r="CS522" t="inlineStr">
        <is>
          <t>T1</t>
        </is>
      </c>
      <c r="CT522" t="inlineStr">
        <is>
          <t>N</t>
        </is>
      </c>
    </row>
    <row r="523">
      <c r="A523" t="inlineStr">
        <is>
          <t>austinGong(龚龙)</t>
        </is>
      </c>
      <c r="C523" t="n">
        <v>76991687</v>
      </c>
      <c r="D523" t="inlineStr">
        <is>
          <t>财经IT管理部</t>
        </is>
      </c>
      <c r="E523" t="inlineStr">
        <is>
          <t>公共支持中心</t>
        </is>
      </c>
      <c r="G523" t="inlineStr">
        <is>
          <t>S2职能系统－财经线/财经IT管理部/公共支持中心</t>
        </is>
      </c>
      <c r="H523" s="188" t="n">
        <v>38446</v>
      </c>
      <c r="I523" t="inlineStr">
        <is>
          <t>社会招聘</t>
        </is>
      </c>
      <c r="J523" t="inlineStr">
        <is>
          <t>技术研发类－TRD</t>
        </is>
      </c>
      <c r="K523" t="inlineStr">
        <is>
          <t>应用开发</t>
        </is>
      </c>
      <c r="L523" t="inlineStr">
        <is>
          <t>T7</t>
        </is>
      </c>
      <c r="N523" t="inlineStr">
        <is>
          <t>T1#</t>
        </is>
      </c>
      <c r="Q523" t="inlineStr">
        <is>
          <t>G,G</t>
        </is>
      </c>
      <c r="U523" t="n">
        <v>29095.65</v>
      </c>
      <c r="V523" t="n">
        <v>0.083333</v>
      </c>
      <c r="W523" t="inlineStr">
        <is>
          <t>CNY</t>
        </is>
      </c>
      <c r="X523" t="n">
        <v>1</v>
      </c>
      <c r="Y523" t="n">
        <v>28226.53</v>
      </c>
      <c r="Z523" t="n">
        <v>0</v>
      </c>
      <c r="AA523" t="n">
        <v>58191.3</v>
      </c>
      <c r="AB523" t="n">
        <v>92155</v>
      </c>
      <c r="AC523" t="n">
        <v>50100</v>
      </c>
      <c r="AF523" t="n">
        <v>0</v>
      </c>
      <c r="AG523" t="n">
        <v>200446.3</v>
      </c>
      <c r="AH523" t="n">
        <v>7.101344019261312</v>
      </c>
      <c r="AI523" t="n">
        <v>200446.3</v>
      </c>
      <c r="AJ523" t="n">
        <v>7.101344019261312</v>
      </c>
      <c r="AK523" t="n">
        <v>5.326418089648285</v>
      </c>
      <c r="AQ523" t="n">
        <v>200446.3</v>
      </c>
      <c r="AR523" t="n">
        <v>7.101344019261312</v>
      </c>
      <c r="AS523" t="n">
        <v>1.082820408934986</v>
      </c>
      <c r="BL523" t="n">
        <v>1</v>
      </c>
      <c r="BM523" t="n">
        <v>24555</v>
      </c>
      <c r="BN523" t="n">
        <v>0</v>
      </c>
      <c r="BO523" t="n">
        <v>26430</v>
      </c>
      <c r="BP523" t="inlineStr">
        <is>
          <t>G,G</t>
        </is>
      </c>
      <c r="BQ523" t="inlineStr">
        <is>
          <t>T1#</t>
        </is>
      </c>
      <c r="BR523" t="n">
        <v>143720</v>
      </c>
      <c r="BS523" t="n">
        <v>5.852983099165139</v>
      </c>
      <c r="BT523" t="n">
        <v>41395</v>
      </c>
      <c r="BU523" t="n">
        <v>185115</v>
      </c>
      <c r="BV523" t="n">
        <v>7.538790470372633</v>
      </c>
      <c r="BY523" t="n">
        <v>185115</v>
      </c>
      <c r="BZ523" t="n">
        <v>7.538790470372633</v>
      </c>
      <c r="CP523" t="inlineStr">
        <is>
          <t>财经IT管理部</t>
        </is>
      </c>
      <c r="CQ523" t="inlineStr">
        <is>
          <t>3,3</t>
        </is>
      </c>
      <c r="CR523" t="n">
        <v>7</v>
      </c>
      <c r="CS523" t="inlineStr">
        <is>
          <t>T1#</t>
        </is>
      </c>
      <c r="CT523" t="inlineStr">
        <is>
          <t>N</t>
        </is>
      </c>
    </row>
    <row r="524">
      <c r="A524" t="inlineStr">
        <is>
          <t>sophiaLiang(梁霞)</t>
        </is>
      </c>
      <c r="C524" t="n">
        <v>53170147</v>
      </c>
      <c r="D524" t="inlineStr">
        <is>
          <t>财会及报告管理部</t>
        </is>
      </c>
      <c r="E524" t="inlineStr">
        <is>
          <t>供应商支付管理中心</t>
        </is>
      </c>
      <c r="G524" t="inlineStr">
        <is>
          <t>S2职能系统－财经线/财会及报告管理部/供应商支付管理中心</t>
        </is>
      </c>
      <c r="H524" s="188" t="n">
        <v>41389</v>
      </c>
      <c r="I524" t="inlineStr">
        <is>
          <t>社会招聘</t>
        </is>
      </c>
      <c r="J524" t="inlineStr">
        <is>
          <t>财经类－FN</t>
        </is>
      </c>
      <c r="K524" t="inlineStr">
        <is>
          <t>会计</t>
        </is>
      </c>
      <c r="L524" t="inlineStr">
        <is>
          <t>S8</t>
        </is>
      </c>
      <c r="N524" t="inlineStr">
        <is>
          <t>T1#</t>
        </is>
      </c>
      <c r="Q524" t="inlineStr">
        <is>
          <t>O,G</t>
        </is>
      </c>
      <c r="U524" t="n">
        <v>31244.95</v>
      </c>
      <c r="V524" t="n">
        <v>0.083333</v>
      </c>
      <c r="W524" t="inlineStr">
        <is>
          <t>CNY</t>
        </is>
      </c>
      <c r="X524" t="n">
        <v>1</v>
      </c>
      <c r="Y524" t="n">
        <v>30612.78</v>
      </c>
      <c r="Z524" t="n">
        <v>0</v>
      </c>
      <c r="AA524" t="n">
        <v>93734.85000000001</v>
      </c>
      <c r="AB524" t="n">
        <v>98055</v>
      </c>
      <c r="AC524" t="n">
        <v>49390</v>
      </c>
      <c r="AF524" t="n">
        <v>0</v>
      </c>
      <c r="AG524" t="n">
        <v>241179.85</v>
      </c>
      <c r="AH524" t="n">
        <v>7.878404052163836</v>
      </c>
      <c r="AI524" t="n">
        <v>241179.85</v>
      </c>
      <c r="AJ524" t="n">
        <v>7.878404052163836</v>
      </c>
      <c r="AK524" t="n">
        <v>6.265025587352733</v>
      </c>
      <c r="AQ524" t="n">
        <v>241179.85</v>
      </c>
      <c r="AR524" t="n">
        <v>7.878404052163836</v>
      </c>
      <c r="AS524" t="n">
        <v>2.51059022536824</v>
      </c>
      <c r="BL524" t="n">
        <v>1</v>
      </c>
      <c r="BM524" t="n">
        <v>28065</v>
      </c>
      <c r="BN524" t="n">
        <v>0</v>
      </c>
      <c r="BO524" t="n">
        <v>28585</v>
      </c>
      <c r="BP524" t="inlineStr">
        <is>
          <t>O,U</t>
        </is>
      </c>
      <c r="BQ524" t="inlineStr">
        <is>
          <t>Others</t>
        </is>
      </c>
      <c r="BR524" t="n">
        <v>96065</v>
      </c>
      <c r="BS524" t="n">
        <v>3.422946730803492</v>
      </c>
      <c r="BT524" t="n">
        <v>0</v>
      </c>
      <c r="BU524" t="n">
        <v>96065</v>
      </c>
      <c r="BV524" t="n">
        <v>3.422946730803492</v>
      </c>
      <c r="BY524" t="n">
        <v>96065</v>
      </c>
      <c r="BZ524" t="n">
        <v>3.422946730803492</v>
      </c>
      <c r="CP524" t="inlineStr">
        <is>
          <t>财会及报告管理部</t>
        </is>
      </c>
      <c r="CQ524" t="inlineStr">
        <is>
          <t>5,3</t>
        </is>
      </c>
      <c r="CR524" t="n">
        <v>8</v>
      </c>
      <c r="CS524" t="inlineStr">
        <is>
          <t>T1#</t>
        </is>
      </c>
      <c r="CT524" t="inlineStr">
        <is>
          <t>N</t>
        </is>
      </c>
    </row>
    <row r="525">
      <c r="A525" t="inlineStr">
        <is>
          <t>randyDeng(邓天涛)</t>
        </is>
      </c>
      <c r="C525" t="n">
        <v>34088928</v>
      </c>
      <c r="D525" t="inlineStr">
        <is>
          <t>CDG财务管理</t>
        </is>
      </c>
      <c r="E525" t="inlineStr">
        <is>
          <t>子公司财务管理组</t>
        </is>
      </c>
      <c r="G525" t="inlineStr">
        <is>
          <t>S2职能系统－财经线/CDG财务管理/子公司财务管理组</t>
        </is>
      </c>
      <c r="H525" s="188" t="n">
        <v>45297</v>
      </c>
      <c r="I525" t="inlineStr">
        <is>
          <t>社会招聘</t>
        </is>
      </c>
      <c r="J525" t="inlineStr">
        <is>
          <t>财经类－FN</t>
        </is>
      </c>
      <c r="K525" t="inlineStr">
        <is>
          <t>财务管理</t>
        </is>
      </c>
      <c r="L525" t="inlineStr">
        <is>
          <t>S8</t>
        </is>
      </c>
      <c r="N525" t="inlineStr">
        <is>
          <t>T2</t>
        </is>
      </c>
      <c r="Q525" t="inlineStr">
        <is>
          <t>O,O</t>
        </is>
      </c>
      <c r="U525" t="n">
        <v>49035.15</v>
      </c>
      <c r="V525" t="n">
        <v>0.083333</v>
      </c>
      <c r="W525" t="inlineStr">
        <is>
          <t>CNY</t>
        </is>
      </c>
      <c r="X525" t="n">
        <v>0.986301</v>
      </c>
      <c r="Y525" t="n">
        <v>46610.15</v>
      </c>
      <c r="Z525" t="n">
        <v>0</v>
      </c>
      <c r="AA525" t="n">
        <v>48363.42</v>
      </c>
      <c r="AB525" t="n">
        <v>0</v>
      </c>
      <c r="AC525" t="n">
        <v>0</v>
      </c>
      <c r="AF525" t="n">
        <v>0</v>
      </c>
      <c r="AG525" t="n">
        <v>48363.42</v>
      </c>
      <c r="AH525" t="n">
        <v>1.037615626639262</v>
      </c>
      <c r="AI525" t="n">
        <v>48363.42</v>
      </c>
      <c r="AJ525" t="n">
        <v>1.037615626639262</v>
      </c>
      <c r="AK525" t="n">
        <v>1.037615626639262</v>
      </c>
      <c r="AQ525" t="n">
        <v>48363.42</v>
      </c>
      <c r="AR525" t="n">
        <v>1.037615626639262</v>
      </c>
      <c r="BM525" t="n">
        <v>0</v>
      </c>
      <c r="BN525" t="n">
        <v>0</v>
      </c>
      <c r="BO525" t="n">
        <v>0</v>
      </c>
      <c r="BR525" t="n">
        <v>0</v>
      </c>
      <c r="BT525" t="n">
        <v>0</v>
      </c>
      <c r="BU525" t="n">
        <v>0</v>
      </c>
      <c r="BY525" t="n">
        <v>0</v>
      </c>
      <c r="CP525" t="inlineStr">
        <is>
          <t>CDG财务管理</t>
        </is>
      </c>
      <c r="CQ525" t="inlineStr">
        <is>
          <t>5,5</t>
        </is>
      </c>
      <c r="CR525" t="n">
        <v>8</v>
      </c>
      <c r="CS525" t="inlineStr">
        <is>
          <t>T2</t>
        </is>
      </c>
      <c r="CT525" t="inlineStr">
        <is>
          <t>N</t>
        </is>
      </c>
    </row>
    <row r="526">
      <c r="A526" t="inlineStr">
        <is>
          <t>roseYan(阎燕丽)</t>
        </is>
      </c>
      <c r="C526" t="n">
        <v>59957359</v>
      </c>
      <c r="D526" t="inlineStr">
        <is>
          <t>预算及职能系统财务管理部</t>
        </is>
      </c>
      <c r="E526" t="inlineStr">
        <is>
          <t>预算管理中心</t>
        </is>
      </c>
      <c r="G526" t="inlineStr">
        <is>
          <t>S2职能系统－财经线/预算及职能系统财务管理部/预算管理中心</t>
        </is>
      </c>
      <c r="H526" s="188" t="n">
        <v>43723</v>
      </c>
      <c r="I526" t="inlineStr">
        <is>
          <t>社会招聘</t>
        </is>
      </c>
      <c r="J526" t="inlineStr">
        <is>
          <t>财经类－FN</t>
        </is>
      </c>
      <c r="K526" t="inlineStr">
        <is>
          <t>预算管理</t>
        </is>
      </c>
      <c r="L526" t="inlineStr">
        <is>
          <t>S12</t>
        </is>
      </c>
      <c r="M526" t="inlineStr">
        <is>
          <t>L1-2</t>
        </is>
      </c>
      <c r="N526" t="inlineStr">
        <is>
          <t>Others</t>
        </is>
      </c>
      <c r="Q526" t="inlineStr">
        <is>
          <t>U,G</t>
        </is>
      </c>
      <c r="U526" t="n">
        <v>77337.25</v>
      </c>
      <c r="V526" t="n">
        <v>0.083333</v>
      </c>
      <c r="W526" t="inlineStr">
        <is>
          <t>CNY</t>
        </is>
      </c>
      <c r="X526" t="n">
        <v>1</v>
      </c>
      <c r="Y526" t="n">
        <v>74733.83</v>
      </c>
      <c r="Z526" t="n">
        <v>0</v>
      </c>
      <c r="AA526" t="n">
        <v>77337.25</v>
      </c>
      <c r="AB526" t="n">
        <v>41145</v>
      </c>
      <c r="AC526" t="n">
        <v>0</v>
      </c>
      <c r="AF526" t="n">
        <v>54630</v>
      </c>
      <c r="AG526" t="n">
        <v>118482.25</v>
      </c>
      <c r="AH526" t="n">
        <v>1.585389775955548</v>
      </c>
      <c r="AI526" t="n">
        <v>173112.25</v>
      </c>
      <c r="AJ526" t="n">
        <v>2.31638402581535</v>
      </c>
      <c r="AK526" t="n">
        <v>2.31638402581535</v>
      </c>
      <c r="AQ526" t="n">
        <v>173112.25</v>
      </c>
      <c r="AR526" t="n">
        <v>2.31638402581535</v>
      </c>
      <c r="AS526" t="n">
        <v>1.245770365572827</v>
      </c>
      <c r="BL526" t="n">
        <v>1</v>
      </c>
      <c r="BM526" t="n">
        <v>61920</v>
      </c>
      <c r="BN526" t="n">
        <v>0</v>
      </c>
      <c r="BO526" t="n">
        <v>64985</v>
      </c>
      <c r="BP526" t="inlineStr">
        <is>
          <t>U,G</t>
        </is>
      </c>
      <c r="BQ526" t="inlineStr">
        <is>
          <t>Others</t>
        </is>
      </c>
      <c r="BR526" t="n">
        <v>138960</v>
      </c>
      <c r="BS526" t="n">
        <v>2.244186046511628</v>
      </c>
      <c r="BT526" t="n">
        <v>0</v>
      </c>
      <c r="BU526" t="n">
        <v>138960</v>
      </c>
      <c r="BV526" t="n">
        <v>2.244186046511628</v>
      </c>
      <c r="BY526" t="n">
        <v>138960</v>
      </c>
      <c r="BZ526" t="n">
        <v>2.244186046511628</v>
      </c>
      <c r="CP526" t="inlineStr">
        <is>
          <t>预算及职能系统财务管理部</t>
        </is>
      </c>
      <c r="CQ526" t="inlineStr">
        <is>
          <t>3,1</t>
        </is>
      </c>
      <c r="CR526" t="n">
        <v>12</v>
      </c>
      <c r="CS526" t="inlineStr">
        <is>
          <t>Others</t>
        </is>
      </c>
      <c r="CT526" t="inlineStr">
        <is>
          <t>N</t>
        </is>
      </c>
    </row>
    <row r="527">
      <c r="A527" t="inlineStr">
        <is>
          <t>ethanSun(孙松然)</t>
        </is>
      </c>
      <c r="C527" t="n">
        <v>19742818</v>
      </c>
      <c r="D527" t="inlineStr">
        <is>
          <t>FiT财务管理</t>
        </is>
      </c>
      <c r="E527" t="inlineStr">
        <is>
          <t>结算支持中心</t>
        </is>
      </c>
      <c r="G527" t="inlineStr">
        <is>
          <t>S2职能系统－财经线/FiT财务管理/结算支持中心</t>
        </is>
      </c>
      <c r="H527" s="188" t="n">
        <v>45088</v>
      </c>
      <c r="I527" t="inlineStr">
        <is>
          <t>高校招聘</t>
        </is>
      </c>
      <c r="J527" t="inlineStr">
        <is>
          <t>财经类－FN</t>
        </is>
      </c>
      <c r="K527" t="inlineStr">
        <is>
          <t>财务管理</t>
        </is>
      </c>
      <c r="L527" t="inlineStr">
        <is>
          <t>S6</t>
        </is>
      </c>
      <c r="N527" t="inlineStr">
        <is>
          <t>T2</t>
        </is>
      </c>
      <c r="Q527" t="inlineStr">
        <is>
          <t>O,G</t>
        </is>
      </c>
      <c r="U527" t="n">
        <v>22925.55</v>
      </c>
      <c r="V527" t="n">
        <v>0.083333</v>
      </c>
      <c r="W527" t="inlineStr">
        <is>
          <t>CNY</t>
        </is>
      </c>
      <c r="X527" t="n">
        <v>1</v>
      </c>
      <c r="Y527" t="n">
        <v>22348.49</v>
      </c>
      <c r="Z527" t="n">
        <v>0</v>
      </c>
      <c r="AA527" t="n">
        <v>68776.64999999999</v>
      </c>
      <c r="AB527" t="n">
        <v>34025</v>
      </c>
      <c r="AC527" t="n">
        <v>0</v>
      </c>
      <c r="AF527" t="n">
        <v>0</v>
      </c>
      <c r="AG527" t="n">
        <v>102801.65</v>
      </c>
      <c r="AH527" t="n">
        <v>4.599937176963633</v>
      </c>
      <c r="AI527" t="n">
        <v>102801.65</v>
      </c>
      <c r="AJ527" t="n">
        <v>4.599937176963633</v>
      </c>
      <c r="AK527" t="n">
        <v>4.599937176963633</v>
      </c>
      <c r="AQ527" t="n">
        <v>102801.65</v>
      </c>
      <c r="AR527" t="n">
        <v>4.599937176963633</v>
      </c>
      <c r="AS527" t="n">
        <v>9.922939189189188</v>
      </c>
      <c r="BL527" t="n">
        <v>0.556164383561643</v>
      </c>
      <c r="BM527" t="n">
        <v>18620</v>
      </c>
      <c r="BN527" t="n">
        <v>0</v>
      </c>
      <c r="BO527" t="n">
        <v>18630</v>
      </c>
      <c r="BP527" t="inlineStr">
        <is>
          <t>N,G</t>
        </is>
      </c>
      <c r="BQ527" t="inlineStr">
        <is>
          <t>T2</t>
        </is>
      </c>
      <c r="BR527" t="n">
        <v>10360</v>
      </c>
      <c r="BS527" t="n">
        <v>0.556390977443609</v>
      </c>
      <c r="BT527" t="n">
        <v>0</v>
      </c>
      <c r="BU527" t="n">
        <v>10360</v>
      </c>
      <c r="BV527" t="n">
        <v>0.556390977443609</v>
      </c>
      <c r="BY527" t="n">
        <v>10360</v>
      </c>
      <c r="BZ527" t="n">
        <v>0.556390977443609</v>
      </c>
      <c r="CP527" t="inlineStr">
        <is>
          <t>FiT财务管理</t>
        </is>
      </c>
      <c r="CQ527" t="inlineStr">
        <is>
          <t>5,3</t>
        </is>
      </c>
      <c r="CR527" t="n">
        <v>6</v>
      </c>
      <c r="CS527" t="inlineStr">
        <is>
          <t>T2</t>
        </is>
      </c>
      <c r="CT527" t="inlineStr">
        <is>
          <t>N</t>
        </is>
      </c>
    </row>
    <row r="528">
      <c r="A528" t="inlineStr">
        <is>
          <t>lillianCai(蔡素舒)</t>
        </is>
      </c>
      <c r="C528" t="n">
        <v>25569640</v>
      </c>
      <c r="D528" t="inlineStr">
        <is>
          <t>FiT财务管理</t>
        </is>
      </c>
      <c r="E528" t="inlineStr">
        <is>
          <t>结算支持中心</t>
        </is>
      </c>
      <c r="G528" t="inlineStr">
        <is>
          <t>S2职能系统－财经线/FiT财务管理/结算支持中心</t>
        </is>
      </c>
      <c r="H528" s="188" t="n">
        <v>38167</v>
      </c>
      <c r="I528" t="inlineStr">
        <is>
          <t>社会招聘</t>
        </is>
      </c>
      <c r="J528" t="inlineStr">
        <is>
          <t>财经类－FN</t>
        </is>
      </c>
      <c r="K528" t="inlineStr">
        <is>
          <t>财务管理</t>
        </is>
      </c>
      <c r="L528" t="inlineStr">
        <is>
          <t>S7</t>
        </is>
      </c>
      <c r="N528" t="inlineStr">
        <is>
          <t>T1</t>
        </is>
      </c>
      <c r="Q528" t="inlineStr">
        <is>
          <t>U,G</t>
        </is>
      </c>
      <c r="U528" t="n">
        <v>33262.35</v>
      </c>
      <c r="V528" t="n">
        <v>0.083333</v>
      </c>
      <c r="W528" t="inlineStr">
        <is>
          <t>CNY</t>
        </is>
      </c>
      <c r="X528" t="n">
        <v>1</v>
      </c>
      <c r="Y528" t="n">
        <v>31772.38</v>
      </c>
      <c r="Z528" t="n">
        <v>0</v>
      </c>
      <c r="AA528" t="n">
        <v>33262.35</v>
      </c>
      <c r="AB528" t="n">
        <v>69215</v>
      </c>
      <c r="AC528" t="n">
        <v>0</v>
      </c>
      <c r="AF528" t="n">
        <v>0</v>
      </c>
      <c r="AG528" t="n">
        <v>102477.35</v>
      </c>
      <c r="AH528" t="n">
        <v>3.225359573314936</v>
      </c>
      <c r="AI528" t="n">
        <v>102477.35</v>
      </c>
      <c r="AJ528" t="n">
        <v>3.225359573314936</v>
      </c>
      <c r="AK528" t="n">
        <v>3.225359573314936</v>
      </c>
      <c r="AQ528" t="n">
        <v>102477.35</v>
      </c>
      <c r="AR528" t="n">
        <v>3.225359573314936</v>
      </c>
      <c r="AS528" t="n">
        <v>0.6771109055469292</v>
      </c>
      <c r="BL528" t="n">
        <v>1</v>
      </c>
      <c r="BM528" t="n">
        <v>27020</v>
      </c>
      <c r="BN528" t="n">
        <v>0</v>
      </c>
      <c r="BO528" t="n">
        <v>27440</v>
      </c>
      <c r="BP528" t="inlineStr">
        <is>
          <t>O,G</t>
        </is>
      </c>
      <c r="BQ528" t="inlineStr">
        <is>
          <t>T1</t>
        </is>
      </c>
      <c r="BR528" t="n">
        <v>113550</v>
      </c>
      <c r="BS528" t="n">
        <v>4.202442635085122</v>
      </c>
      <c r="BT528" t="n">
        <v>37795</v>
      </c>
      <c r="BU528" t="n">
        <v>151345</v>
      </c>
      <c r="BV528" t="n">
        <v>5.601221317542561</v>
      </c>
      <c r="BY528" t="n">
        <v>151345</v>
      </c>
      <c r="BZ528" t="n">
        <v>5.601221317542561</v>
      </c>
      <c r="CP528" t="inlineStr">
        <is>
          <t>FiT财务管理</t>
        </is>
      </c>
      <c r="CQ528" t="inlineStr">
        <is>
          <t>3,1</t>
        </is>
      </c>
      <c r="CR528" t="n">
        <v>7</v>
      </c>
      <c r="CS528" t="inlineStr">
        <is>
          <t>T1</t>
        </is>
      </c>
      <c r="CT528" t="inlineStr">
        <is>
          <t>N</t>
        </is>
      </c>
    </row>
    <row r="529">
      <c r="A529" t="inlineStr">
        <is>
          <t>jordanLei(雷海嘉)</t>
        </is>
      </c>
      <c r="C529" t="n">
        <v>61812752</v>
      </c>
      <c r="D529" t="inlineStr">
        <is>
          <t>董事会办公室</t>
        </is>
      </c>
      <c r="E529" t="inlineStr">
        <is>
          <t>公司治理财经办公室</t>
        </is>
      </c>
      <c r="G529" t="inlineStr">
        <is>
          <t>S2职能系统－财经线/董事会办公室/公司治理财经办公室</t>
        </is>
      </c>
      <c r="H529" s="188" t="n">
        <v>44879</v>
      </c>
      <c r="I529" t="inlineStr">
        <is>
          <t>社会招聘</t>
        </is>
      </c>
      <c r="J529" t="inlineStr">
        <is>
          <t>财经类－FN</t>
        </is>
      </c>
      <c r="K529" t="inlineStr">
        <is>
          <t>公司秘书</t>
        </is>
      </c>
      <c r="L529" t="inlineStr">
        <is>
          <t>S7</t>
        </is>
      </c>
      <c r="N529" t="inlineStr">
        <is>
          <t>Others</t>
        </is>
      </c>
      <c r="Q529" t="inlineStr">
        <is>
          <t>O,U</t>
        </is>
      </c>
      <c r="U529" t="n">
        <v>35625.9</v>
      </c>
      <c r="V529" t="n">
        <v>0.083333</v>
      </c>
      <c r="W529" t="inlineStr">
        <is>
          <t>CNY</t>
        </is>
      </c>
      <c r="X529" t="n">
        <v>1</v>
      </c>
      <c r="Y529" t="n">
        <v>34379.55</v>
      </c>
      <c r="Z529" t="n">
        <v>0</v>
      </c>
      <c r="AA529" t="n">
        <v>71251.8</v>
      </c>
      <c r="AB529" t="n">
        <v>24200</v>
      </c>
      <c r="AC529" t="n">
        <v>0</v>
      </c>
      <c r="AF529" t="n">
        <v>0</v>
      </c>
      <c r="AG529" t="n">
        <v>95451.8</v>
      </c>
      <c r="AH529" t="n">
        <v>2.776412140356694</v>
      </c>
      <c r="AI529" t="n">
        <v>95451.8</v>
      </c>
      <c r="AJ529" t="n">
        <v>2.776412140356694</v>
      </c>
      <c r="AK529" t="n">
        <v>2.776412140356694</v>
      </c>
      <c r="AQ529" t="n">
        <v>95451.8</v>
      </c>
      <c r="AR529" t="n">
        <v>2.776412140356694</v>
      </c>
      <c r="AS529" t="n">
        <v>0.9446464446533723</v>
      </c>
      <c r="BL529" t="n">
        <v>1</v>
      </c>
      <c r="BM529" t="n">
        <v>31450</v>
      </c>
      <c r="BN529" t="n">
        <v>0</v>
      </c>
      <c r="BO529" t="n">
        <v>33220</v>
      </c>
      <c r="BP529" t="inlineStr">
        <is>
          <t>G,G</t>
        </is>
      </c>
      <c r="BQ529" t="inlineStr">
        <is>
          <t>Others</t>
        </is>
      </c>
      <c r="BR529" t="n">
        <v>101045</v>
      </c>
      <c r="BS529" t="n">
        <v>3.212877583465819</v>
      </c>
      <c r="BT529" t="n">
        <v>0</v>
      </c>
      <c r="BU529" t="n">
        <v>101045</v>
      </c>
      <c r="BV529" t="n">
        <v>3.212877583465819</v>
      </c>
      <c r="BY529" t="n">
        <v>101045</v>
      </c>
      <c r="BZ529" t="n">
        <v>3.212877583465819</v>
      </c>
      <c r="CP529" t="inlineStr">
        <is>
          <t>董事会办公室</t>
        </is>
      </c>
      <c r="CQ529" t="inlineStr">
        <is>
          <t>5,1</t>
        </is>
      </c>
      <c r="CR529" t="n">
        <v>7</v>
      </c>
      <c r="CS529" t="inlineStr">
        <is>
          <t>Others</t>
        </is>
      </c>
      <c r="CT529" t="inlineStr">
        <is>
          <t>N</t>
        </is>
      </c>
    </row>
    <row r="530">
      <c r="A530" t="inlineStr">
        <is>
          <t>lindaYu(于颖)</t>
        </is>
      </c>
      <c r="C530" t="n">
        <v>7276807</v>
      </c>
      <c r="D530" t="inlineStr">
        <is>
          <t>财会及报告管理部</t>
        </is>
      </c>
      <c r="E530" t="inlineStr">
        <is>
          <t>账务中心</t>
        </is>
      </c>
      <c r="G530" t="inlineStr">
        <is>
          <t>S2职能系统－财经线/财会及报告管理部/账务中心</t>
        </is>
      </c>
      <c r="H530" s="188" t="n">
        <v>42405</v>
      </c>
      <c r="I530" t="inlineStr">
        <is>
          <t>社会招聘</t>
        </is>
      </c>
      <c r="J530" t="inlineStr">
        <is>
          <t>财经类－FN</t>
        </is>
      </c>
      <c r="K530" t="inlineStr">
        <is>
          <t>会计</t>
        </is>
      </c>
      <c r="L530" t="inlineStr">
        <is>
          <t>S7</t>
        </is>
      </c>
      <c r="N530" t="inlineStr">
        <is>
          <t>T2</t>
        </is>
      </c>
      <c r="Q530" t="inlineStr">
        <is>
          <t>G,G</t>
        </is>
      </c>
      <c r="U530" t="n">
        <v>27891.7</v>
      </c>
      <c r="V530" t="n">
        <v>0.083333</v>
      </c>
      <c r="W530" t="inlineStr">
        <is>
          <t>CNY</t>
        </is>
      </c>
      <c r="X530" t="n">
        <v>1</v>
      </c>
      <c r="Y530" t="n">
        <v>25199.02</v>
      </c>
      <c r="Z530" t="n">
        <v>0</v>
      </c>
      <c r="AA530" t="n">
        <v>55783.4</v>
      </c>
      <c r="AB530" t="n">
        <v>35610</v>
      </c>
      <c r="AC530" t="n">
        <v>0</v>
      </c>
      <c r="AF530" t="n">
        <v>0</v>
      </c>
      <c r="AG530" t="n">
        <v>91393.39999999999</v>
      </c>
      <c r="AH530" t="n">
        <v>3.626863266904824</v>
      </c>
      <c r="AI530" t="n">
        <v>91393.39999999999</v>
      </c>
      <c r="AJ530" t="n">
        <v>3.626863266904824</v>
      </c>
      <c r="AK530" t="n">
        <v>3.626863266904824</v>
      </c>
      <c r="AQ530" t="n">
        <v>91393.39999999999</v>
      </c>
      <c r="AR530" t="n">
        <v>3.626863266904824</v>
      </c>
      <c r="AS530" t="n">
        <v>1.596809644448327</v>
      </c>
      <c r="BL530" t="n">
        <v>1</v>
      </c>
      <c r="BM530" t="n">
        <v>24200</v>
      </c>
      <c r="BN530" t="n">
        <v>0</v>
      </c>
      <c r="BO530" t="n">
        <v>25705</v>
      </c>
      <c r="BP530" t="inlineStr">
        <is>
          <t>G,U</t>
        </is>
      </c>
      <c r="BQ530" t="inlineStr">
        <is>
          <t>T2</t>
        </is>
      </c>
      <c r="BR530" t="n">
        <v>57235</v>
      </c>
      <c r="BS530" t="n">
        <v>2.365082644628099</v>
      </c>
      <c r="BT530" t="n">
        <v>0</v>
      </c>
      <c r="BU530" t="n">
        <v>57235</v>
      </c>
      <c r="BV530" t="n">
        <v>2.365082644628099</v>
      </c>
      <c r="BY530" t="n">
        <v>57235</v>
      </c>
      <c r="BZ530" t="n">
        <v>2.365082644628099</v>
      </c>
      <c r="CP530" t="inlineStr">
        <is>
          <t>财会及报告管理部</t>
        </is>
      </c>
      <c r="CQ530" t="inlineStr">
        <is>
          <t>3,3</t>
        </is>
      </c>
      <c r="CR530" t="n">
        <v>7</v>
      </c>
      <c r="CS530" t="inlineStr">
        <is>
          <t>T2</t>
        </is>
      </c>
      <c r="CT530" t="inlineStr">
        <is>
          <t>N</t>
        </is>
      </c>
    </row>
    <row r="531">
      <c r="A531" t="inlineStr">
        <is>
          <t>samuelShi(史力)</t>
        </is>
      </c>
      <c r="C531" t="n">
        <v>40643673</v>
      </c>
      <c r="D531" t="inlineStr">
        <is>
          <t>财经IT管理部</t>
        </is>
      </c>
      <c r="E531" t="inlineStr">
        <is>
          <t>国际业务支持中心</t>
        </is>
      </c>
      <c r="G531" t="inlineStr">
        <is>
          <t>S2职能系统－财经线/财经IT管理部/国际业务支持中心</t>
        </is>
      </c>
      <c r="H531" s="188" t="n">
        <v>42612</v>
      </c>
      <c r="I531" t="inlineStr">
        <is>
          <t>社会招聘</t>
        </is>
      </c>
      <c r="J531" t="inlineStr">
        <is>
          <t>技术研发类－TRD</t>
        </is>
      </c>
      <c r="K531" t="inlineStr">
        <is>
          <t>应用开发</t>
        </is>
      </c>
      <c r="L531" t="inlineStr">
        <is>
          <t>T5</t>
        </is>
      </c>
      <c r="N531" t="inlineStr">
        <is>
          <t>T2</t>
        </is>
      </c>
      <c r="Q531" t="inlineStr">
        <is>
          <t>O,G</t>
        </is>
      </c>
      <c r="U531" t="n">
        <v>30960.25</v>
      </c>
      <c r="V531" t="n">
        <v>0.083333</v>
      </c>
      <c r="W531" t="inlineStr">
        <is>
          <t>CNY</t>
        </is>
      </c>
      <c r="X531" t="n">
        <v>1</v>
      </c>
      <c r="Y531" t="n">
        <v>28774.34</v>
      </c>
      <c r="Z531" t="n">
        <v>0</v>
      </c>
      <c r="AA531" t="n">
        <v>92880.75</v>
      </c>
      <c r="AB531" t="n">
        <v>35485</v>
      </c>
      <c r="AC531" t="n">
        <v>0</v>
      </c>
      <c r="AF531" t="n">
        <v>0</v>
      </c>
      <c r="AG531" t="n">
        <v>128365.75</v>
      </c>
      <c r="AH531" t="n">
        <v>4.461118830179945</v>
      </c>
      <c r="AI531" t="n">
        <v>128365.75</v>
      </c>
      <c r="AJ531" t="n">
        <v>4.461118830179945</v>
      </c>
      <c r="AK531" t="n">
        <v>4.461118830179945</v>
      </c>
      <c r="AQ531" t="n">
        <v>128365.75</v>
      </c>
      <c r="AR531" t="n">
        <v>4.461118830179945</v>
      </c>
      <c r="AS531" t="n">
        <v>2.115802703148179</v>
      </c>
      <c r="BL531" t="n">
        <v>1</v>
      </c>
      <c r="BM531" t="n">
        <v>25095</v>
      </c>
      <c r="BN531" t="n">
        <v>0</v>
      </c>
      <c r="BO531" t="n">
        <v>25320</v>
      </c>
      <c r="BP531" t="inlineStr">
        <is>
          <t>U,G</t>
        </is>
      </c>
      <c r="BQ531" t="inlineStr">
        <is>
          <t>T2</t>
        </is>
      </c>
      <c r="BR531" t="n">
        <v>60670</v>
      </c>
      <c r="BS531" t="n">
        <v>2.417613070332735</v>
      </c>
      <c r="BT531" t="n">
        <v>0</v>
      </c>
      <c r="BU531" t="n">
        <v>60670</v>
      </c>
      <c r="BV531" t="n">
        <v>2.417613070332735</v>
      </c>
      <c r="BY531" t="n">
        <v>60670</v>
      </c>
      <c r="BZ531" t="n">
        <v>2.417613070332735</v>
      </c>
      <c r="CP531" t="inlineStr">
        <is>
          <t>财经IT管理部</t>
        </is>
      </c>
      <c r="CQ531" t="inlineStr">
        <is>
          <t>5,3</t>
        </is>
      </c>
      <c r="CR531" t="n">
        <v>5</v>
      </c>
      <c r="CS531" t="inlineStr">
        <is>
          <t>T2</t>
        </is>
      </c>
      <c r="CT531" t="inlineStr">
        <is>
          <t>N</t>
        </is>
      </c>
    </row>
    <row r="532">
      <c r="A532" t="inlineStr">
        <is>
          <t>joyceFeng(冯琴璐)</t>
        </is>
      </c>
      <c r="C532" t="n">
        <v>51226087</v>
      </c>
      <c r="D532" t="inlineStr">
        <is>
          <t>审计监察</t>
        </is>
      </c>
      <c r="E532" t="inlineStr">
        <is>
          <t>金融审计组</t>
        </is>
      </c>
      <c r="G532" t="inlineStr">
        <is>
          <t>S2职能系统－财经线/审计监察/金融审计组</t>
        </is>
      </c>
      <c r="H532" s="188" t="n">
        <v>42758</v>
      </c>
      <c r="I532" t="inlineStr">
        <is>
          <t>高校招聘</t>
        </is>
      </c>
      <c r="J532" t="inlineStr">
        <is>
          <t>财经类－FN</t>
        </is>
      </c>
      <c r="K532" t="inlineStr">
        <is>
          <t>风险管理</t>
        </is>
      </c>
      <c r="L532" t="inlineStr">
        <is>
          <t>S11</t>
        </is>
      </c>
      <c r="N532" t="inlineStr">
        <is>
          <t>T1</t>
        </is>
      </c>
      <c r="Q532" t="inlineStr">
        <is>
          <t>O,G</t>
        </is>
      </c>
      <c r="U532" t="n">
        <v>38614.15</v>
      </c>
      <c r="V532" t="n">
        <v>0.083333</v>
      </c>
      <c r="W532" t="inlineStr">
        <is>
          <t>CNY</t>
        </is>
      </c>
      <c r="X532" t="n">
        <v>1</v>
      </c>
      <c r="Y532" t="n">
        <v>37218.5</v>
      </c>
      <c r="Z532" t="n">
        <v>0</v>
      </c>
      <c r="AA532" t="n">
        <v>115842.45</v>
      </c>
      <c r="AB532" t="n">
        <v>88370</v>
      </c>
      <c r="AC532" t="n">
        <v>45405</v>
      </c>
      <c r="AF532" t="n">
        <v>0</v>
      </c>
      <c r="AG532" t="n">
        <v>249617.45</v>
      </c>
      <c r="AH532" t="n">
        <v>6.706811128874082</v>
      </c>
      <c r="AI532" t="n">
        <v>249617.45</v>
      </c>
      <c r="AJ532" t="n">
        <v>6.706811128874082</v>
      </c>
      <c r="AK532" t="n">
        <v>5.486853312196891</v>
      </c>
      <c r="AQ532" t="n">
        <v>249617.45</v>
      </c>
      <c r="AR532" t="n">
        <v>6.706811128874082</v>
      </c>
      <c r="AS532" t="n">
        <v>1.246373486456123</v>
      </c>
      <c r="BL532" t="n">
        <v>1</v>
      </c>
      <c r="BM532" t="n">
        <v>33870</v>
      </c>
      <c r="BN532" t="n">
        <v>0</v>
      </c>
      <c r="BO532" t="n">
        <v>36370</v>
      </c>
      <c r="BP532" t="inlineStr">
        <is>
          <t>G,O</t>
        </is>
      </c>
      <c r="BQ532" t="inlineStr">
        <is>
          <t>T1</t>
        </is>
      </c>
      <c r="BR532" t="n">
        <v>147210</v>
      </c>
      <c r="BS532" t="n">
        <v>4.346324180690877</v>
      </c>
      <c r="BT532" t="n">
        <v>53065</v>
      </c>
      <c r="BU532" t="n">
        <v>200275</v>
      </c>
      <c r="BV532" t="n">
        <v>5.913049896663714</v>
      </c>
      <c r="BY532" t="n">
        <v>200275</v>
      </c>
      <c r="BZ532" t="n">
        <v>5.913049896663714</v>
      </c>
      <c r="CP532" t="inlineStr">
        <is>
          <t>审计监察</t>
        </is>
      </c>
      <c r="CQ532" t="inlineStr">
        <is>
          <t>5,3</t>
        </is>
      </c>
      <c r="CR532" t="n">
        <v>11</v>
      </c>
      <c r="CS532" t="inlineStr">
        <is>
          <t>T1</t>
        </is>
      </c>
      <c r="CT532" t="inlineStr">
        <is>
          <t>N</t>
        </is>
      </c>
    </row>
    <row r="533">
      <c r="A533" t="inlineStr">
        <is>
          <t>maryHao(郝兰)</t>
        </is>
      </c>
      <c r="C533" t="n">
        <v>13621205</v>
      </c>
      <c r="D533" t="inlineStr">
        <is>
          <t>CDG财务管理</t>
        </is>
      </c>
      <c r="E533" t="inlineStr">
        <is>
          <t>综合财务管理中心</t>
        </is>
      </c>
      <c r="G533" t="inlineStr">
        <is>
          <t>S2职能系统－财经线/CDG财务管理/综合财务管理中心</t>
        </is>
      </c>
      <c r="H533" s="188" t="n">
        <v>40992</v>
      </c>
      <c r="I533" t="inlineStr">
        <is>
          <t>社会招聘</t>
        </is>
      </c>
      <c r="J533" t="inlineStr">
        <is>
          <t>财经类－FN</t>
        </is>
      </c>
      <c r="K533" t="inlineStr">
        <is>
          <t>财务管理</t>
        </is>
      </c>
      <c r="L533" t="inlineStr">
        <is>
          <t>S10</t>
        </is>
      </c>
      <c r="N533" t="inlineStr">
        <is>
          <t>T2</t>
        </is>
      </c>
      <c r="Q533" t="inlineStr">
        <is>
          <t>G,G</t>
        </is>
      </c>
      <c r="U533" t="n">
        <v>37752.2</v>
      </c>
      <c r="V533" t="n">
        <v>0.083333</v>
      </c>
      <c r="W533" t="inlineStr">
        <is>
          <t>CNY</t>
        </is>
      </c>
      <c r="X533" t="n">
        <v>1</v>
      </c>
      <c r="Y533" t="n">
        <v>36526.83</v>
      </c>
      <c r="Z533" t="n">
        <v>0</v>
      </c>
      <c r="AA533" t="n">
        <v>75504.39999999999</v>
      </c>
      <c r="AB533" t="n">
        <v>54420</v>
      </c>
      <c r="AC533" t="n">
        <v>0</v>
      </c>
      <c r="AF533" t="n">
        <v>0</v>
      </c>
      <c r="AG533" t="n">
        <v>129924.4</v>
      </c>
      <c r="AH533" t="n">
        <v>3.556957994986151</v>
      </c>
      <c r="AI533" t="n">
        <v>129924.4</v>
      </c>
      <c r="AJ533" t="n">
        <v>3.556957994986151</v>
      </c>
      <c r="AK533" t="n">
        <v>3.556957994986151</v>
      </c>
      <c r="AQ533" t="n">
        <v>129924.4</v>
      </c>
      <c r="AR533" t="n">
        <v>3.556957994986151</v>
      </c>
      <c r="AS533" t="n">
        <v>1.97919719704471</v>
      </c>
      <c r="BL533" t="n">
        <v>1</v>
      </c>
      <c r="BM533" t="n">
        <v>30410</v>
      </c>
      <c r="BN533" t="n">
        <v>0</v>
      </c>
      <c r="BO533" t="n">
        <v>30615</v>
      </c>
      <c r="BP533" t="inlineStr">
        <is>
          <t>U,G</t>
        </is>
      </c>
      <c r="BQ533" t="inlineStr">
        <is>
          <t>T2</t>
        </is>
      </c>
      <c r="BR533" t="n">
        <v>65645</v>
      </c>
      <c r="BS533" t="n">
        <v>2.158664912857613</v>
      </c>
      <c r="BT533" t="n">
        <v>0</v>
      </c>
      <c r="BU533" t="n">
        <v>65645</v>
      </c>
      <c r="BV533" t="n">
        <v>2.158664912857613</v>
      </c>
      <c r="BY533" t="n">
        <v>65645</v>
      </c>
      <c r="BZ533" t="n">
        <v>2.158664912857613</v>
      </c>
      <c r="CP533" t="inlineStr">
        <is>
          <t>CDG财务管理</t>
        </is>
      </c>
      <c r="CQ533" t="inlineStr">
        <is>
          <t>3,3</t>
        </is>
      </c>
      <c r="CR533" t="n">
        <v>10</v>
      </c>
      <c r="CS533" t="inlineStr">
        <is>
          <t>T2</t>
        </is>
      </c>
      <c r="CT533" t="inlineStr">
        <is>
          <t>N</t>
        </is>
      </c>
    </row>
    <row r="534">
      <c r="A534" t="inlineStr">
        <is>
          <t>marcusYu(余辉辉)</t>
        </is>
      </c>
      <c r="C534" t="n">
        <v>39407513</v>
      </c>
      <c r="D534" t="inlineStr">
        <is>
          <t>审计监察</t>
        </is>
      </c>
      <c r="E534" t="inlineStr">
        <is>
          <t>审计中台及运营组</t>
        </is>
      </c>
      <c r="G534" t="inlineStr">
        <is>
          <t>S2职能系统－财经线/审计监察/审计中台及运营组</t>
        </is>
      </c>
      <c r="H534" s="188" t="n">
        <v>36948</v>
      </c>
      <c r="I534" t="inlineStr">
        <is>
          <t>高校招聘</t>
        </is>
      </c>
      <c r="J534" t="inlineStr">
        <is>
          <t>财经类－FN</t>
        </is>
      </c>
      <c r="K534" t="inlineStr">
        <is>
          <t>风险管理</t>
        </is>
      </c>
      <c r="L534" t="inlineStr">
        <is>
          <t>S6</t>
        </is>
      </c>
      <c r="N534" t="inlineStr">
        <is>
          <t>T1#</t>
        </is>
      </c>
      <c r="Q534" t="inlineStr">
        <is>
          <t>G,G</t>
        </is>
      </c>
      <c r="U534" t="n">
        <v>33846.8</v>
      </c>
      <c r="V534" t="n">
        <v>0.083333</v>
      </c>
      <c r="W534" t="inlineStr">
        <is>
          <t>CNY</t>
        </is>
      </c>
      <c r="X534" t="n">
        <v>1</v>
      </c>
      <c r="Y534" t="n">
        <v>32768.53</v>
      </c>
      <c r="Z534" t="n">
        <v>0</v>
      </c>
      <c r="AA534" t="n">
        <v>67693.60000000001</v>
      </c>
      <c r="AB534" t="n">
        <v>109465</v>
      </c>
      <c r="AC534" t="n">
        <v>55070</v>
      </c>
      <c r="AF534" t="n">
        <v>0</v>
      </c>
      <c r="AG534" t="n">
        <v>232228.6</v>
      </c>
      <c r="AH534" t="n">
        <v>7.086939816952424</v>
      </c>
      <c r="AI534" t="n">
        <v>232228.6</v>
      </c>
      <c r="AJ534" t="n">
        <v>7.086939816952424</v>
      </c>
      <c r="AK534" t="n">
        <v>5.406363971774138</v>
      </c>
      <c r="AQ534" t="n">
        <v>232228.6</v>
      </c>
      <c r="AR534" t="n">
        <v>7.086939816952424</v>
      </c>
      <c r="AS534" t="n">
        <v>1.015695416375088</v>
      </c>
      <c r="BL534" t="n">
        <v>1</v>
      </c>
      <c r="BM534" t="n">
        <v>29625</v>
      </c>
      <c r="BN534" t="n">
        <v>0</v>
      </c>
      <c r="BO534" t="n">
        <v>31860</v>
      </c>
      <c r="BP534" t="inlineStr">
        <is>
          <t>G,G</t>
        </is>
      </c>
      <c r="BQ534" t="inlineStr">
        <is>
          <t>T1#</t>
        </is>
      </c>
      <c r="BR534" t="n">
        <v>169520</v>
      </c>
      <c r="BS534" t="n">
        <v>5.722194092827004</v>
      </c>
      <c r="BT534" t="n">
        <v>59120</v>
      </c>
      <c r="BU534" t="n">
        <v>228640</v>
      </c>
      <c r="BV534" t="n">
        <v>7.717805907172996</v>
      </c>
      <c r="BY534" t="n">
        <v>228640</v>
      </c>
      <c r="BZ534" t="n">
        <v>7.717805907172996</v>
      </c>
      <c r="CP534" t="inlineStr">
        <is>
          <t>审计监察</t>
        </is>
      </c>
      <c r="CQ534" t="inlineStr">
        <is>
          <t>3,3</t>
        </is>
      </c>
      <c r="CR534" t="n">
        <v>6</v>
      </c>
      <c r="CS534" t="inlineStr">
        <is>
          <t>T1#</t>
        </is>
      </c>
      <c r="CT534" t="inlineStr">
        <is>
          <t>N</t>
        </is>
      </c>
    </row>
    <row r="535">
      <c r="A535" t="inlineStr">
        <is>
          <t>stephanieKong(孔曦莉)</t>
        </is>
      </c>
      <c r="C535" t="n">
        <v>27880378</v>
      </c>
      <c r="D535" t="inlineStr">
        <is>
          <t>财会及报告管理部</t>
        </is>
      </c>
      <c r="E535" t="inlineStr">
        <is>
          <t>供应商支付管理中心</t>
        </is>
      </c>
      <c r="G535" t="inlineStr">
        <is>
          <t>S2职能系统－财经线/财会及报告管理部/供应商支付管理中心</t>
        </is>
      </c>
      <c r="H535" s="188" t="n">
        <v>37138</v>
      </c>
      <c r="I535" t="inlineStr">
        <is>
          <t>社会招聘</t>
        </is>
      </c>
      <c r="J535" t="inlineStr">
        <is>
          <t>财经类－FN</t>
        </is>
      </c>
      <c r="K535" t="inlineStr">
        <is>
          <t>会计</t>
        </is>
      </c>
      <c r="L535" t="inlineStr">
        <is>
          <t>S11</t>
        </is>
      </c>
      <c r="N535" t="inlineStr">
        <is>
          <t>T2</t>
        </is>
      </c>
      <c r="Q535" t="inlineStr">
        <is>
          <t>G,G</t>
        </is>
      </c>
      <c r="U535" t="n">
        <v>52087.9</v>
      </c>
      <c r="V535" t="n">
        <v>0.083333</v>
      </c>
      <c r="W535" t="inlineStr">
        <is>
          <t>CNY</t>
        </is>
      </c>
      <c r="X535" t="n">
        <v>1</v>
      </c>
      <c r="Y535" t="n">
        <v>49044.8</v>
      </c>
      <c r="Z535" t="n">
        <v>0</v>
      </c>
      <c r="AA535" t="n">
        <v>104175.8</v>
      </c>
      <c r="AB535" t="n">
        <v>65550</v>
      </c>
      <c r="AC535" t="n">
        <v>0</v>
      </c>
      <c r="AF535" t="n">
        <v>0</v>
      </c>
      <c r="AG535" t="n">
        <v>169725.8</v>
      </c>
      <c r="AH535" t="n">
        <v>3.460627834143477</v>
      </c>
      <c r="AI535" t="n">
        <v>169725.8</v>
      </c>
      <c r="AJ535" t="n">
        <v>3.460627834143477</v>
      </c>
      <c r="AK535" t="n">
        <v>3.460627834143477</v>
      </c>
      <c r="AQ535" t="n">
        <v>169725.8</v>
      </c>
      <c r="AR535" t="n">
        <v>3.460627834143477</v>
      </c>
      <c r="AS535" t="n">
        <v>0.9005215545828359</v>
      </c>
      <c r="BL535" t="n">
        <v>1</v>
      </c>
      <c r="BM535" t="n">
        <v>43175</v>
      </c>
      <c r="BN535" t="n">
        <v>0</v>
      </c>
      <c r="BO535" t="n">
        <v>47115</v>
      </c>
      <c r="BP535" t="inlineStr">
        <is>
          <t>O,G</t>
        </is>
      </c>
      <c r="BQ535" t="inlineStr">
        <is>
          <t>T2</t>
        </is>
      </c>
      <c r="BR535" t="n">
        <v>188475</v>
      </c>
      <c r="BS535" t="n">
        <v>4.365373480023162</v>
      </c>
      <c r="BT535" t="n">
        <v>0</v>
      </c>
      <c r="BU535" t="n">
        <v>188475</v>
      </c>
      <c r="BV535" t="n">
        <v>4.365373480023162</v>
      </c>
      <c r="BY535" t="n">
        <v>188475</v>
      </c>
      <c r="BZ535" t="n">
        <v>4.365373480023162</v>
      </c>
      <c r="CP535" t="inlineStr">
        <is>
          <t>财会及报告管理部</t>
        </is>
      </c>
      <c r="CQ535" t="inlineStr">
        <is>
          <t>3,3</t>
        </is>
      </c>
      <c r="CR535" t="n">
        <v>11</v>
      </c>
      <c r="CS535" t="inlineStr">
        <is>
          <t>T2</t>
        </is>
      </c>
      <c r="CT535" t="inlineStr">
        <is>
          <t>N</t>
        </is>
      </c>
    </row>
    <row r="536">
      <c r="A536" t="inlineStr">
        <is>
          <t>madelynLu(陆琳云)</t>
        </is>
      </c>
      <c r="C536" t="n">
        <v>8974647</v>
      </c>
      <c r="D536" t="inlineStr">
        <is>
          <t>行政支持中心</t>
        </is>
      </c>
      <c r="E536" t="inlineStr">
        <is>
          <t>行政支持中心</t>
        </is>
      </c>
      <c r="G536" t="inlineStr">
        <is>
          <t>S2职能系统－财经线/行政支持中心</t>
        </is>
      </c>
      <c r="H536" s="188" t="n">
        <v>38372</v>
      </c>
      <c r="I536" t="inlineStr">
        <is>
          <t>社会招聘</t>
        </is>
      </c>
      <c r="J536" t="inlineStr">
        <is>
          <t>财经类－FN</t>
        </is>
      </c>
      <c r="K536" t="inlineStr">
        <is>
          <t>公司秘书</t>
        </is>
      </c>
      <c r="L536" t="inlineStr">
        <is>
          <t>S8</t>
        </is>
      </c>
      <c r="N536" t="inlineStr">
        <is>
          <t>T2</t>
        </is>
      </c>
      <c r="Q536" t="inlineStr">
        <is>
          <t>O,O</t>
        </is>
      </c>
      <c r="U536" t="n">
        <v>40091.75</v>
      </c>
      <c r="V536" t="n">
        <v>0.083333</v>
      </c>
      <c r="W536" t="inlineStr">
        <is>
          <t>CNY</t>
        </is>
      </c>
      <c r="X536" t="n">
        <v>1</v>
      </c>
      <c r="Y536" t="n">
        <v>38279.08</v>
      </c>
      <c r="Z536" t="n">
        <v>0</v>
      </c>
      <c r="AA536" t="n">
        <v>160367</v>
      </c>
      <c r="AB536" t="n">
        <v>48550</v>
      </c>
      <c r="AC536" t="n">
        <v>0</v>
      </c>
      <c r="AF536" t="n">
        <v>0</v>
      </c>
      <c r="AG536" t="n">
        <v>208917</v>
      </c>
      <c r="AH536" t="n">
        <v>5.457733048965649</v>
      </c>
      <c r="AI536" t="n">
        <v>208917</v>
      </c>
      <c r="AJ536" t="n">
        <v>5.457733048965649</v>
      </c>
      <c r="AK536" t="n">
        <v>5.457733048965649</v>
      </c>
      <c r="AQ536" t="n">
        <v>208917</v>
      </c>
      <c r="AR536" t="n">
        <v>5.457733048965649</v>
      </c>
      <c r="AS536" t="n">
        <v>0.6858057315431836</v>
      </c>
      <c r="BL536" t="n">
        <v>1</v>
      </c>
      <c r="BM536" t="n">
        <v>33110</v>
      </c>
      <c r="BN536" t="n">
        <v>0</v>
      </c>
      <c r="BO536" t="n">
        <v>34645</v>
      </c>
      <c r="BP536" t="inlineStr">
        <is>
          <t>O,O</t>
        </is>
      </c>
      <c r="BQ536" t="inlineStr">
        <is>
          <t>T1#</t>
        </is>
      </c>
      <c r="BR536" t="n">
        <v>243645</v>
      </c>
      <c r="BS536" t="n">
        <v>7.358652974932045</v>
      </c>
      <c r="BT536" t="n">
        <v>60985</v>
      </c>
      <c r="BU536" t="n">
        <v>304630</v>
      </c>
      <c r="BV536" t="n">
        <v>9.200543642404108</v>
      </c>
      <c r="BY536" t="n">
        <v>304630</v>
      </c>
      <c r="BZ536" t="n">
        <v>9.200543642404108</v>
      </c>
      <c r="CP536" t="inlineStr">
        <is>
          <t>行政支持中心</t>
        </is>
      </c>
      <c r="CQ536" t="inlineStr">
        <is>
          <t>5,5</t>
        </is>
      </c>
      <c r="CR536" t="n">
        <v>8</v>
      </c>
      <c r="CS536" t="inlineStr">
        <is>
          <t>T2</t>
        </is>
      </c>
      <c r="CT536" t="inlineStr">
        <is>
          <t>N</t>
        </is>
      </c>
    </row>
    <row r="537">
      <c r="A537" t="inlineStr">
        <is>
          <t>ralphYao(姚德韬)</t>
        </is>
      </c>
      <c r="C537" t="n">
        <v>60454279</v>
      </c>
      <c r="D537" t="inlineStr">
        <is>
          <t>IEG财务管理</t>
        </is>
      </c>
      <c r="E537" t="inlineStr">
        <is>
          <t>自研财务管理组</t>
        </is>
      </c>
      <c r="G537" t="inlineStr">
        <is>
          <t>S2职能系统－财经线/IEG财务管理/自研财务管理组</t>
        </is>
      </c>
      <c r="H537" s="188" t="n">
        <v>45460</v>
      </c>
      <c r="I537" t="inlineStr">
        <is>
          <t>高校招聘</t>
        </is>
      </c>
      <c r="J537" t="inlineStr">
        <is>
          <t>财经类－FN</t>
        </is>
      </c>
      <c r="K537" t="inlineStr">
        <is>
          <t>财务管理</t>
        </is>
      </c>
      <c r="L537" t="inlineStr">
        <is>
          <t>S7</t>
        </is>
      </c>
      <c r="N537" t="inlineStr">
        <is>
          <t>T1#</t>
        </is>
      </c>
      <c r="Q537" t="inlineStr">
        <is>
          <t>N,G</t>
        </is>
      </c>
      <c r="U537" t="n">
        <v>28331.85</v>
      </c>
      <c r="V537" t="n">
        <v>0.083333</v>
      </c>
      <c r="W537" t="inlineStr">
        <is>
          <t>CNY</t>
        </is>
      </c>
      <c r="X537" t="n">
        <v>0.539726</v>
      </c>
      <c r="Y537" t="n">
        <v>27415.93</v>
      </c>
      <c r="Z537" t="n">
        <v>0</v>
      </c>
      <c r="AA537" t="n">
        <v>15291.44</v>
      </c>
      <c r="AB537" t="n">
        <v>0</v>
      </c>
      <c r="AC537" t="n">
        <v>0</v>
      </c>
      <c r="AF537" t="n">
        <v>0</v>
      </c>
      <c r="AG537" t="n">
        <v>15291.44</v>
      </c>
      <c r="AH537" t="n">
        <v>0.5577574789547537</v>
      </c>
      <c r="AI537" t="n">
        <v>15291.44</v>
      </c>
      <c r="AJ537" t="n">
        <v>0.5577574789547537</v>
      </c>
      <c r="AK537" t="n">
        <v>0.5577574789547537</v>
      </c>
      <c r="AQ537" t="n">
        <v>15291.44</v>
      </c>
      <c r="AR537" t="n">
        <v>0.5577574789547537</v>
      </c>
      <c r="BM537" t="n">
        <v>0</v>
      </c>
      <c r="BN537" t="n">
        <v>0</v>
      </c>
      <c r="BO537" t="n">
        <v>0</v>
      </c>
      <c r="BR537" t="n">
        <v>0</v>
      </c>
      <c r="BT537" t="n">
        <v>0</v>
      </c>
      <c r="BU537" t="n">
        <v>0</v>
      </c>
      <c r="BY537" t="n">
        <v>0</v>
      </c>
      <c r="CP537" t="inlineStr">
        <is>
          <t>IEG财务管理</t>
        </is>
      </c>
      <c r="CQ537" t="n">
        <v>3</v>
      </c>
      <c r="CR537" t="n">
        <v>7</v>
      </c>
      <c r="CS537" t="inlineStr">
        <is>
          <t>T1#</t>
        </is>
      </c>
      <c r="CT537" t="inlineStr">
        <is>
          <t>N</t>
        </is>
      </c>
    </row>
    <row r="538">
      <c r="A538" t="inlineStr">
        <is>
          <t>paulCui(崔德伟)</t>
        </is>
      </c>
      <c r="C538" t="n">
        <v>2632920</v>
      </c>
      <c r="D538" t="inlineStr">
        <is>
          <t>FiT财务管理</t>
        </is>
      </c>
      <c r="E538" t="inlineStr">
        <is>
          <t>结算支持中心</t>
        </is>
      </c>
      <c r="G538" t="inlineStr">
        <is>
          <t>S2职能系统－财经线/FiT财务管理/结算支持中心</t>
        </is>
      </c>
      <c r="H538" s="188" t="n">
        <v>36864</v>
      </c>
      <c r="I538" t="inlineStr">
        <is>
          <t>社会招聘</t>
        </is>
      </c>
      <c r="J538" t="inlineStr">
        <is>
          <t>财经类－FN</t>
        </is>
      </c>
      <c r="K538" t="inlineStr">
        <is>
          <t>财务管理</t>
        </is>
      </c>
      <c r="L538" t="inlineStr">
        <is>
          <t>S10</t>
        </is>
      </c>
      <c r="N538" t="inlineStr">
        <is>
          <t>T1</t>
        </is>
      </c>
      <c r="Q538" t="inlineStr">
        <is>
          <t>G,G</t>
        </is>
      </c>
      <c r="U538" t="n">
        <v>63869.75</v>
      </c>
      <c r="V538" t="n">
        <v>0.083333</v>
      </c>
      <c r="W538" t="inlineStr">
        <is>
          <t>CNY</t>
        </is>
      </c>
      <c r="X538" t="n">
        <v>1</v>
      </c>
      <c r="Y538" t="n">
        <v>61657.73</v>
      </c>
      <c r="Z538" t="n">
        <v>0</v>
      </c>
      <c r="AA538" t="n">
        <v>127739.5</v>
      </c>
      <c r="AB538" t="n">
        <v>133435</v>
      </c>
      <c r="AC538" t="n">
        <v>65615</v>
      </c>
      <c r="AF538" t="n">
        <v>0</v>
      </c>
      <c r="AG538" t="n">
        <v>326789.5</v>
      </c>
      <c r="AH538" t="n">
        <v>5.300057267758641</v>
      </c>
      <c r="AI538" t="n">
        <v>326789.5</v>
      </c>
      <c r="AJ538" t="n">
        <v>5.300057267758641</v>
      </c>
      <c r="AK538" t="n">
        <v>4.235876020735762</v>
      </c>
      <c r="AQ538" t="n">
        <v>326789.5</v>
      </c>
      <c r="AR538" t="n">
        <v>5.300057267758641</v>
      </c>
      <c r="AS538" t="n">
        <v>2.799293301353435</v>
      </c>
      <c r="BL538" t="n">
        <v>1</v>
      </c>
      <c r="BM538" t="n">
        <v>51685</v>
      </c>
      <c r="BN538" t="n">
        <v>0</v>
      </c>
      <c r="BO538" t="n">
        <v>55885</v>
      </c>
      <c r="BP538" t="inlineStr">
        <is>
          <t>G,U</t>
        </is>
      </c>
      <c r="BQ538" t="inlineStr">
        <is>
          <t>T1</t>
        </is>
      </c>
      <c r="BR538" t="n">
        <v>116740</v>
      </c>
      <c r="BS538" t="n">
        <v>2.258682403018284</v>
      </c>
      <c r="BT538" t="n">
        <v>0</v>
      </c>
      <c r="BU538" t="n">
        <v>116740</v>
      </c>
      <c r="BV538" t="n">
        <v>2.258682403018284</v>
      </c>
      <c r="BY538" t="n">
        <v>116740</v>
      </c>
      <c r="BZ538" t="n">
        <v>2.258682403018284</v>
      </c>
      <c r="CP538" t="inlineStr">
        <is>
          <t>FiT财务管理</t>
        </is>
      </c>
      <c r="CQ538" t="inlineStr">
        <is>
          <t>3,3</t>
        </is>
      </c>
      <c r="CR538" t="n">
        <v>10</v>
      </c>
      <c r="CS538" t="inlineStr">
        <is>
          <t>T1</t>
        </is>
      </c>
      <c r="CT538" t="inlineStr">
        <is>
          <t>N</t>
        </is>
      </c>
    </row>
    <row r="539">
      <c r="A539" t="inlineStr">
        <is>
          <t>annaJiang(姜薇兰)</t>
        </is>
      </c>
      <c r="C539" t="n">
        <v>21815817</v>
      </c>
      <c r="D539" t="inlineStr">
        <is>
          <t>风险管理和内部控制</t>
        </is>
      </c>
      <c r="E539" t="inlineStr">
        <is>
          <t>IEG风控中心</t>
        </is>
      </c>
      <c r="G539" t="inlineStr">
        <is>
          <t>S2职能系统－财经线/风险管理和内部控制/IEG风控中心</t>
        </is>
      </c>
      <c r="H539" s="188" t="n">
        <v>38588</v>
      </c>
      <c r="I539" t="inlineStr">
        <is>
          <t>社会招聘</t>
        </is>
      </c>
      <c r="J539" t="inlineStr">
        <is>
          <t>财经类－FN</t>
        </is>
      </c>
      <c r="K539" t="inlineStr">
        <is>
          <t>风险管理</t>
        </is>
      </c>
      <c r="L539" t="inlineStr">
        <is>
          <t>S5</t>
        </is>
      </c>
      <c r="N539" t="inlineStr">
        <is>
          <t>T1#</t>
        </is>
      </c>
      <c r="Q539" t="inlineStr">
        <is>
          <t>G,O</t>
        </is>
      </c>
      <c r="U539" t="n">
        <v>24541.75</v>
      </c>
      <c r="V539" t="n">
        <v>0.083333</v>
      </c>
      <c r="W539" t="inlineStr">
        <is>
          <t>CNY</t>
        </is>
      </c>
      <c r="X539" t="n">
        <v>1</v>
      </c>
      <c r="Y539" t="n">
        <v>22340.29</v>
      </c>
      <c r="Z539" t="n">
        <v>0</v>
      </c>
      <c r="AA539" t="n">
        <v>73625.25</v>
      </c>
      <c r="AB539" t="n">
        <v>81650</v>
      </c>
      <c r="AC539" t="n">
        <v>26860</v>
      </c>
      <c r="AF539" t="n">
        <v>0</v>
      </c>
      <c r="AG539" t="n">
        <v>182135.25</v>
      </c>
      <c r="AH539" t="n">
        <v>8.152770174424772</v>
      </c>
      <c r="AI539" t="n">
        <v>182135.25</v>
      </c>
      <c r="AJ539" t="n">
        <v>8.152770174424772</v>
      </c>
      <c r="AK539" t="n">
        <v>6.950458118493538</v>
      </c>
      <c r="AQ539" t="n">
        <v>182135.25</v>
      </c>
      <c r="AR539" t="n">
        <v>8.152770174424772</v>
      </c>
      <c r="AS539" t="n">
        <v>1.002836967294351</v>
      </c>
      <c r="BL539" t="n">
        <v>1</v>
      </c>
      <c r="BM539" t="n">
        <v>20825</v>
      </c>
      <c r="BN539" t="n">
        <v>0</v>
      </c>
      <c r="BO539" t="n">
        <v>21980</v>
      </c>
      <c r="BP539" t="inlineStr">
        <is>
          <t>G,O</t>
        </is>
      </c>
      <c r="BQ539" t="inlineStr">
        <is>
          <t>T1#</t>
        </is>
      </c>
      <c r="BR539" t="n">
        <v>141750</v>
      </c>
      <c r="BS539" t="n">
        <v>6.80672268907563</v>
      </c>
      <c r="BT539" t="n">
        <v>39870</v>
      </c>
      <c r="BU539" t="n">
        <v>181620</v>
      </c>
      <c r="BV539" t="n">
        <v>8.72124849939976</v>
      </c>
      <c r="BY539" t="n">
        <v>181620</v>
      </c>
      <c r="BZ539" t="n">
        <v>8.72124849939976</v>
      </c>
      <c r="CP539" t="inlineStr">
        <is>
          <t>风险管理和内部控制</t>
        </is>
      </c>
      <c r="CQ539" t="inlineStr">
        <is>
          <t>5,3</t>
        </is>
      </c>
      <c r="CR539" t="n">
        <v>5</v>
      </c>
      <c r="CS539" t="inlineStr">
        <is>
          <t>T1#</t>
        </is>
      </c>
      <c r="CT539" t="inlineStr">
        <is>
          <t>N</t>
        </is>
      </c>
    </row>
    <row r="540">
      <c r="A540" t="inlineStr">
        <is>
          <t>madelynCui(崔蓉)</t>
        </is>
      </c>
      <c r="C540" t="n">
        <v>88796662</v>
      </c>
      <c r="D540" t="inlineStr">
        <is>
          <t>税务部</t>
        </is>
      </c>
      <c r="E540" t="inlineStr">
        <is>
          <t>印章及文档管理组</t>
        </is>
      </c>
      <c r="G540" t="inlineStr">
        <is>
          <t>S2职能系统－财经线/税务部/印章及文档管理组</t>
        </is>
      </c>
      <c r="H540" s="188" t="n">
        <v>36194</v>
      </c>
      <c r="I540" t="inlineStr">
        <is>
          <t>高校招聘</t>
        </is>
      </c>
      <c r="J540" t="inlineStr">
        <is>
          <t>财经类－FN</t>
        </is>
      </c>
      <c r="K540" t="inlineStr">
        <is>
          <t>税务</t>
        </is>
      </c>
      <c r="L540" t="inlineStr">
        <is>
          <t>S10</t>
        </is>
      </c>
      <c r="N540" t="inlineStr">
        <is>
          <t>T1</t>
        </is>
      </c>
      <c r="Q540" t="inlineStr">
        <is>
          <t>G,G</t>
        </is>
      </c>
      <c r="U540" t="n">
        <v>55169.95</v>
      </c>
      <c r="V540" t="n">
        <v>0.083333</v>
      </c>
      <c r="W540" t="inlineStr">
        <is>
          <t>CNY</t>
        </is>
      </c>
      <c r="X540" t="n">
        <v>1</v>
      </c>
      <c r="Y540" t="n">
        <v>52417.67</v>
      </c>
      <c r="Z540" t="n">
        <v>0</v>
      </c>
      <c r="AA540" t="n">
        <v>110339.9</v>
      </c>
      <c r="AB540" t="n">
        <v>135935</v>
      </c>
      <c r="AC540" t="n">
        <v>101340</v>
      </c>
      <c r="AF540" t="n">
        <v>0</v>
      </c>
      <c r="AG540" t="n">
        <v>347614.9</v>
      </c>
      <c r="AH540" t="n">
        <v>6.631635858671323</v>
      </c>
      <c r="AI540" t="n">
        <v>347614.9</v>
      </c>
      <c r="AJ540" t="n">
        <v>6.631635858671323</v>
      </c>
      <c r="AK540" t="n">
        <v>4.698318334256368</v>
      </c>
      <c r="AQ540" t="n">
        <v>347614.9</v>
      </c>
      <c r="AR540" t="n">
        <v>6.631635858671323</v>
      </c>
      <c r="AS540" t="n">
        <v>1.191788463186766</v>
      </c>
      <c r="BL540" t="n">
        <v>1</v>
      </c>
      <c r="BM540" t="n">
        <v>49235</v>
      </c>
      <c r="BN540" t="n">
        <v>0</v>
      </c>
      <c r="BO540" t="n">
        <v>51315</v>
      </c>
      <c r="BP540" t="inlineStr">
        <is>
          <t>G,O</t>
        </is>
      </c>
      <c r="BQ540" t="inlineStr">
        <is>
          <t>T1</t>
        </is>
      </c>
      <c r="BR540" t="n">
        <v>222285</v>
      </c>
      <c r="BS540" t="n">
        <v>4.514776073931147</v>
      </c>
      <c r="BT540" t="n">
        <v>69390</v>
      </c>
      <c r="BU540" t="n">
        <v>291675</v>
      </c>
      <c r="BV540" t="n">
        <v>5.924139331776176</v>
      </c>
      <c r="BY540" t="n">
        <v>291675</v>
      </c>
      <c r="BZ540" t="n">
        <v>5.924139331776176</v>
      </c>
      <c r="CP540" t="inlineStr">
        <is>
          <t>税务部</t>
        </is>
      </c>
      <c r="CQ540" t="inlineStr">
        <is>
          <t>3,3</t>
        </is>
      </c>
      <c r="CR540" t="n">
        <v>10</v>
      </c>
      <c r="CS540" t="inlineStr">
        <is>
          <t>T1</t>
        </is>
      </c>
      <c r="CT540" t="inlineStr">
        <is>
          <t>N</t>
        </is>
      </c>
    </row>
    <row r="541">
      <c r="A541" t="inlineStr">
        <is>
          <t>sarahGao(高澜)</t>
        </is>
      </c>
      <c r="C541" t="n">
        <v>16958021</v>
      </c>
      <c r="D541" t="inlineStr">
        <is>
          <t>CDG财务管理</t>
        </is>
      </c>
      <c r="E541" t="inlineStr">
        <is>
          <t>AMS收入支持中心</t>
        </is>
      </c>
      <c r="G541" t="inlineStr">
        <is>
          <t>S2职能系统－财经线/CDG财务管理/AMS收入支持中心</t>
        </is>
      </c>
      <c r="H541" s="188" t="n">
        <v>43875</v>
      </c>
      <c r="I541" t="inlineStr">
        <is>
          <t>社会招聘</t>
        </is>
      </c>
      <c r="J541" t="inlineStr">
        <is>
          <t>财经类－FN</t>
        </is>
      </c>
      <c r="K541" t="inlineStr">
        <is>
          <t>财务管理</t>
        </is>
      </c>
      <c r="L541" t="inlineStr">
        <is>
          <t>S7</t>
        </is>
      </c>
      <c r="N541" t="inlineStr">
        <is>
          <t>T1</t>
        </is>
      </c>
      <c r="Q541" t="inlineStr">
        <is>
          <t>O,G</t>
        </is>
      </c>
      <c r="U541" t="n">
        <v>30265.25</v>
      </c>
      <c r="V541" t="n">
        <v>0.083333</v>
      </c>
      <c r="W541" t="inlineStr">
        <is>
          <t>CNY</t>
        </is>
      </c>
      <c r="X541" t="n">
        <v>1</v>
      </c>
      <c r="Y541" t="n">
        <v>29432.77</v>
      </c>
      <c r="Z541" t="n">
        <v>0</v>
      </c>
      <c r="AA541" t="n">
        <v>90795.75</v>
      </c>
      <c r="AB541" t="n">
        <v>60965</v>
      </c>
      <c r="AC541" t="n">
        <v>54475</v>
      </c>
      <c r="AF541" t="n">
        <v>0</v>
      </c>
      <c r="AG541" t="n">
        <v>206235.75</v>
      </c>
      <c r="AH541" t="n">
        <v>7.007011232717818</v>
      </c>
      <c r="AI541" t="n">
        <v>206235.75</v>
      </c>
      <c r="AJ541" t="n">
        <v>7.007011232717818</v>
      </c>
      <c r="AK541" t="n">
        <v>5.15618305718422</v>
      </c>
      <c r="AQ541" t="n">
        <v>206235.75</v>
      </c>
      <c r="AR541" t="n">
        <v>7.007011232717818</v>
      </c>
      <c r="AS541" t="n">
        <v>1.304010306345041</v>
      </c>
      <c r="BL541" t="n">
        <v>1</v>
      </c>
      <c r="BM541" t="n">
        <v>26280</v>
      </c>
      <c r="BN541" t="n">
        <v>0</v>
      </c>
      <c r="BO541" t="n">
        <v>27260</v>
      </c>
      <c r="BP541" t="inlineStr">
        <is>
          <t>G,O</t>
        </is>
      </c>
      <c r="BQ541" t="inlineStr">
        <is>
          <t>T1</t>
        </is>
      </c>
      <c r="BR541" t="n">
        <v>110030</v>
      </c>
      <c r="BS541" t="n">
        <v>4.186834094368341</v>
      </c>
      <c r="BT541" t="n">
        <v>48125</v>
      </c>
      <c r="BU541" t="n">
        <v>158155</v>
      </c>
      <c r="BV541" t="n">
        <v>6.018074581430746</v>
      </c>
      <c r="BY541" t="n">
        <v>158155</v>
      </c>
      <c r="BZ541" t="n">
        <v>6.018074581430746</v>
      </c>
      <c r="CP541" t="inlineStr">
        <is>
          <t>CDG财务管理</t>
        </is>
      </c>
      <c r="CQ541" t="inlineStr">
        <is>
          <t>5,3</t>
        </is>
      </c>
      <c r="CR541" t="n">
        <v>7</v>
      </c>
      <c r="CS541" t="inlineStr">
        <is>
          <t>T1</t>
        </is>
      </c>
      <c r="CT541" t="inlineStr">
        <is>
          <t>N</t>
        </is>
      </c>
    </row>
    <row r="542">
      <c r="A542" t="inlineStr">
        <is>
          <t>michelleJiang(姜琴)</t>
        </is>
      </c>
      <c r="C542" t="n">
        <v>56760832</v>
      </c>
      <c r="D542" t="inlineStr">
        <is>
          <t>行政支持中心</t>
        </is>
      </c>
      <c r="E542" t="inlineStr">
        <is>
          <t>秘书组</t>
        </is>
      </c>
      <c r="G542" t="inlineStr">
        <is>
          <t>S2职能系统－财经线/行政支持中心/秘书组</t>
        </is>
      </c>
      <c r="H542" s="188" t="n">
        <v>42045</v>
      </c>
      <c r="I542" t="inlineStr">
        <is>
          <t>社会招聘</t>
        </is>
      </c>
      <c r="J542" t="inlineStr">
        <is>
          <t>财经类－FN</t>
        </is>
      </c>
      <c r="K542" t="inlineStr">
        <is>
          <t>公司秘书</t>
        </is>
      </c>
      <c r="L542" t="inlineStr">
        <is>
          <t>S9</t>
        </is>
      </c>
      <c r="N542" t="inlineStr">
        <is>
          <t>Others</t>
        </is>
      </c>
      <c r="Q542" t="inlineStr">
        <is>
          <t>G,G</t>
        </is>
      </c>
      <c r="U542" t="n">
        <v>35846.9</v>
      </c>
      <c r="V542" t="n">
        <v>0.083333</v>
      </c>
      <c r="W542" t="inlineStr">
        <is>
          <t>CNY</t>
        </is>
      </c>
      <c r="X542" t="n">
        <v>1</v>
      </c>
      <c r="Y542" t="n">
        <v>33509.98</v>
      </c>
      <c r="Z542" t="n">
        <v>0</v>
      </c>
      <c r="AA542" t="n">
        <v>71693.8</v>
      </c>
      <c r="AB542" t="n">
        <v>28845</v>
      </c>
      <c r="AC542" t="n">
        <v>0</v>
      </c>
      <c r="AF542" t="n">
        <v>0</v>
      </c>
      <c r="AG542" t="n">
        <v>100538.8</v>
      </c>
      <c r="AH542" t="n">
        <v>3.000264398844762</v>
      </c>
      <c r="AI542" t="n">
        <v>100538.8</v>
      </c>
      <c r="AJ542" t="n">
        <v>3.000264398844762</v>
      </c>
      <c r="AK542" t="n">
        <v>3.000264398844762</v>
      </c>
      <c r="AQ542" t="n">
        <v>100538.8</v>
      </c>
      <c r="AR542" t="n">
        <v>3.000264398844762</v>
      </c>
      <c r="AS542" t="n">
        <v>0.9358976029788224</v>
      </c>
      <c r="BL542" t="n">
        <v>1</v>
      </c>
      <c r="BM542" t="n">
        <v>29805</v>
      </c>
      <c r="BN542" t="n">
        <v>0</v>
      </c>
      <c r="BO542" t="n">
        <v>31630</v>
      </c>
      <c r="BP542" t="inlineStr">
        <is>
          <t>G,G</t>
        </is>
      </c>
      <c r="BQ542" t="inlineStr">
        <is>
          <t>Others</t>
        </is>
      </c>
      <c r="BR542" t="n">
        <v>107425</v>
      </c>
      <c r="BS542" t="n">
        <v>3.604261030028518</v>
      </c>
      <c r="BT542" t="n">
        <v>0</v>
      </c>
      <c r="BU542" t="n">
        <v>107425</v>
      </c>
      <c r="BV542" t="n">
        <v>3.604261030028518</v>
      </c>
      <c r="BY542" t="n">
        <v>107425</v>
      </c>
      <c r="BZ542" t="n">
        <v>3.604261030028518</v>
      </c>
      <c r="CP542" t="inlineStr">
        <is>
          <t>行政支持中心</t>
        </is>
      </c>
      <c r="CQ542" t="inlineStr">
        <is>
          <t>3,3</t>
        </is>
      </c>
      <c r="CR542" t="n">
        <v>9</v>
      </c>
      <c r="CS542" t="inlineStr">
        <is>
          <t>Others</t>
        </is>
      </c>
      <c r="CT542" t="inlineStr">
        <is>
          <t>N</t>
        </is>
      </c>
    </row>
    <row r="543">
      <c r="A543" t="inlineStr">
        <is>
          <t>sophieWu(武茹)</t>
        </is>
      </c>
      <c r="C543" t="n">
        <v>46632555</v>
      </c>
      <c r="D543" t="inlineStr">
        <is>
          <t>董事会办公室</t>
        </is>
      </c>
      <c r="E543" t="inlineStr">
        <is>
          <t>公司治理财经办公室</t>
        </is>
      </c>
      <c r="G543" t="inlineStr">
        <is>
          <t>S2职能系统－财经线/董事会办公室/公司治理财经办公室</t>
        </is>
      </c>
      <c r="H543" s="188" t="n">
        <v>41286</v>
      </c>
      <c r="I543" t="inlineStr">
        <is>
          <t>社会招聘</t>
        </is>
      </c>
      <c r="J543" t="inlineStr">
        <is>
          <t>财经类－FN</t>
        </is>
      </c>
      <c r="K543" t="inlineStr">
        <is>
          <t>公司秘书</t>
        </is>
      </c>
      <c r="L543" t="inlineStr">
        <is>
          <t>S8</t>
        </is>
      </c>
      <c r="N543" t="inlineStr">
        <is>
          <t>T2</t>
        </is>
      </c>
      <c r="Q543" t="inlineStr">
        <is>
          <t>U,U</t>
        </is>
      </c>
      <c r="U543" t="n">
        <v>46769</v>
      </c>
      <c r="V543" t="n">
        <v>0.083333</v>
      </c>
      <c r="W543" t="inlineStr">
        <is>
          <t>CNY</t>
        </is>
      </c>
      <c r="X543" t="n">
        <v>1</v>
      </c>
      <c r="Y543" t="n">
        <v>45177.98</v>
      </c>
      <c r="Z543" t="n">
        <v>0</v>
      </c>
      <c r="AA543" t="n">
        <v>0</v>
      </c>
      <c r="AB543" t="n">
        <v>62640</v>
      </c>
      <c r="AC543" t="n">
        <v>0</v>
      </c>
      <c r="AF543" t="n">
        <v>0</v>
      </c>
      <c r="AG543" t="n">
        <v>62640</v>
      </c>
      <c r="AH543" t="n">
        <v>1.386516174472608</v>
      </c>
      <c r="AI543" t="n">
        <v>62640</v>
      </c>
      <c r="AJ543" t="n">
        <v>1.386516174472608</v>
      </c>
      <c r="AK543" t="n">
        <v>1.386516174472608</v>
      </c>
      <c r="AQ543" t="n">
        <v>62640</v>
      </c>
      <c r="AR543" t="n">
        <v>1.386516174472608</v>
      </c>
      <c r="AS543" t="n">
        <v>0.2961842167478368</v>
      </c>
      <c r="BL543" t="n">
        <v>1</v>
      </c>
      <c r="BM543" t="n">
        <v>38110</v>
      </c>
      <c r="BN543" t="n">
        <v>0</v>
      </c>
      <c r="BO543" t="n">
        <v>40535</v>
      </c>
      <c r="BP543" t="inlineStr">
        <is>
          <t>O,O</t>
        </is>
      </c>
      <c r="BQ543" t="inlineStr">
        <is>
          <t>T2</t>
        </is>
      </c>
      <c r="BR543" t="n">
        <v>211490</v>
      </c>
      <c r="BS543" t="n">
        <v>5.549462083442666</v>
      </c>
      <c r="BT543" t="n">
        <v>0</v>
      </c>
      <c r="BU543" t="n">
        <v>211490</v>
      </c>
      <c r="BV543" t="n">
        <v>5.549462083442666</v>
      </c>
      <c r="BY543" t="n">
        <v>211490</v>
      </c>
      <c r="BZ543" t="n">
        <v>5.549462083442666</v>
      </c>
      <c r="CP543" t="inlineStr">
        <is>
          <t>董事会办公室</t>
        </is>
      </c>
      <c r="CQ543" t="inlineStr">
        <is>
          <t>1,1</t>
        </is>
      </c>
      <c r="CR543" t="n">
        <v>8</v>
      </c>
      <c r="CS543" t="inlineStr">
        <is>
          <t>T2</t>
        </is>
      </c>
      <c r="CT543" t="inlineStr">
        <is>
          <t>N</t>
        </is>
      </c>
    </row>
    <row r="544">
      <c r="A544" t="inlineStr">
        <is>
          <t>royLin(林卓浩)</t>
        </is>
      </c>
      <c r="C544" t="n">
        <v>93138147</v>
      </c>
      <c r="D544" t="inlineStr">
        <is>
          <t>CSIG财务管理</t>
        </is>
      </c>
      <c r="E544" t="inlineStr">
        <is>
          <t>综合财务管理中心</t>
        </is>
      </c>
      <c r="G544" t="inlineStr">
        <is>
          <t>S2职能系统－财经线/CSIG财务管理/综合财务管理中心</t>
        </is>
      </c>
      <c r="H544" s="188" t="n">
        <v>38217</v>
      </c>
      <c r="I544" t="inlineStr">
        <is>
          <t>社会招聘</t>
        </is>
      </c>
      <c r="J544" t="inlineStr">
        <is>
          <t>财经类－FN</t>
        </is>
      </c>
      <c r="K544" t="inlineStr">
        <is>
          <t>财务管理</t>
        </is>
      </c>
      <c r="L544" t="inlineStr">
        <is>
          <t>S6</t>
        </is>
      </c>
      <c r="N544" t="inlineStr">
        <is>
          <t>T1</t>
        </is>
      </c>
      <c r="Q544" t="inlineStr">
        <is>
          <t>G,U</t>
        </is>
      </c>
      <c r="U544" t="n">
        <v>24762.65</v>
      </c>
      <c r="V544" t="n">
        <v>0.083333</v>
      </c>
      <c r="W544" t="inlineStr">
        <is>
          <t>CNY</t>
        </is>
      </c>
      <c r="X544" t="n">
        <v>1</v>
      </c>
      <c r="Y544" t="n">
        <v>22598.73</v>
      </c>
      <c r="Z544" t="n">
        <v>0</v>
      </c>
      <c r="AA544" t="n">
        <v>24762.65</v>
      </c>
      <c r="AB544" t="n">
        <v>57285</v>
      </c>
      <c r="AC544" t="n">
        <v>0</v>
      </c>
      <c r="AF544" t="n">
        <v>0</v>
      </c>
      <c r="AG544" t="n">
        <v>82047.64999999999</v>
      </c>
      <c r="AH544" t="n">
        <v>3.630631013335705</v>
      </c>
      <c r="AI544" t="n">
        <v>82047.64999999999</v>
      </c>
      <c r="AJ544" t="n">
        <v>3.630631013335705</v>
      </c>
      <c r="AK544" t="n">
        <v>3.630631013335705</v>
      </c>
      <c r="AQ544" t="n">
        <v>82047.64999999999</v>
      </c>
      <c r="AR544" t="n">
        <v>3.630631013335705</v>
      </c>
      <c r="AS544" t="n">
        <v>0.7451087499432411</v>
      </c>
      <c r="BL544" t="n">
        <v>1</v>
      </c>
      <c r="BM544" t="n">
        <v>21910</v>
      </c>
      <c r="BN544" t="n">
        <v>0</v>
      </c>
      <c r="BO544" t="n">
        <v>22785</v>
      </c>
      <c r="BP544" t="inlineStr">
        <is>
          <t>G,G</t>
        </is>
      </c>
      <c r="BQ544" t="inlineStr">
        <is>
          <t>T1</t>
        </is>
      </c>
      <c r="BR544" t="n">
        <v>70990</v>
      </c>
      <c r="BS544" t="n">
        <v>3.240073026015518</v>
      </c>
      <c r="BT544" t="n">
        <v>39125</v>
      </c>
      <c r="BU544" t="n">
        <v>110115</v>
      </c>
      <c r="BV544" t="n">
        <v>5.025787311729804</v>
      </c>
      <c r="BY544" t="n">
        <v>110115</v>
      </c>
      <c r="BZ544" t="n">
        <v>5.025787311729804</v>
      </c>
      <c r="CP544" t="inlineStr">
        <is>
          <t>CSIG财务管理</t>
        </is>
      </c>
      <c r="CQ544" t="inlineStr">
        <is>
          <t>3,1</t>
        </is>
      </c>
      <c r="CR544" t="n">
        <v>6</v>
      </c>
      <c r="CS544" t="inlineStr">
        <is>
          <t>T1</t>
        </is>
      </c>
      <c r="CT544" t="inlineStr">
        <is>
          <t>N</t>
        </is>
      </c>
    </row>
    <row r="545">
      <c r="A545" t="inlineStr">
        <is>
          <t>victoriaLiang(梁君)</t>
        </is>
      </c>
      <c r="C545" t="n">
        <v>37901065</v>
      </c>
      <c r="D545" t="inlineStr">
        <is>
          <t>CSIG财务管理</t>
        </is>
      </c>
      <c r="E545" t="inlineStr">
        <is>
          <t>行业财务管理1中心</t>
        </is>
      </c>
      <c r="G545" t="inlineStr">
        <is>
          <t>S2职能系统－财经线/CSIG财务管理/行业财务管理1中心</t>
        </is>
      </c>
      <c r="H545" s="188" t="n">
        <v>36757</v>
      </c>
      <c r="I545" t="inlineStr">
        <is>
          <t>社会招聘</t>
        </is>
      </c>
      <c r="J545" t="inlineStr">
        <is>
          <t>财经类－FN</t>
        </is>
      </c>
      <c r="K545" t="inlineStr">
        <is>
          <t>财务管理</t>
        </is>
      </c>
      <c r="L545" t="inlineStr">
        <is>
          <t>S12</t>
        </is>
      </c>
      <c r="M545" t="inlineStr">
        <is>
          <t>L1-1</t>
        </is>
      </c>
      <c r="N545" t="inlineStr">
        <is>
          <t>T1</t>
        </is>
      </c>
      <c r="Q545" t="inlineStr">
        <is>
          <t>U,O</t>
        </is>
      </c>
      <c r="U545" t="n">
        <v>69789.10000000001</v>
      </c>
      <c r="V545" t="n">
        <v>0.083333</v>
      </c>
      <c r="W545" t="inlineStr">
        <is>
          <t>CNY</t>
        </is>
      </c>
      <c r="X545" t="n">
        <v>1</v>
      </c>
      <c r="Y545" t="n">
        <v>67962.85000000001</v>
      </c>
      <c r="Z545" t="n">
        <v>0</v>
      </c>
      <c r="AA545" t="n">
        <v>139578.2</v>
      </c>
      <c r="AB545" t="n">
        <v>162075</v>
      </c>
      <c r="AC545" t="n">
        <v>0</v>
      </c>
      <c r="AF545" t="n">
        <v>50915</v>
      </c>
      <c r="AG545" t="n">
        <v>301653.2</v>
      </c>
      <c r="AH545" t="n">
        <v>4.438501328299211</v>
      </c>
      <c r="AI545" t="n">
        <v>352568.2</v>
      </c>
      <c r="AJ545" t="n">
        <v>5.187660611642978</v>
      </c>
      <c r="AK545" t="n">
        <v>5.187660611642978</v>
      </c>
      <c r="AQ545" t="n">
        <v>352568.2</v>
      </c>
      <c r="AR545" t="n">
        <v>5.187660611642978</v>
      </c>
      <c r="AS545" t="n">
        <v>0.7461602929038539</v>
      </c>
      <c r="BL545" t="n">
        <v>1</v>
      </c>
      <c r="BM545" t="n">
        <v>60890</v>
      </c>
      <c r="BN545" t="n">
        <v>0</v>
      </c>
      <c r="BO545" t="n">
        <v>61585</v>
      </c>
      <c r="BP545" t="inlineStr">
        <is>
          <t>O,G</t>
        </is>
      </c>
      <c r="BQ545" t="inlineStr">
        <is>
          <t>T1#</t>
        </is>
      </c>
      <c r="BR545" t="n">
        <v>369845</v>
      </c>
      <c r="BS545" t="n">
        <v>6.073985876170143</v>
      </c>
      <c r="BT545" t="n">
        <v>102665</v>
      </c>
      <c r="BU545" t="n">
        <v>472510</v>
      </c>
      <c r="BV545" t="n">
        <v>7.760059123008705</v>
      </c>
      <c r="BY545" t="n">
        <v>472510</v>
      </c>
      <c r="BZ545" t="n">
        <v>7.760059123008705</v>
      </c>
      <c r="CP545" t="inlineStr">
        <is>
          <t>CSIG财务管理</t>
        </is>
      </c>
      <c r="CQ545" t="inlineStr">
        <is>
          <t>5,1</t>
        </is>
      </c>
      <c r="CR545" t="n">
        <v>12</v>
      </c>
      <c r="CS545" t="inlineStr">
        <is>
          <t>T1</t>
        </is>
      </c>
      <c r="CT545" t="inlineStr">
        <is>
          <t>N</t>
        </is>
      </c>
    </row>
    <row r="546">
      <c r="A546" t="inlineStr">
        <is>
          <t>juliaWei(魏蝶)</t>
        </is>
      </c>
      <c r="C546" t="n">
        <v>50550498</v>
      </c>
      <c r="D546" t="inlineStr">
        <is>
          <t>CSIG财务管理</t>
        </is>
      </c>
      <c r="E546" t="inlineStr">
        <is>
          <t>行业财务管理2中心</t>
        </is>
      </c>
      <c r="G546" t="inlineStr">
        <is>
          <t>S2职能系统－财经线/CSIG财务管理/行业财务管理2中心</t>
        </is>
      </c>
      <c r="H546" s="188" t="n">
        <v>40488</v>
      </c>
      <c r="I546" t="inlineStr">
        <is>
          <t>社会招聘</t>
        </is>
      </c>
      <c r="J546" t="inlineStr">
        <is>
          <t>财经类－FN</t>
        </is>
      </c>
      <c r="K546" t="inlineStr">
        <is>
          <t>财务管理</t>
        </is>
      </c>
      <c r="L546" t="inlineStr">
        <is>
          <t>S5</t>
        </is>
      </c>
      <c r="N546" t="inlineStr">
        <is>
          <t>T2</t>
        </is>
      </c>
      <c r="Q546" t="inlineStr">
        <is>
          <t>O,U</t>
        </is>
      </c>
      <c r="U546" t="n">
        <v>26149.2</v>
      </c>
      <c r="V546" t="n">
        <v>0.083333</v>
      </c>
      <c r="W546" t="inlineStr">
        <is>
          <t>CNY</t>
        </is>
      </c>
      <c r="X546" t="n">
        <v>1</v>
      </c>
      <c r="Y546" t="n">
        <v>24441.91</v>
      </c>
      <c r="Z546" t="n">
        <v>0</v>
      </c>
      <c r="AA546" t="n">
        <v>52298.4</v>
      </c>
      <c r="AB546" t="n">
        <v>26505</v>
      </c>
      <c r="AC546" t="n">
        <v>0</v>
      </c>
      <c r="AF546" t="n">
        <v>0</v>
      </c>
      <c r="AG546" t="n">
        <v>78803.39999999999</v>
      </c>
      <c r="AH546" t="n">
        <v>3.224109736104912</v>
      </c>
      <c r="AI546" t="n">
        <v>78803.39999999999</v>
      </c>
      <c r="AJ546" t="n">
        <v>3.224109736104912</v>
      </c>
      <c r="AK546" t="n">
        <v>3.224109736104912</v>
      </c>
      <c r="AQ546" t="n">
        <v>78803.39999999999</v>
      </c>
      <c r="AR546" t="n">
        <v>3.224109736104912</v>
      </c>
      <c r="AS546" t="n">
        <v>0.7571789574825846</v>
      </c>
      <c r="BL546" t="n">
        <v>1</v>
      </c>
      <c r="BM546" t="n">
        <v>23190</v>
      </c>
      <c r="BN546" t="n">
        <v>0</v>
      </c>
      <c r="BO546" t="n">
        <v>23295</v>
      </c>
      <c r="BP546" t="inlineStr">
        <is>
          <t>O,G</t>
        </is>
      </c>
      <c r="BQ546" t="inlineStr">
        <is>
          <t>T2</t>
        </is>
      </c>
      <c r="BR546" t="n">
        <v>104075</v>
      </c>
      <c r="BS546" t="n">
        <v>4.487925830099181</v>
      </c>
      <c r="BT546" t="n">
        <v>0</v>
      </c>
      <c r="BU546" t="n">
        <v>104075</v>
      </c>
      <c r="BV546" t="n">
        <v>4.487925830099181</v>
      </c>
      <c r="BY546" t="n">
        <v>104075</v>
      </c>
      <c r="BZ546" t="n">
        <v>4.487925830099181</v>
      </c>
      <c r="CP546" t="inlineStr">
        <is>
          <t>CSIG财务管理</t>
        </is>
      </c>
      <c r="CQ546" t="inlineStr">
        <is>
          <t>5,1</t>
        </is>
      </c>
      <c r="CR546" t="n">
        <v>5</v>
      </c>
      <c r="CS546" t="inlineStr">
        <is>
          <t>T2</t>
        </is>
      </c>
      <c r="CT546" t="inlineStr">
        <is>
          <t>N</t>
        </is>
      </c>
    </row>
    <row r="547">
      <c r="A547" t="inlineStr">
        <is>
          <t>robertFan(范骏华)</t>
        </is>
      </c>
      <c r="C547" t="n">
        <v>96590800</v>
      </c>
      <c r="D547" t="inlineStr">
        <is>
          <t>CSIG财务管理</t>
        </is>
      </c>
      <c r="E547" t="inlineStr">
        <is>
          <t>行业财务管理3中心</t>
        </is>
      </c>
      <c r="G547" t="inlineStr">
        <is>
          <t>S2职能系统－财经线/CSIG财务管理/行业财务管理3中心</t>
        </is>
      </c>
      <c r="H547" s="188" t="n">
        <v>37313</v>
      </c>
      <c r="I547" t="inlineStr">
        <is>
          <t>社会招聘</t>
        </is>
      </c>
      <c r="J547" t="inlineStr">
        <is>
          <t>财经类－FN</t>
        </is>
      </c>
      <c r="K547" t="inlineStr">
        <is>
          <t>财务管理</t>
        </is>
      </c>
      <c r="L547" t="inlineStr">
        <is>
          <t>S7</t>
        </is>
      </c>
      <c r="N547" t="inlineStr">
        <is>
          <t>T1</t>
        </is>
      </c>
      <c r="Q547" t="inlineStr">
        <is>
          <t>G,G</t>
        </is>
      </c>
      <c r="U547" t="n">
        <v>33188.1</v>
      </c>
      <c r="V547" t="n">
        <v>0.083333</v>
      </c>
      <c r="W547" t="inlineStr">
        <is>
          <t>CNY</t>
        </is>
      </c>
      <c r="X547" t="n">
        <v>1</v>
      </c>
      <c r="Y547" t="n">
        <v>30972.27</v>
      </c>
      <c r="Z547" t="n">
        <v>0</v>
      </c>
      <c r="AA547" t="n">
        <v>66376.2</v>
      </c>
      <c r="AB547" t="n">
        <v>66685</v>
      </c>
      <c r="AC547" t="n">
        <v>46060</v>
      </c>
      <c r="AF547" t="n">
        <v>0</v>
      </c>
      <c r="AG547" t="n">
        <v>179121.2</v>
      </c>
      <c r="AH547" t="n">
        <v>5.783276459878466</v>
      </c>
      <c r="AI547" t="n">
        <v>179121.2</v>
      </c>
      <c r="AJ547" t="n">
        <v>5.783276459878466</v>
      </c>
      <c r="AK547" t="n">
        <v>4.296139740483988</v>
      </c>
      <c r="AQ547" t="n">
        <v>179121.2</v>
      </c>
      <c r="AR547" t="n">
        <v>5.783276459878466</v>
      </c>
      <c r="AS547" t="n">
        <v>0.9735641492512978</v>
      </c>
      <c r="BL547" t="n">
        <v>1</v>
      </c>
      <c r="BM547" t="n">
        <v>28550</v>
      </c>
      <c r="BN547" t="n">
        <v>0</v>
      </c>
      <c r="BO547" t="n">
        <v>31325</v>
      </c>
      <c r="BP547" t="inlineStr">
        <is>
          <t>O,G</t>
        </is>
      </c>
      <c r="BQ547" t="inlineStr">
        <is>
          <t>T1</t>
        </is>
      </c>
      <c r="BR547" t="n">
        <v>140415</v>
      </c>
      <c r="BS547" t="n">
        <v>4.918213660245184</v>
      </c>
      <c r="BT547" t="n">
        <v>43570</v>
      </c>
      <c r="BU547" t="n">
        <v>183985</v>
      </c>
      <c r="BV547" t="n">
        <v>6.44430823117338</v>
      </c>
      <c r="BY547" t="n">
        <v>183985</v>
      </c>
      <c r="BZ547" t="n">
        <v>6.44430823117338</v>
      </c>
      <c r="CP547" t="inlineStr">
        <is>
          <t>CSIG财务管理</t>
        </is>
      </c>
      <c r="CQ547" t="inlineStr">
        <is>
          <t>3,3</t>
        </is>
      </c>
      <c r="CR547" t="n">
        <v>7</v>
      </c>
      <c r="CS547" t="inlineStr">
        <is>
          <t>T1</t>
        </is>
      </c>
      <c r="CT547" t="inlineStr">
        <is>
          <t>N</t>
        </is>
      </c>
    </row>
    <row r="548">
      <c r="A548" t="inlineStr">
        <is>
          <t>haroldDeng(邓韬)</t>
        </is>
      </c>
      <c r="C548" t="n">
        <v>85748248</v>
      </c>
      <c r="D548" t="inlineStr">
        <is>
          <t>资金管理</t>
        </is>
      </c>
      <c r="E548" t="inlineStr">
        <is>
          <t>融资及资金筹划中心</t>
        </is>
      </c>
      <c r="G548" t="inlineStr">
        <is>
          <t>S2职能系统－财经线/资金管理/融资及资金筹划中心</t>
        </is>
      </c>
      <c r="H548" s="188" t="n">
        <v>41355</v>
      </c>
      <c r="I548" t="inlineStr">
        <is>
          <t>社会招聘</t>
        </is>
      </c>
      <c r="J548" t="inlineStr">
        <is>
          <t>财经类－FN</t>
        </is>
      </c>
      <c r="K548" t="inlineStr">
        <is>
          <t>资金管理</t>
        </is>
      </c>
      <c r="L548" t="inlineStr">
        <is>
          <t>S9</t>
        </is>
      </c>
      <c r="N548" t="inlineStr">
        <is>
          <t>T1</t>
        </is>
      </c>
      <c r="Q548" t="inlineStr">
        <is>
          <t>G,G</t>
        </is>
      </c>
      <c r="U548" t="n">
        <v>43860.5</v>
      </c>
      <c r="V548" t="n">
        <v>0.083333</v>
      </c>
      <c r="W548" t="inlineStr">
        <is>
          <t>CNY</t>
        </is>
      </c>
      <c r="X548" t="n">
        <v>1</v>
      </c>
      <c r="Y548" t="n">
        <v>42147.89</v>
      </c>
      <c r="Z548" t="n">
        <v>0</v>
      </c>
      <c r="AA548" t="n">
        <v>87721</v>
      </c>
      <c r="AB548" t="n">
        <v>94785</v>
      </c>
      <c r="AC548" t="n">
        <v>61200</v>
      </c>
      <c r="AF548" t="n">
        <v>0</v>
      </c>
      <c r="AG548" t="n">
        <v>243706</v>
      </c>
      <c r="AH548" t="n">
        <v>5.782163709737309</v>
      </c>
      <c r="AI548" t="n">
        <v>243706</v>
      </c>
      <c r="AJ548" t="n">
        <v>5.782163709737309</v>
      </c>
      <c r="AK548" t="n">
        <v>4.330133726741718</v>
      </c>
      <c r="AQ548" t="n">
        <v>243706</v>
      </c>
      <c r="AR548" t="n">
        <v>5.782163709737309</v>
      </c>
      <c r="AS548" t="n">
        <v>1.101869560302928</v>
      </c>
      <c r="BL548" t="n">
        <v>1</v>
      </c>
      <c r="BM548" t="n">
        <v>35845</v>
      </c>
      <c r="BN548" t="n">
        <v>0</v>
      </c>
      <c r="BO548" t="n">
        <v>36770</v>
      </c>
      <c r="BP548" t="inlineStr">
        <is>
          <t>O,G</t>
        </is>
      </c>
      <c r="BQ548" t="inlineStr">
        <is>
          <t>T1</t>
        </is>
      </c>
      <c r="BR548" t="n">
        <v>150485</v>
      </c>
      <c r="BS548" t="n">
        <v>4.198214534802623</v>
      </c>
      <c r="BT548" t="n">
        <v>70690</v>
      </c>
      <c r="BU548" t="n">
        <v>221175</v>
      </c>
      <c r="BV548" t="n">
        <v>6.170316641093597</v>
      </c>
      <c r="BY548" t="n">
        <v>221175</v>
      </c>
      <c r="BZ548" t="n">
        <v>6.170316641093597</v>
      </c>
      <c r="CP548" t="inlineStr">
        <is>
          <t>资金管理</t>
        </is>
      </c>
      <c r="CQ548" t="inlineStr">
        <is>
          <t>3,3</t>
        </is>
      </c>
      <c r="CR548" t="n">
        <v>9</v>
      </c>
      <c r="CS548" t="inlineStr">
        <is>
          <t>T1</t>
        </is>
      </c>
      <c r="CT548" t="inlineStr">
        <is>
          <t>N</t>
        </is>
      </c>
    </row>
    <row r="549">
      <c r="A549" t="inlineStr">
        <is>
          <t>donaldQian(钱文超)</t>
        </is>
      </c>
      <c r="C549" t="n">
        <v>16031101</v>
      </c>
      <c r="D549" t="inlineStr">
        <is>
          <t>财经投资并购及管理部</t>
        </is>
      </c>
      <c r="E549" t="inlineStr">
        <is>
          <t>行业及项目管理中心</t>
        </is>
      </c>
      <c r="G549" t="inlineStr">
        <is>
          <t>S2职能系统－财经线/财经投资并购及管理部/行业及项目管理中心</t>
        </is>
      </c>
      <c r="H549" s="188" t="n">
        <v>43563</v>
      </c>
      <c r="I549" t="inlineStr">
        <is>
          <t>社会招聘</t>
        </is>
      </c>
      <c r="J549" t="inlineStr">
        <is>
          <t>财经类－FN</t>
        </is>
      </c>
      <c r="K549" t="inlineStr">
        <is>
          <t>投资并购</t>
        </is>
      </c>
      <c r="L549" t="inlineStr">
        <is>
          <t>S11</t>
        </is>
      </c>
      <c r="N549" t="inlineStr">
        <is>
          <t>T2</t>
        </is>
      </c>
      <c r="Q549" t="inlineStr">
        <is>
          <t>G,O</t>
        </is>
      </c>
      <c r="U549" t="n">
        <v>47337.05</v>
      </c>
      <c r="V549" t="n">
        <v>0.083333</v>
      </c>
      <c r="W549" t="inlineStr">
        <is>
          <t>CNY</t>
        </is>
      </c>
      <c r="X549" t="n">
        <v>1</v>
      </c>
      <c r="Y549" t="n">
        <v>43042.28</v>
      </c>
      <c r="Z549" t="n">
        <v>0</v>
      </c>
      <c r="AA549" t="n">
        <v>142011.15</v>
      </c>
      <c r="AB549" t="n">
        <v>62780</v>
      </c>
      <c r="AC549" t="n">
        <v>0</v>
      </c>
      <c r="AF549" t="n">
        <v>0</v>
      </c>
      <c r="AG549" t="n">
        <v>204791.15</v>
      </c>
      <c r="AH549" t="n">
        <v>4.757906644350625</v>
      </c>
      <c r="AI549" t="n">
        <v>204791.15</v>
      </c>
      <c r="AJ549" t="n">
        <v>4.757906644350625</v>
      </c>
      <c r="AK549" t="n">
        <v>4.757906644350625</v>
      </c>
      <c r="AQ549" t="n">
        <v>204791.15</v>
      </c>
      <c r="AR549" t="n">
        <v>4.757906644350625</v>
      </c>
      <c r="AS549" t="n">
        <v>2.014768557233509</v>
      </c>
      <c r="BL549" t="n">
        <v>1</v>
      </c>
      <c r="BM549" t="n">
        <v>40190</v>
      </c>
      <c r="BN549" t="n">
        <v>0</v>
      </c>
      <c r="BO549" t="n">
        <v>42590</v>
      </c>
      <c r="BP549" t="inlineStr">
        <is>
          <t>U,G</t>
        </is>
      </c>
      <c r="BQ549" t="inlineStr">
        <is>
          <t>T2</t>
        </is>
      </c>
      <c r="BR549" t="n">
        <v>101645</v>
      </c>
      <c r="BS549" t="n">
        <v>2.529111719333168</v>
      </c>
      <c r="BT549" t="n">
        <v>0</v>
      </c>
      <c r="BU549" t="n">
        <v>101645</v>
      </c>
      <c r="BV549" t="n">
        <v>2.529111719333168</v>
      </c>
      <c r="BY549" t="n">
        <v>101645</v>
      </c>
      <c r="BZ549" t="n">
        <v>2.529111719333168</v>
      </c>
      <c r="CP549" t="inlineStr">
        <is>
          <t>财经投资并购及管理部</t>
        </is>
      </c>
      <c r="CQ549" t="inlineStr">
        <is>
          <t>5,3</t>
        </is>
      </c>
      <c r="CR549" t="n">
        <v>11</v>
      </c>
      <c r="CS549" t="inlineStr">
        <is>
          <t>T2</t>
        </is>
      </c>
      <c r="CT549" t="inlineStr">
        <is>
          <t>N</t>
        </is>
      </c>
    </row>
    <row r="550">
      <c r="A550" t="inlineStr">
        <is>
          <t>andrewCao(曹伟)</t>
        </is>
      </c>
      <c r="C550" t="n">
        <v>23560136</v>
      </c>
      <c r="D550" t="inlineStr">
        <is>
          <t>风险管理和内部控制</t>
        </is>
      </c>
      <c r="E550" t="inlineStr">
        <is>
          <t>TEG风控组</t>
        </is>
      </c>
      <c r="G550" t="inlineStr">
        <is>
          <t>S2职能系统－财经线/风险管理和内部控制/TEG风控组</t>
        </is>
      </c>
      <c r="H550" s="188" t="n">
        <v>42697</v>
      </c>
      <c r="I550" t="inlineStr">
        <is>
          <t>高校招聘</t>
        </is>
      </c>
      <c r="J550" t="inlineStr">
        <is>
          <t>财经类－FN</t>
        </is>
      </c>
      <c r="K550" t="inlineStr">
        <is>
          <t>风险管理</t>
        </is>
      </c>
      <c r="L550" t="inlineStr">
        <is>
          <t>S6</t>
        </is>
      </c>
      <c r="N550" t="inlineStr">
        <is>
          <t>T2</t>
        </is>
      </c>
      <c r="Q550" t="inlineStr">
        <is>
          <t>O,G</t>
        </is>
      </c>
      <c r="U550" t="n">
        <v>36251.15</v>
      </c>
      <c r="V550" t="n">
        <v>0.083333</v>
      </c>
      <c r="W550" t="inlineStr">
        <is>
          <t>CNY</t>
        </is>
      </c>
      <c r="X550" t="n">
        <v>1</v>
      </c>
      <c r="Y550" t="n">
        <v>34907.75</v>
      </c>
      <c r="Z550" t="n">
        <v>0</v>
      </c>
      <c r="AA550" t="n">
        <v>108753.45</v>
      </c>
      <c r="AB550" t="n">
        <v>39505</v>
      </c>
      <c r="AC550" t="n">
        <v>0</v>
      </c>
      <c r="AF550" t="n">
        <v>0</v>
      </c>
      <c r="AG550" t="n">
        <v>148258.45</v>
      </c>
      <c r="AH550" t="n">
        <v>4.24714998818314</v>
      </c>
      <c r="AI550" t="n">
        <v>148258.45</v>
      </c>
      <c r="AJ550" t="n">
        <v>4.24714998818314</v>
      </c>
      <c r="AK550" t="n">
        <v>4.24714998818314</v>
      </c>
      <c r="AQ550" t="n">
        <v>148258.45</v>
      </c>
      <c r="AR550" t="n">
        <v>4.24714998818314</v>
      </c>
      <c r="AS550" t="n">
        <v>1.362982762583314</v>
      </c>
      <c r="BL550" t="n">
        <v>1</v>
      </c>
      <c r="BM550" t="n">
        <v>29375</v>
      </c>
      <c r="BN550" t="n">
        <v>0</v>
      </c>
      <c r="BO550" t="n">
        <v>31150</v>
      </c>
      <c r="BP550" t="inlineStr">
        <is>
          <t>G,G</t>
        </is>
      </c>
      <c r="BQ550" t="inlineStr">
        <is>
          <t>T2</t>
        </is>
      </c>
      <c r="BR550" t="n">
        <v>108775</v>
      </c>
      <c r="BS550" t="n">
        <v>3.702978723404255</v>
      </c>
      <c r="BT550" t="n">
        <v>0</v>
      </c>
      <c r="BU550" t="n">
        <v>108775</v>
      </c>
      <c r="BV550" t="n">
        <v>3.702978723404255</v>
      </c>
      <c r="BY550" t="n">
        <v>108775</v>
      </c>
      <c r="BZ550" t="n">
        <v>3.702978723404255</v>
      </c>
      <c r="CP550" t="inlineStr">
        <is>
          <t>风险管理和内部控制</t>
        </is>
      </c>
      <c r="CQ550" t="inlineStr">
        <is>
          <t>5,3</t>
        </is>
      </c>
      <c r="CR550" t="n">
        <v>6</v>
      </c>
      <c r="CS550" t="inlineStr">
        <is>
          <t>T2</t>
        </is>
      </c>
      <c r="CT550" t="inlineStr">
        <is>
          <t>N</t>
        </is>
      </c>
    </row>
    <row r="551">
      <c r="A551" t="inlineStr">
        <is>
          <t>carolineJin(金婷蓉)</t>
        </is>
      </c>
      <c r="C551" t="n">
        <v>46726061</v>
      </c>
      <c r="D551" t="inlineStr">
        <is>
          <t>CFO办公室</t>
        </is>
      </c>
      <c r="E551" t="inlineStr">
        <is>
          <t>集团个税及综合项目组</t>
        </is>
      </c>
      <c r="G551" t="inlineStr">
        <is>
          <t>S2职能系统－财经线/CFO办公室/集团个税及综合项目组</t>
        </is>
      </c>
      <c r="H551" s="188" t="n">
        <v>44847</v>
      </c>
      <c r="I551" t="inlineStr">
        <is>
          <t>社会招聘</t>
        </is>
      </c>
      <c r="J551" t="inlineStr">
        <is>
          <t>财经类－FN</t>
        </is>
      </c>
      <c r="K551" t="inlineStr">
        <is>
          <t>投资者关系</t>
        </is>
      </c>
      <c r="L551" t="inlineStr">
        <is>
          <t>S9</t>
        </is>
      </c>
      <c r="N551" t="inlineStr">
        <is>
          <t>T1</t>
        </is>
      </c>
      <c r="Q551" t="inlineStr">
        <is>
          <t>G,G</t>
        </is>
      </c>
      <c r="U551" t="n">
        <v>54548.75</v>
      </c>
      <c r="V551" t="n">
        <v>0.083333</v>
      </c>
      <c r="W551" t="inlineStr">
        <is>
          <t>CNY</t>
        </is>
      </c>
      <c r="X551" t="n">
        <v>1</v>
      </c>
      <c r="Y551" t="n">
        <v>49644.74</v>
      </c>
      <c r="Z551" t="n">
        <v>0</v>
      </c>
      <c r="AA551" t="n">
        <v>109097.5</v>
      </c>
      <c r="AB551" t="n">
        <v>113315</v>
      </c>
      <c r="AC551" t="n">
        <v>63450</v>
      </c>
      <c r="AF551" t="n">
        <v>0</v>
      </c>
      <c r="AG551" t="n">
        <v>285862.5</v>
      </c>
      <c r="AH551" t="n">
        <v>5.758162899030189</v>
      </c>
      <c r="AI551" t="n">
        <v>285862.5</v>
      </c>
      <c r="AJ551" t="n">
        <v>5.758162899030189</v>
      </c>
      <c r="AK551" t="n">
        <v>4.480081877757845</v>
      </c>
      <c r="AQ551" t="n">
        <v>285862.5</v>
      </c>
      <c r="AR551" t="n">
        <v>5.758162899030189</v>
      </c>
      <c r="AS551" t="n">
        <v>1.168741567521158</v>
      </c>
      <c r="BL551" t="n">
        <v>1</v>
      </c>
      <c r="BM551" t="n">
        <v>46275</v>
      </c>
      <c r="BN551" t="n">
        <v>0</v>
      </c>
      <c r="BO551" t="n">
        <v>49780</v>
      </c>
      <c r="BP551" t="inlineStr">
        <is>
          <t>G,G</t>
        </is>
      </c>
      <c r="BQ551" t="inlineStr">
        <is>
          <t>T1</t>
        </is>
      </c>
      <c r="BR551" t="n">
        <v>172550</v>
      </c>
      <c r="BS551" t="n">
        <v>3.728795245813074</v>
      </c>
      <c r="BT551" t="n">
        <v>72040</v>
      </c>
      <c r="BU551" t="n">
        <v>244590</v>
      </c>
      <c r="BV551" t="n">
        <v>5.285575364667747</v>
      </c>
      <c r="BY551" t="n">
        <v>244590</v>
      </c>
      <c r="BZ551" t="n">
        <v>5.285575364667747</v>
      </c>
      <c r="CP551" t="inlineStr">
        <is>
          <t>CFO办公室</t>
        </is>
      </c>
      <c r="CQ551" t="inlineStr">
        <is>
          <t>3,3</t>
        </is>
      </c>
      <c r="CR551" t="n">
        <v>9</v>
      </c>
      <c r="CS551" t="inlineStr">
        <is>
          <t>T1</t>
        </is>
      </c>
      <c r="CT551" t="inlineStr">
        <is>
          <t>N</t>
        </is>
      </c>
    </row>
    <row r="552">
      <c r="A552" t="inlineStr">
        <is>
          <t>teresaJia(贾佳)</t>
        </is>
      </c>
      <c r="C552" t="n">
        <v>26918804</v>
      </c>
      <c r="D552" t="inlineStr">
        <is>
          <t>预算及职能系统财务管理部</t>
        </is>
      </c>
      <c r="E552" t="inlineStr">
        <is>
          <t>预算管理中心</t>
        </is>
      </c>
      <c r="G552" t="inlineStr">
        <is>
          <t>S2职能系统－财经线/预算及职能系统财务管理部/预算管理中心</t>
        </is>
      </c>
      <c r="H552" s="188" t="n">
        <v>38142</v>
      </c>
      <c r="I552" t="inlineStr">
        <is>
          <t>社会招聘</t>
        </is>
      </c>
      <c r="J552" t="inlineStr">
        <is>
          <t>财经类－FN</t>
        </is>
      </c>
      <c r="K552" t="inlineStr">
        <is>
          <t>预算管理</t>
        </is>
      </c>
      <c r="L552" t="inlineStr">
        <is>
          <t>S9</t>
        </is>
      </c>
      <c r="N552" t="inlineStr">
        <is>
          <t>T1#</t>
        </is>
      </c>
      <c r="Q552" t="inlineStr">
        <is>
          <t>O,U</t>
        </is>
      </c>
      <c r="U552" t="n">
        <v>54047.35</v>
      </c>
      <c r="V552" t="n">
        <v>0.083333</v>
      </c>
      <c r="W552" t="inlineStr">
        <is>
          <t>CNY</t>
        </is>
      </c>
      <c r="X552" t="n">
        <v>1</v>
      </c>
      <c r="Y552" t="n">
        <v>52901.98</v>
      </c>
      <c r="Z552" t="n">
        <v>0</v>
      </c>
      <c r="AA552" t="n">
        <v>108094.7</v>
      </c>
      <c r="AB552" t="n">
        <v>169055</v>
      </c>
      <c r="AC552" t="n">
        <v>0</v>
      </c>
      <c r="AF552" t="n">
        <v>0</v>
      </c>
      <c r="AG552" t="n">
        <v>277149.7</v>
      </c>
      <c r="AH552" t="n">
        <v>5.238928675259413</v>
      </c>
      <c r="AI552" t="n">
        <v>277149.7</v>
      </c>
      <c r="AJ552" t="n">
        <v>5.238928675259413</v>
      </c>
      <c r="AK552" t="n">
        <v>5.238928675259413</v>
      </c>
      <c r="AQ552" t="n">
        <v>277149.7</v>
      </c>
      <c r="AR552" t="n">
        <v>5.238928675259413</v>
      </c>
      <c r="AS552" t="n">
        <v>0.733433100455171</v>
      </c>
      <c r="BL552" t="n">
        <v>1</v>
      </c>
      <c r="BM552" t="n">
        <v>47140</v>
      </c>
      <c r="BN552" t="n">
        <v>0</v>
      </c>
      <c r="BO552" t="n">
        <v>47490</v>
      </c>
      <c r="BP552" t="inlineStr">
        <is>
          <t>O,G</t>
        </is>
      </c>
      <c r="BQ552" t="inlineStr">
        <is>
          <t>T1#</t>
        </is>
      </c>
      <c r="BR552" t="n">
        <v>302680</v>
      </c>
      <c r="BS552" t="n">
        <v>6.420873992363173</v>
      </c>
      <c r="BT552" t="n">
        <v>75200</v>
      </c>
      <c r="BU552" t="n">
        <v>377880</v>
      </c>
      <c r="BV552" t="n">
        <v>8.016122189223589</v>
      </c>
      <c r="BY552" t="n">
        <v>377880</v>
      </c>
      <c r="BZ552" t="n">
        <v>8.016122189223589</v>
      </c>
      <c r="CP552" t="inlineStr">
        <is>
          <t>预算及职能系统财务管理部</t>
        </is>
      </c>
      <c r="CQ552" t="inlineStr">
        <is>
          <t>5,1</t>
        </is>
      </c>
      <c r="CR552" t="n">
        <v>9</v>
      </c>
      <c r="CS552" t="inlineStr">
        <is>
          <t>T1#</t>
        </is>
      </c>
      <c r="CT552" t="inlineStr">
        <is>
          <t>N</t>
        </is>
      </c>
    </row>
    <row r="553">
      <c r="A553" t="inlineStr">
        <is>
          <t>kathrynLiang(梁燕欣)</t>
        </is>
      </c>
      <c r="C553" t="n">
        <v>3827049</v>
      </c>
      <c r="D553" t="inlineStr">
        <is>
          <t>行政支持中心</t>
        </is>
      </c>
      <c r="E553" t="inlineStr">
        <is>
          <t>秘书组</t>
        </is>
      </c>
      <c r="G553" t="inlineStr">
        <is>
          <t>S2职能系统－财经线/行政支持中心/秘书组</t>
        </is>
      </c>
      <c r="H553" s="188" t="n">
        <v>41423</v>
      </c>
      <c r="I553" t="inlineStr">
        <is>
          <t>社会招聘</t>
        </is>
      </c>
      <c r="J553" t="inlineStr">
        <is>
          <t>财经类－FN</t>
        </is>
      </c>
      <c r="K553" t="inlineStr">
        <is>
          <t>公司秘书</t>
        </is>
      </c>
      <c r="L553" t="inlineStr">
        <is>
          <t>S8</t>
        </is>
      </c>
      <c r="N553" t="inlineStr">
        <is>
          <t>T1#</t>
        </is>
      </c>
      <c r="Q553" t="inlineStr">
        <is>
          <t>G,O</t>
        </is>
      </c>
      <c r="U553" t="n">
        <v>49276.85</v>
      </c>
      <c r="V553" t="n">
        <v>0.083333</v>
      </c>
      <c r="W553" t="inlineStr">
        <is>
          <t>CNY</t>
        </is>
      </c>
      <c r="X553" t="n">
        <v>1</v>
      </c>
      <c r="Y553" t="n">
        <v>44382.27</v>
      </c>
      <c r="Z553" t="n">
        <v>0</v>
      </c>
      <c r="AA553" t="n">
        <v>147830.55</v>
      </c>
      <c r="AB553" t="n">
        <v>150410</v>
      </c>
      <c r="AC553" t="n">
        <v>70495</v>
      </c>
      <c r="AF553" t="n">
        <v>0</v>
      </c>
      <c r="AG553" t="n">
        <v>368735.55</v>
      </c>
      <c r="AH553" t="n">
        <v>8.308172385053762</v>
      </c>
      <c r="AI553" t="n">
        <v>368735.55</v>
      </c>
      <c r="AJ553" t="n">
        <v>8.308172385053762</v>
      </c>
      <c r="AK553" t="n">
        <v>6.719812889246088</v>
      </c>
      <c r="AQ553" t="n">
        <v>368735.55</v>
      </c>
      <c r="AR553" t="n">
        <v>8.308172385053762</v>
      </c>
      <c r="AS553" t="n">
        <v>1.222314283820068</v>
      </c>
      <c r="BL553" t="n">
        <v>1</v>
      </c>
      <c r="BM553" t="n">
        <v>44040</v>
      </c>
      <c r="BN553" t="n">
        <v>0</v>
      </c>
      <c r="BO553" t="n">
        <v>45150</v>
      </c>
      <c r="BP553" t="inlineStr">
        <is>
          <t>G,G</t>
        </is>
      </c>
      <c r="BQ553" t="inlineStr">
        <is>
          <t>T1#</t>
        </is>
      </c>
      <c r="BR553" t="n">
        <v>241170</v>
      </c>
      <c r="BS553" t="n">
        <v>5.476158038147139</v>
      </c>
      <c r="BT553" t="n">
        <v>60500</v>
      </c>
      <c r="BU553" t="n">
        <v>301670</v>
      </c>
      <c r="BV553" t="n">
        <v>6.849909173478656</v>
      </c>
      <c r="BY553" t="n">
        <v>301670</v>
      </c>
      <c r="BZ553" t="n">
        <v>6.849909173478656</v>
      </c>
      <c r="CP553" t="inlineStr">
        <is>
          <t>行政支持中心</t>
        </is>
      </c>
      <c r="CQ553" t="inlineStr">
        <is>
          <t>5,3</t>
        </is>
      </c>
      <c r="CR553" t="n">
        <v>8</v>
      </c>
      <c r="CS553" t="inlineStr">
        <is>
          <t>T1#</t>
        </is>
      </c>
      <c r="CT553" t="inlineStr">
        <is>
          <t>N</t>
        </is>
      </c>
    </row>
    <row r="554">
      <c r="A554" t="inlineStr">
        <is>
          <t>nancyWang(王君)</t>
        </is>
      </c>
      <c r="C554" t="n">
        <v>36753605</v>
      </c>
      <c r="D554" t="inlineStr">
        <is>
          <t>财会及报告管理部</t>
        </is>
      </c>
      <c r="E554" t="inlineStr">
        <is>
          <t>账务中心</t>
        </is>
      </c>
      <c r="G554" t="inlineStr">
        <is>
          <t>S2职能系统－财经线/财会及报告管理部/账务中心</t>
        </is>
      </c>
      <c r="H554" s="188" t="n">
        <v>40671</v>
      </c>
      <c r="I554" t="inlineStr">
        <is>
          <t>社会招聘</t>
        </is>
      </c>
      <c r="J554" t="inlineStr">
        <is>
          <t>财经类－FN</t>
        </is>
      </c>
      <c r="K554" t="inlineStr">
        <is>
          <t>会计</t>
        </is>
      </c>
      <c r="L554" t="inlineStr">
        <is>
          <t>S8</t>
        </is>
      </c>
      <c r="N554" t="inlineStr">
        <is>
          <t>T1#</t>
        </is>
      </c>
      <c r="Q554" t="inlineStr">
        <is>
          <t>O,G</t>
        </is>
      </c>
      <c r="U554" t="n">
        <v>28942.45</v>
      </c>
      <c r="V554" t="n">
        <v>0.083333</v>
      </c>
      <c r="W554" t="inlineStr">
        <is>
          <t>CNY</t>
        </is>
      </c>
      <c r="X554" t="n">
        <v>1</v>
      </c>
      <c r="Y554" t="n">
        <v>27691.2</v>
      </c>
      <c r="Z554" t="n">
        <v>0</v>
      </c>
      <c r="AA554" t="n">
        <v>86827.35000000001</v>
      </c>
      <c r="AB554" t="n">
        <v>89655</v>
      </c>
      <c r="AC554" t="n">
        <v>31185</v>
      </c>
      <c r="AF554" t="n">
        <v>0</v>
      </c>
      <c r="AG554" t="n">
        <v>207667.35</v>
      </c>
      <c r="AH554" t="n">
        <v>7.499398725949038</v>
      </c>
      <c r="AI554" t="n">
        <v>207667.35</v>
      </c>
      <c r="AJ554" t="n">
        <v>7.499398725949038</v>
      </c>
      <c r="AK554" t="n">
        <v>6.373228679147166</v>
      </c>
      <c r="AQ554" t="n">
        <v>207667.35</v>
      </c>
      <c r="AR554" t="n">
        <v>7.499398725949038</v>
      </c>
      <c r="AS554" t="n">
        <v>1.087690716249836</v>
      </c>
      <c r="BL554" t="n">
        <v>1</v>
      </c>
      <c r="BM554" t="n">
        <v>24990</v>
      </c>
      <c r="BN554" t="n">
        <v>0</v>
      </c>
      <c r="BO554" t="n">
        <v>27035</v>
      </c>
      <c r="BP554" t="inlineStr">
        <is>
          <t>G,G</t>
        </is>
      </c>
      <c r="BQ554" t="inlineStr">
        <is>
          <t>T1#</t>
        </is>
      </c>
      <c r="BR554" t="n">
        <v>145610</v>
      </c>
      <c r="BS554" t="n">
        <v>5.826730692276911</v>
      </c>
      <c r="BT554" t="n">
        <v>45315</v>
      </c>
      <c r="BU554" t="n">
        <v>190925</v>
      </c>
      <c r="BV554" t="n">
        <v>7.640056022408964</v>
      </c>
      <c r="BY554" t="n">
        <v>190925</v>
      </c>
      <c r="BZ554" t="n">
        <v>7.640056022408964</v>
      </c>
      <c r="CP554" t="inlineStr">
        <is>
          <t>财会及报告管理部</t>
        </is>
      </c>
      <c r="CQ554" t="inlineStr">
        <is>
          <t>5,3</t>
        </is>
      </c>
      <c r="CR554" t="n">
        <v>8</v>
      </c>
      <c r="CS554" t="inlineStr">
        <is>
          <t>T1#</t>
        </is>
      </c>
      <c r="CT554" t="inlineStr">
        <is>
          <t>N</t>
        </is>
      </c>
    </row>
    <row r="555">
      <c r="A555" t="inlineStr">
        <is>
          <t>hannahZhang(张英妍)</t>
        </is>
      </c>
      <c r="C555" t="n">
        <v>81100341</v>
      </c>
      <c r="D555" t="inlineStr">
        <is>
          <t>财经投资并购及管理部</t>
        </is>
      </c>
      <c r="E555" t="inlineStr">
        <is>
          <t>行业及项目管理中心</t>
        </is>
      </c>
      <c r="G555" t="inlineStr">
        <is>
          <t>S2职能系统－财经线/财经投资并购及管理部/行业及项目管理中心</t>
        </is>
      </c>
      <c r="H555" s="188" t="n">
        <v>41051</v>
      </c>
      <c r="I555" t="inlineStr">
        <is>
          <t>高校招聘</t>
        </is>
      </c>
      <c r="J555" t="inlineStr">
        <is>
          <t>财经类－FN</t>
        </is>
      </c>
      <c r="K555" t="inlineStr">
        <is>
          <t>投资并购</t>
        </is>
      </c>
      <c r="L555" t="inlineStr">
        <is>
          <t>S11</t>
        </is>
      </c>
      <c r="N555" t="inlineStr">
        <is>
          <t>T1</t>
        </is>
      </c>
      <c r="Q555" t="inlineStr">
        <is>
          <t>G,O</t>
        </is>
      </c>
      <c r="U555" t="n">
        <v>47104.1</v>
      </c>
      <c r="V555" t="n">
        <v>0.083333</v>
      </c>
      <c r="W555" t="inlineStr">
        <is>
          <t>CNY</t>
        </is>
      </c>
      <c r="X555" t="n">
        <v>1</v>
      </c>
      <c r="Y555" t="n">
        <v>43011.58</v>
      </c>
      <c r="Z555" t="n">
        <v>0</v>
      </c>
      <c r="AA555" t="n">
        <v>141312.3</v>
      </c>
      <c r="AB555" t="n">
        <v>107135</v>
      </c>
      <c r="AC555" t="n">
        <v>52010</v>
      </c>
      <c r="AF555" t="n">
        <v>0</v>
      </c>
      <c r="AG555" t="n">
        <v>300457.3</v>
      </c>
      <c r="AH555" t="n">
        <v>6.985497858948682</v>
      </c>
      <c r="AI555" t="n">
        <v>300457.3</v>
      </c>
      <c r="AJ555" t="n">
        <v>6.985497858948682</v>
      </c>
      <c r="AK555" t="n">
        <v>5.77628861808843</v>
      </c>
      <c r="AQ555" t="n">
        <v>300457.3</v>
      </c>
      <c r="AR555" t="n">
        <v>6.985497858948682</v>
      </c>
      <c r="AS555" t="n">
        <v>1.053515314083346</v>
      </c>
      <c r="BL555" t="n">
        <v>1</v>
      </c>
      <c r="BM555" t="n">
        <v>41125</v>
      </c>
      <c r="BN555" t="n">
        <v>0</v>
      </c>
      <c r="BO555" t="n">
        <v>42785</v>
      </c>
      <c r="BP555" t="inlineStr">
        <is>
          <t>G,G</t>
        </is>
      </c>
      <c r="BQ555" t="inlineStr">
        <is>
          <t>T1#</t>
        </is>
      </c>
      <c r="BR555" t="n">
        <v>225820</v>
      </c>
      <c r="BS555" t="n">
        <v>5.491063829787234</v>
      </c>
      <c r="BT555" t="n">
        <v>59375</v>
      </c>
      <c r="BU555" t="n">
        <v>285195</v>
      </c>
      <c r="BV555" t="n">
        <v>6.93483282674772</v>
      </c>
      <c r="BY555" t="n">
        <v>285195</v>
      </c>
      <c r="BZ555" t="n">
        <v>6.93483282674772</v>
      </c>
      <c r="CP555" t="inlineStr">
        <is>
          <t>财经投资并购及管理部</t>
        </is>
      </c>
      <c r="CQ555" t="inlineStr">
        <is>
          <t>5,3</t>
        </is>
      </c>
      <c r="CR555" t="n">
        <v>11</v>
      </c>
      <c r="CS555" t="inlineStr">
        <is>
          <t>T1</t>
        </is>
      </c>
      <c r="CT555" t="inlineStr">
        <is>
          <t>N</t>
        </is>
      </c>
    </row>
    <row r="556">
      <c r="A556" t="inlineStr">
        <is>
          <t>joeGuo(郭安立)</t>
        </is>
      </c>
      <c r="C556" t="n">
        <v>26876674</v>
      </c>
      <c r="D556" t="inlineStr">
        <is>
          <t>财会及报告管理部</t>
        </is>
      </c>
      <c r="E556" t="inlineStr">
        <is>
          <t>海外财会管理中心</t>
        </is>
      </c>
      <c r="G556" t="inlineStr">
        <is>
          <t>S2职能系统－财经线/财会及报告管理部/海外财会管理中心</t>
        </is>
      </c>
      <c r="H556" s="188" t="n">
        <v>43627</v>
      </c>
      <c r="I556" t="inlineStr">
        <is>
          <t>社会招聘</t>
        </is>
      </c>
      <c r="J556" t="inlineStr">
        <is>
          <t>财经类－FN</t>
        </is>
      </c>
      <c r="K556" t="inlineStr">
        <is>
          <t>会计</t>
        </is>
      </c>
      <c r="L556" t="inlineStr">
        <is>
          <t>S8</t>
        </is>
      </c>
      <c r="N556" t="inlineStr">
        <is>
          <t>T2</t>
        </is>
      </c>
      <c r="Q556" t="inlineStr">
        <is>
          <t>G,G</t>
        </is>
      </c>
      <c r="U556" t="n">
        <v>42156.45</v>
      </c>
      <c r="V556" t="n">
        <v>0.083333</v>
      </c>
      <c r="W556" t="inlineStr">
        <is>
          <t>CNY</t>
        </is>
      </c>
      <c r="X556" t="n">
        <v>1</v>
      </c>
      <c r="Y556" t="n">
        <v>40070.42</v>
      </c>
      <c r="Z556" t="n">
        <v>0</v>
      </c>
      <c r="AA556" t="n">
        <v>84312.89999999999</v>
      </c>
      <c r="AB556" t="n">
        <v>61350</v>
      </c>
      <c r="AC556" t="n">
        <v>0</v>
      </c>
      <c r="AF556" t="n">
        <v>0</v>
      </c>
      <c r="AG556" t="n">
        <v>145662.9</v>
      </c>
      <c r="AH556" t="n">
        <v>3.635172778323761</v>
      </c>
      <c r="AI556" t="n">
        <v>145662.9</v>
      </c>
      <c r="AJ556" t="n">
        <v>3.635172778323761</v>
      </c>
      <c r="AK556" t="n">
        <v>3.635172778323761</v>
      </c>
      <c r="AQ556" t="n">
        <v>145662.9</v>
      </c>
      <c r="AR556" t="n">
        <v>3.635172778323761</v>
      </c>
      <c r="AS556" t="n">
        <v>1.101754027683231</v>
      </c>
      <c r="BL556" t="n">
        <v>1</v>
      </c>
      <c r="BM556" t="n">
        <v>37865</v>
      </c>
      <c r="BN556" t="n">
        <v>0</v>
      </c>
      <c r="BO556" t="n">
        <v>39715</v>
      </c>
      <c r="BP556" t="inlineStr">
        <is>
          <t>G,G</t>
        </is>
      </c>
      <c r="BQ556" t="inlineStr">
        <is>
          <t>T2</t>
        </is>
      </c>
      <c r="BR556" t="n">
        <v>132210</v>
      </c>
      <c r="BS556" t="n">
        <v>3.491614947841014</v>
      </c>
      <c r="BT556" t="n">
        <v>0</v>
      </c>
      <c r="BU556" t="n">
        <v>132210</v>
      </c>
      <c r="BV556" t="n">
        <v>3.491614947841014</v>
      </c>
      <c r="BY556" t="n">
        <v>132210</v>
      </c>
      <c r="BZ556" t="n">
        <v>3.491614947841014</v>
      </c>
      <c r="CP556" t="inlineStr">
        <is>
          <t>财会及报告管理部</t>
        </is>
      </c>
      <c r="CQ556" t="inlineStr">
        <is>
          <t>3,3</t>
        </is>
      </c>
      <c r="CR556" t="n">
        <v>8</v>
      </c>
      <c r="CS556" t="inlineStr">
        <is>
          <t>T2</t>
        </is>
      </c>
      <c r="CT556" t="inlineStr">
        <is>
          <t>N</t>
        </is>
      </c>
    </row>
    <row r="557">
      <c r="A557" t="inlineStr">
        <is>
          <t>donaldPan(潘涛宁)</t>
        </is>
      </c>
      <c r="C557" t="n">
        <v>72586420</v>
      </c>
      <c r="D557" t="inlineStr">
        <is>
          <t>在线视频财务管理中心</t>
        </is>
      </c>
      <c r="E557" t="inlineStr">
        <is>
          <t>OVB长视频财务管理组</t>
        </is>
      </c>
      <c r="G557" t="inlineStr">
        <is>
          <t>S2职能系统－财经线/在线视频财务管理中心/OVB长视频财务管理组</t>
        </is>
      </c>
      <c r="H557" s="188" t="n">
        <v>38866</v>
      </c>
      <c r="I557" t="inlineStr">
        <is>
          <t>高校招聘</t>
        </is>
      </c>
      <c r="J557" t="inlineStr">
        <is>
          <t>财经类－FN</t>
        </is>
      </c>
      <c r="K557" t="inlineStr">
        <is>
          <t>财务管理</t>
        </is>
      </c>
      <c r="L557" t="inlineStr">
        <is>
          <t>S7</t>
        </is>
      </c>
      <c r="N557" t="inlineStr">
        <is>
          <t>T1</t>
        </is>
      </c>
      <c r="Q557" t="inlineStr">
        <is>
          <t>G,G</t>
        </is>
      </c>
      <c r="U557" t="n">
        <v>38702.15</v>
      </c>
      <c r="V557" t="n">
        <v>0.083333</v>
      </c>
      <c r="W557" t="inlineStr">
        <is>
          <t>CNY</t>
        </is>
      </c>
      <c r="X557" t="n">
        <v>1</v>
      </c>
      <c r="Y557" t="n">
        <v>37183.09</v>
      </c>
      <c r="Z557" t="n">
        <v>0</v>
      </c>
      <c r="AA557" t="n">
        <v>77404.3</v>
      </c>
      <c r="AB557" t="n">
        <v>90100</v>
      </c>
      <c r="AC557" t="n">
        <v>44790</v>
      </c>
      <c r="AF557" t="n">
        <v>0</v>
      </c>
      <c r="AG557" t="n">
        <v>212294.3</v>
      </c>
      <c r="AH557" t="n">
        <v>5.709431357103457</v>
      </c>
      <c r="AI557" t="n">
        <v>212294.3</v>
      </c>
      <c r="AJ557" t="n">
        <v>5.709431357103457</v>
      </c>
      <c r="AK557" t="n">
        <v>4.504851533317968</v>
      </c>
      <c r="AQ557" t="n">
        <v>212294.3</v>
      </c>
      <c r="AR557" t="n">
        <v>5.709431357103457</v>
      </c>
      <c r="AS557" t="n">
        <v>1.983132181223727</v>
      </c>
      <c r="BL557" t="n">
        <v>1</v>
      </c>
      <c r="BM557" t="n">
        <v>32810</v>
      </c>
      <c r="BN557" t="n">
        <v>0</v>
      </c>
      <c r="BO557" t="n">
        <v>35035</v>
      </c>
      <c r="BP557" t="inlineStr">
        <is>
          <t>O,U</t>
        </is>
      </c>
      <c r="BQ557" t="inlineStr">
        <is>
          <t>T1</t>
        </is>
      </c>
      <c r="BR557" t="n">
        <v>107050</v>
      </c>
      <c r="BS557" t="n">
        <v>3.262724779030783</v>
      </c>
      <c r="BT557" t="n">
        <v>0</v>
      </c>
      <c r="BU557" t="n">
        <v>107050</v>
      </c>
      <c r="BV557" t="n">
        <v>3.262724779030783</v>
      </c>
      <c r="BY557" t="n">
        <v>107050</v>
      </c>
      <c r="BZ557" t="n">
        <v>3.262724779030783</v>
      </c>
      <c r="CP557" t="inlineStr">
        <is>
          <t>在线视频财务管理中心</t>
        </is>
      </c>
      <c r="CQ557" t="inlineStr">
        <is>
          <t>3,3</t>
        </is>
      </c>
      <c r="CR557" t="n">
        <v>7</v>
      </c>
      <c r="CS557" t="inlineStr">
        <is>
          <t>T1</t>
        </is>
      </c>
      <c r="CT557" t="inlineStr">
        <is>
          <t>N</t>
        </is>
      </c>
    </row>
    <row r="558">
      <c r="A558" t="inlineStr">
        <is>
          <t>jacobShen(沈强)</t>
        </is>
      </c>
      <c r="C558" t="n">
        <v>95656069</v>
      </c>
      <c r="D558" t="inlineStr">
        <is>
          <t>财经IT管理部</t>
        </is>
      </c>
      <c r="E558" t="inlineStr">
        <is>
          <t>业务开发中心</t>
        </is>
      </c>
      <c r="G558" t="inlineStr">
        <is>
          <t>S2职能系统－财经线/财经IT管理部/业务开发中心</t>
        </is>
      </c>
      <c r="H558" s="188" t="n">
        <v>40981</v>
      </c>
      <c r="I558" t="inlineStr">
        <is>
          <t>高校招聘</t>
        </is>
      </c>
      <c r="J558" t="inlineStr">
        <is>
          <t>技术研发类－TRD</t>
        </is>
      </c>
      <c r="K558" t="inlineStr">
        <is>
          <t>应用开发</t>
        </is>
      </c>
      <c r="L558" t="inlineStr">
        <is>
          <t>T8</t>
        </is>
      </c>
      <c r="N558" t="inlineStr">
        <is>
          <t>Others</t>
        </is>
      </c>
      <c r="Q558" t="inlineStr">
        <is>
          <t>O,O</t>
        </is>
      </c>
      <c r="U558" t="n">
        <v>28113.85</v>
      </c>
      <c r="V558" t="n">
        <v>0.083333</v>
      </c>
      <c r="W558" t="inlineStr">
        <is>
          <t>CNY</t>
        </is>
      </c>
      <c r="X558" t="n">
        <v>1</v>
      </c>
      <c r="Y558" t="n">
        <v>27742.82</v>
      </c>
      <c r="Z558" t="n">
        <v>0</v>
      </c>
      <c r="AA558" t="n">
        <v>112455.4</v>
      </c>
      <c r="AB558" t="n">
        <v>22540</v>
      </c>
      <c r="AC558" t="n">
        <v>0</v>
      </c>
      <c r="AF558" t="n">
        <v>0</v>
      </c>
      <c r="AG558" t="n">
        <v>134995.4</v>
      </c>
      <c r="AH558" t="n">
        <v>4.865958110963486</v>
      </c>
      <c r="AI558" t="n">
        <v>134995.4</v>
      </c>
      <c r="AJ558" t="n">
        <v>4.865958110963486</v>
      </c>
      <c r="AK558" t="n">
        <v>4.865958110963486</v>
      </c>
      <c r="AQ558" t="n">
        <v>134995.4</v>
      </c>
      <c r="AR558" t="n">
        <v>4.865958110963486</v>
      </c>
      <c r="AS558" t="n">
        <v>1.58612853953707</v>
      </c>
      <c r="BL558" t="n">
        <v>1</v>
      </c>
      <c r="BM558" t="n">
        <v>24330</v>
      </c>
      <c r="BN558" t="n">
        <v>0</v>
      </c>
      <c r="BO558" t="n">
        <v>24440</v>
      </c>
      <c r="BP558" t="inlineStr">
        <is>
          <t>G,G</t>
        </is>
      </c>
      <c r="BQ558" t="inlineStr">
        <is>
          <t>Others</t>
        </is>
      </c>
      <c r="BR558" t="n">
        <v>85110</v>
      </c>
      <c r="BS558" t="n">
        <v>3.498150431565968</v>
      </c>
      <c r="BT558" t="n">
        <v>0</v>
      </c>
      <c r="BU558" t="n">
        <v>85110</v>
      </c>
      <c r="BV558" t="n">
        <v>3.498150431565968</v>
      </c>
      <c r="BY558" t="n">
        <v>85110</v>
      </c>
      <c r="BZ558" t="n">
        <v>3.498150431565968</v>
      </c>
      <c r="CP558" t="inlineStr">
        <is>
          <t>财经IT管理部</t>
        </is>
      </c>
      <c r="CQ558" t="inlineStr">
        <is>
          <t>5,5</t>
        </is>
      </c>
      <c r="CR558" t="n">
        <v>8</v>
      </c>
      <c r="CS558" t="inlineStr">
        <is>
          <t>Others</t>
        </is>
      </c>
      <c r="CT558" t="inlineStr">
        <is>
          <t>N</t>
        </is>
      </c>
    </row>
    <row r="559">
      <c r="A559" t="inlineStr">
        <is>
          <t>zoeLai(赖青)</t>
        </is>
      </c>
      <c r="C559" t="n">
        <v>96046217</v>
      </c>
      <c r="D559" t="inlineStr">
        <is>
          <t>财经IT管理部</t>
        </is>
      </c>
      <c r="E559" t="inlineStr">
        <is>
          <t>国际业务支持中心</t>
        </is>
      </c>
      <c r="G559" t="inlineStr">
        <is>
          <t>S2职能系统－财经线/财经IT管理部/国际业务支持中心</t>
        </is>
      </c>
      <c r="H559" s="188" t="n">
        <v>44931</v>
      </c>
      <c r="I559" t="inlineStr">
        <is>
          <t>社会招聘</t>
        </is>
      </c>
      <c r="J559" t="inlineStr">
        <is>
          <t>技术研发类－TRD</t>
        </is>
      </c>
      <c r="K559" t="inlineStr">
        <is>
          <t>应用开发</t>
        </is>
      </c>
      <c r="L559" t="inlineStr">
        <is>
          <t>T10</t>
        </is>
      </c>
      <c r="N559" t="inlineStr">
        <is>
          <t>T2</t>
        </is>
      </c>
      <c r="Q559" t="inlineStr">
        <is>
          <t>G,G</t>
        </is>
      </c>
      <c r="U559" t="n">
        <v>41843.3</v>
      </c>
      <c r="V559" t="n">
        <v>0.083333</v>
      </c>
      <c r="W559" t="inlineStr">
        <is>
          <t>CNY</t>
        </is>
      </c>
      <c r="X559" t="n">
        <v>1</v>
      </c>
      <c r="Y559" t="n">
        <v>38670.03</v>
      </c>
      <c r="Z559" t="n">
        <v>0</v>
      </c>
      <c r="AA559" t="n">
        <v>83686.60000000001</v>
      </c>
      <c r="AB559" t="n">
        <v>49065</v>
      </c>
      <c r="AC559" t="n">
        <v>0</v>
      </c>
      <c r="AF559" t="n">
        <v>0</v>
      </c>
      <c r="AG559" t="n">
        <v>132751.6</v>
      </c>
      <c r="AH559" t="n">
        <v>3.432932428549965</v>
      </c>
      <c r="AI559" t="n">
        <v>132751.6</v>
      </c>
      <c r="AJ559" t="n">
        <v>3.432932428549965</v>
      </c>
      <c r="AK559" t="n">
        <v>3.432932428549965</v>
      </c>
      <c r="AQ559" t="n">
        <v>132751.6</v>
      </c>
      <c r="AR559" t="n">
        <v>3.432932428549965</v>
      </c>
      <c r="AS559" t="n">
        <v>3.789113743399458</v>
      </c>
      <c r="BL559" t="n">
        <v>0.986301369863013</v>
      </c>
      <c r="BM559" t="n">
        <v>33735</v>
      </c>
      <c r="BN559" t="n">
        <v>0</v>
      </c>
      <c r="BO559" t="n">
        <v>35525</v>
      </c>
      <c r="BP559" t="inlineStr">
        <is>
          <t>G,O</t>
        </is>
      </c>
      <c r="BQ559" t="inlineStr">
        <is>
          <t>T2</t>
        </is>
      </c>
      <c r="BR559" t="n">
        <v>35035</v>
      </c>
      <c r="BS559" t="n">
        <v>1.038535645472062</v>
      </c>
      <c r="BT559" t="n">
        <v>0</v>
      </c>
      <c r="BU559" t="n">
        <v>35035</v>
      </c>
      <c r="BV559" t="n">
        <v>1.038535645472062</v>
      </c>
      <c r="BY559" t="n">
        <v>35035</v>
      </c>
      <c r="BZ559" t="n">
        <v>1.038535645472062</v>
      </c>
      <c r="CP559" t="inlineStr">
        <is>
          <t>财经IT管理部</t>
        </is>
      </c>
      <c r="CQ559" t="inlineStr">
        <is>
          <t>3,3</t>
        </is>
      </c>
      <c r="CR559" t="n">
        <v>10</v>
      </c>
      <c r="CS559" t="inlineStr">
        <is>
          <t>T2</t>
        </is>
      </c>
      <c r="CT559" t="inlineStr">
        <is>
          <t>N</t>
        </is>
      </c>
    </row>
    <row r="560">
      <c r="A560" t="inlineStr">
        <is>
          <t>rebeccaMao(毛颖)</t>
        </is>
      </c>
      <c r="C560" t="n">
        <v>25093763</v>
      </c>
      <c r="D560" t="inlineStr">
        <is>
          <t>WXG财务管理</t>
        </is>
      </c>
      <c r="E560" t="inlineStr">
        <is>
          <t>微信支付财务管理中心</t>
        </is>
      </c>
      <c r="G560" t="inlineStr">
        <is>
          <t>S2职能系统－财经线/WXG财务管理/微信支付财务管理中心</t>
        </is>
      </c>
      <c r="H560" s="188" t="n">
        <v>39534</v>
      </c>
      <c r="I560" t="inlineStr">
        <is>
          <t>社会招聘</t>
        </is>
      </c>
      <c r="J560" t="inlineStr">
        <is>
          <t>财经类－FN</t>
        </is>
      </c>
      <c r="K560" t="inlineStr">
        <is>
          <t>财务管理</t>
        </is>
      </c>
      <c r="L560" t="inlineStr">
        <is>
          <t>S8</t>
        </is>
      </c>
      <c r="N560" t="inlineStr">
        <is>
          <t>T1</t>
        </is>
      </c>
      <c r="Q560" t="inlineStr">
        <is>
          <t>U,O</t>
        </is>
      </c>
      <c r="U560" t="n">
        <v>28047.65</v>
      </c>
      <c r="V560" t="n">
        <v>0.083333</v>
      </c>
      <c r="W560" t="inlineStr">
        <is>
          <t>CNY</t>
        </is>
      </c>
      <c r="X560" t="n">
        <v>1</v>
      </c>
      <c r="Y560" t="n">
        <v>25461.34</v>
      </c>
      <c r="Z560" t="n">
        <v>0</v>
      </c>
      <c r="AA560" t="n">
        <v>56095.3</v>
      </c>
      <c r="AB560" t="n">
        <v>59640</v>
      </c>
      <c r="AC560" t="n">
        <v>0</v>
      </c>
      <c r="AF560" t="n">
        <v>0</v>
      </c>
      <c r="AG560" t="n">
        <v>115735.3</v>
      </c>
      <c r="AH560" t="n">
        <v>4.545530596582898</v>
      </c>
      <c r="AI560" t="n">
        <v>115735.3</v>
      </c>
      <c r="AJ560" t="n">
        <v>4.545530596582898</v>
      </c>
      <c r="AK560" t="n">
        <v>4.545530596582898</v>
      </c>
      <c r="AQ560" t="n">
        <v>115735.3</v>
      </c>
      <c r="AR560" t="n">
        <v>4.545530596582898</v>
      </c>
      <c r="AS560" t="n">
        <v>0.9773702655913524</v>
      </c>
      <c r="BL560" t="n">
        <v>1</v>
      </c>
      <c r="BM560" t="n">
        <v>22585</v>
      </c>
      <c r="BN560" t="n">
        <v>0</v>
      </c>
      <c r="BO560" t="n">
        <v>23600</v>
      </c>
      <c r="BP560" t="inlineStr">
        <is>
          <t>G,G</t>
        </is>
      </c>
      <c r="BQ560" t="inlineStr">
        <is>
          <t>T1</t>
        </is>
      </c>
      <c r="BR560" t="n">
        <v>74275</v>
      </c>
      <c r="BS560" t="n">
        <v>3.288687181757804</v>
      </c>
      <c r="BT560" t="n">
        <v>44140</v>
      </c>
      <c r="BU560" t="n">
        <v>118415</v>
      </c>
      <c r="BV560" t="n">
        <v>5.243081691388089</v>
      </c>
      <c r="BY560" t="n">
        <v>118415</v>
      </c>
      <c r="BZ560" t="n">
        <v>5.243081691388089</v>
      </c>
      <c r="CP560" t="inlineStr">
        <is>
          <t>WXG财务管理</t>
        </is>
      </c>
      <c r="CQ560" t="inlineStr">
        <is>
          <t>5,1</t>
        </is>
      </c>
      <c r="CR560" t="n">
        <v>8</v>
      </c>
      <c r="CS560" t="inlineStr">
        <is>
          <t>T1</t>
        </is>
      </c>
      <c r="CT560" t="inlineStr">
        <is>
          <t>N</t>
        </is>
      </c>
    </row>
    <row r="561">
      <c r="A561" t="inlineStr">
        <is>
          <t>elenaShi(史妍晴)</t>
        </is>
      </c>
      <c r="C561" t="n">
        <v>41773378</v>
      </c>
      <c r="D561" t="inlineStr">
        <is>
          <t>风险管理和内部控制</t>
        </is>
      </c>
      <c r="E561" t="inlineStr">
        <is>
          <t>CSIG风控中心</t>
        </is>
      </c>
      <c r="G561" t="inlineStr">
        <is>
          <t>S2职能系统－财经线/风险管理和内部控制/CSIG风控中心</t>
        </is>
      </c>
      <c r="H561" s="188" t="n">
        <v>42916</v>
      </c>
      <c r="I561" t="inlineStr">
        <is>
          <t>社会招聘</t>
        </is>
      </c>
      <c r="J561" t="inlineStr">
        <is>
          <t>财经类－FN</t>
        </is>
      </c>
      <c r="K561" t="inlineStr">
        <is>
          <t>风险管理</t>
        </is>
      </c>
      <c r="L561" t="inlineStr">
        <is>
          <t>S10</t>
        </is>
      </c>
      <c r="N561" t="inlineStr">
        <is>
          <t>T1</t>
        </is>
      </c>
      <c r="Q561" t="inlineStr">
        <is>
          <t>G,O</t>
        </is>
      </c>
      <c r="U561" t="n">
        <v>35714.6</v>
      </c>
      <c r="V561" t="n">
        <v>0.083333</v>
      </c>
      <c r="W561" t="inlineStr">
        <is>
          <t>CNY</t>
        </is>
      </c>
      <c r="X561" t="n">
        <v>1</v>
      </c>
      <c r="Y561" t="n">
        <v>34118.15</v>
      </c>
      <c r="Z561" t="n">
        <v>0</v>
      </c>
      <c r="AA561" t="n">
        <v>107143.8</v>
      </c>
      <c r="AB561" t="n">
        <v>87220</v>
      </c>
      <c r="AC561" t="n">
        <v>64025</v>
      </c>
      <c r="AF561" t="n">
        <v>0</v>
      </c>
      <c r="AG561" t="n">
        <v>258388.8</v>
      </c>
      <c r="AH561" t="n">
        <v>7.573353185914241</v>
      </c>
      <c r="AI561" t="n">
        <v>258388.8</v>
      </c>
      <c r="AJ561" t="n">
        <v>7.573353185914241</v>
      </c>
      <c r="AK561" t="n">
        <v>5.696786021516407</v>
      </c>
      <c r="AQ561" t="n">
        <v>258388.8</v>
      </c>
      <c r="AR561" t="n">
        <v>7.573353185914241</v>
      </c>
      <c r="AS561" t="n">
        <v>1.235216674235724</v>
      </c>
      <c r="BL561" t="n">
        <v>1</v>
      </c>
      <c r="BM561" t="n">
        <v>30395</v>
      </c>
      <c r="BN561" t="n">
        <v>0</v>
      </c>
      <c r="BO561" t="n">
        <v>32545</v>
      </c>
      <c r="BP561" t="inlineStr">
        <is>
          <t>O,O</t>
        </is>
      </c>
      <c r="BQ561" t="inlineStr">
        <is>
          <t>T1</t>
        </is>
      </c>
      <c r="BR561" t="n">
        <v>165615</v>
      </c>
      <c r="BS561" t="n">
        <v>5.448758019411088</v>
      </c>
      <c r="BT561" t="n">
        <v>43570</v>
      </c>
      <c r="BU561" t="n">
        <v>209185</v>
      </c>
      <c r="BV561" t="n">
        <v>6.882217469978615</v>
      </c>
      <c r="BY561" t="n">
        <v>209185</v>
      </c>
      <c r="BZ561" t="n">
        <v>6.882217469978615</v>
      </c>
      <c r="CP561" t="inlineStr">
        <is>
          <t>风险管理和内部控制</t>
        </is>
      </c>
      <c r="CQ561" t="inlineStr">
        <is>
          <t>5,3</t>
        </is>
      </c>
      <c r="CR561" t="n">
        <v>10</v>
      </c>
      <c r="CS561" t="inlineStr">
        <is>
          <t>T1</t>
        </is>
      </c>
      <c r="CT561" t="inlineStr">
        <is>
          <t>N</t>
        </is>
      </c>
    </row>
    <row r="562">
      <c r="A562" t="inlineStr">
        <is>
          <t>brandonNiu(牛凯宏)</t>
        </is>
      </c>
      <c r="C562" t="n">
        <v>72068721</v>
      </c>
      <c r="D562" t="inlineStr">
        <is>
          <t>财会及报告管理部</t>
        </is>
      </c>
      <c r="E562" t="inlineStr">
        <is>
          <t>应收管理中心</t>
        </is>
      </c>
      <c r="G562" t="inlineStr">
        <is>
          <t>S2职能系统－财经线/财会及报告管理部/应收管理中心</t>
        </is>
      </c>
      <c r="H562" s="188" t="n">
        <v>38165</v>
      </c>
      <c r="I562" t="inlineStr">
        <is>
          <t>高校招聘</t>
        </is>
      </c>
      <c r="J562" t="inlineStr">
        <is>
          <t>财经类－FN</t>
        </is>
      </c>
      <c r="K562" t="inlineStr">
        <is>
          <t>会计</t>
        </is>
      </c>
      <c r="L562" t="inlineStr">
        <is>
          <t>S8</t>
        </is>
      </c>
      <c r="N562" t="inlineStr">
        <is>
          <t>T2</t>
        </is>
      </c>
      <c r="Q562" t="inlineStr">
        <is>
          <t>G,G</t>
        </is>
      </c>
      <c r="U562" t="n">
        <v>33275.35</v>
      </c>
      <c r="V562" t="n">
        <v>0.083333</v>
      </c>
      <c r="W562" t="inlineStr">
        <is>
          <t>CNY</t>
        </is>
      </c>
      <c r="X562" t="n">
        <v>1</v>
      </c>
      <c r="Y562" t="n">
        <v>31177.12</v>
      </c>
      <c r="Z562" t="n">
        <v>0</v>
      </c>
      <c r="AA562" t="n">
        <v>66550.7</v>
      </c>
      <c r="AB562" t="n">
        <v>42205</v>
      </c>
      <c r="AC562" t="n">
        <v>0</v>
      </c>
      <c r="AF562" t="n">
        <v>0</v>
      </c>
      <c r="AG562" t="n">
        <v>108755.7</v>
      </c>
      <c r="AH562" t="n">
        <v>3.488317715042313</v>
      </c>
      <c r="AI562" t="n">
        <v>108755.7</v>
      </c>
      <c r="AJ562" t="n">
        <v>3.488317715042313</v>
      </c>
      <c r="AK562" t="n">
        <v>3.488317715042313</v>
      </c>
      <c r="AQ562" t="n">
        <v>108755.7</v>
      </c>
      <c r="AR562" t="n">
        <v>3.488317715042313</v>
      </c>
      <c r="AS562" t="n">
        <v>1.083008364867556</v>
      </c>
      <c r="BL562" t="n">
        <v>1</v>
      </c>
      <c r="BM562" t="n">
        <v>29505</v>
      </c>
      <c r="BN562" t="n">
        <v>0</v>
      </c>
      <c r="BO562" t="n">
        <v>29960</v>
      </c>
      <c r="BP562" t="inlineStr">
        <is>
          <t>G,G</t>
        </is>
      </c>
      <c r="BQ562" t="inlineStr">
        <is>
          <t>Others</t>
        </is>
      </c>
      <c r="BR562" t="n">
        <v>100420</v>
      </c>
      <c r="BS562" t="n">
        <v>3.403490933740044</v>
      </c>
      <c r="BT562" t="n">
        <v>0</v>
      </c>
      <c r="BU562" t="n">
        <v>100420</v>
      </c>
      <c r="BV562" t="n">
        <v>3.403490933740044</v>
      </c>
      <c r="BY562" t="n">
        <v>100420</v>
      </c>
      <c r="BZ562" t="n">
        <v>3.403490933740044</v>
      </c>
      <c r="CP562" t="inlineStr">
        <is>
          <t>财会及报告管理部</t>
        </is>
      </c>
      <c r="CQ562" t="inlineStr">
        <is>
          <t>3,3</t>
        </is>
      </c>
      <c r="CR562" t="n">
        <v>8</v>
      </c>
      <c r="CS562" t="inlineStr">
        <is>
          <t>T2</t>
        </is>
      </c>
      <c r="CT562" t="inlineStr">
        <is>
          <t>N</t>
        </is>
      </c>
    </row>
    <row r="563">
      <c r="A563" t="inlineStr">
        <is>
          <t>richardLiang(梁国)</t>
        </is>
      </c>
      <c r="C563" t="n">
        <v>35036212</v>
      </c>
      <c r="D563" t="inlineStr">
        <is>
          <t>风险管理和内部控制</t>
        </is>
      </c>
      <c r="E563" t="inlineStr">
        <is>
          <t>PCG风控中心</t>
        </is>
      </c>
      <c r="G563" t="inlineStr">
        <is>
          <t>S2职能系统－财经线/风险管理和内部控制/PCG风控中心</t>
        </is>
      </c>
      <c r="H563" s="188" t="n">
        <v>40780</v>
      </c>
      <c r="I563" t="inlineStr">
        <is>
          <t>社会招聘</t>
        </is>
      </c>
      <c r="J563" t="inlineStr">
        <is>
          <t>财经类－FN</t>
        </is>
      </c>
      <c r="K563" t="inlineStr">
        <is>
          <t>风险管理</t>
        </is>
      </c>
      <c r="L563" t="inlineStr">
        <is>
          <t>S5</t>
        </is>
      </c>
      <c r="N563" t="inlineStr">
        <is>
          <t>T1#</t>
        </is>
      </c>
      <c r="Q563" t="inlineStr">
        <is>
          <t>G,O</t>
        </is>
      </c>
      <c r="U563" t="n">
        <v>20386.8</v>
      </c>
      <c r="V563" t="n">
        <v>0.083333</v>
      </c>
      <c r="W563" t="inlineStr">
        <is>
          <t>CNY</t>
        </is>
      </c>
      <c r="X563" t="n">
        <v>1</v>
      </c>
      <c r="Y563" t="n">
        <v>18806.9</v>
      </c>
      <c r="Z563" t="n">
        <v>0</v>
      </c>
      <c r="AA563" t="n">
        <v>61160.4</v>
      </c>
      <c r="AB563" t="n">
        <v>64175</v>
      </c>
      <c r="AC563" t="n">
        <v>24080</v>
      </c>
      <c r="AF563" t="n">
        <v>0</v>
      </c>
      <c r="AG563" t="n">
        <v>149415.4</v>
      </c>
      <c r="AH563" t="n">
        <v>7.944711781314304</v>
      </c>
      <c r="AI563" t="n">
        <v>149415.4</v>
      </c>
      <c r="AJ563" t="n">
        <v>7.944711781314304</v>
      </c>
      <c r="AK563" t="n">
        <v>6.664330644603841</v>
      </c>
      <c r="AQ563" t="n">
        <v>149415.4</v>
      </c>
      <c r="AR563" t="n">
        <v>7.944711781314304</v>
      </c>
      <c r="AS563" t="n">
        <v>1.207641139624166</v>
      </c>
      <c r="BL563" t="n">
        <v>1</v>
      </c>
      <c r="BM563" t="n">
        <v>17565</v>
      </c>
      <c r="BN563" t="n">
        <v>0</v>
      </c>
      <c r="BO563" t="n">
        <v>17870</v>
      </c>
      <c r="BP563" t="inlineStr">
        <is>
          <t>G,G</t>
        </is>
      </c>
      <c r="BQ563" t="inlineStr">
        <is>
          <t>T1#</t>
        </is>
      </c>
      <c r="BR563" t="n">
        <v>89575</v>
      </c>
      <c r="BS563" t="n">
        <v>5.099629945915172</v>
      </c>
      <c r="BT563" t="n">
        <v>34150</v>
      </c>
      <c r="BU563" t="n">
        <v>123725</v>
      </c>
      <c r="BV563" t="n">
        <v>7.043837176202675</v>
      </c>
      <c r="BY563" t="n">
        <v>123725</v>
      </c>
      <c r="BZ563" t="n">
        <v>7.043837176202675</v>
      </c>
      <c r="CP563" t="inlineStr">
        <is>
          <t>风险管理和内部控制</t>
        </is>
      </c>
      <c r="CQ563" t="inlineStr">
        <is>
          <t>5,3</t>
        </is>
      </c>
      <c r="CR563" t="n">
        <v>5</v>
      </c>
      <c r="CS563" t="inlineStr">
        <is>
          <t>T1#</t>
        </is>
      </c>
      <c r="CT563" t="inlineStr">
        <is>
          <t>N</t>
        </is>
      </c>
    </row>
    <row r="564">
      <c r="A564" t="inlineStr">
        <is>
          <t>terryJia(贾立锋)</t>
        </is>
      </c>
      <c r="C564" t="n">
        <v>95747828</v>
      </c>
      <c r="D564" t="inlineStr">
        <is>
          <t>CSIG财务管理</t>
        </is>
      </c>
      <c r="E564" t="inlineStr">
        <is>
          <t>综合财务管理中心</t>
        </is>
      </c>
      <c r="G564" t="inlineStr">
        <is>
          <t>S2职能系统－财经线/CSIG财务管理/综合财务管理中心</t>
        </is>
      </c>
      <c r="H564" s="188" t="n">
        <v>38754</v>
      </c>
      <c r="I564" t="inlineStr">
        <is>
          <t>高校招聘</t>
        </is>
      </c>
      <c r="J564" t="inlineStr">
        <is>
          <t>财经类－FN</t>
        </is>
      </c>
      <c r="K564" t="inlineStr">
        <is>
          <t>财务管理</t>
        </is>
      </c>
      <c r="L564" t="inlineStr">
        <is>
          <t>S8</t>
        </is>
      </c>
      <c r="N564" t="inlineStr">
        <is>
          <t>T1#</t>
        </is>
      </c>
      <c r="Q564" t="inlineStr">
        <is>
          <t>G,G</t>
        </is>
      </c>
      <c r="U564" t="n">
        <v>36606.7</v>
      </c>
      <c r="V564" t="n">
        <v>0.083333</v>
      </c>
      <c r="W564" t="inlineStr">
        <is>
          <t>CNY</t>
        </is>
      </c>
      <c r="X564" t="n">
        <v>1</v>
      </c>
      <c r="Y564" t="n">
        <v>35869.85</v>
      </c>
      <c r="Z564" t="n">
        <v>0</v>
      </c>
      <c r="AA564" t="n">
        <v>73213.39999999999</v>
      </c>
      <c r="AB564" t="n">
        <v>115920</v>
      </c>
      <c r="AC564" t="n">
        <v>62635</v>
      </c>
      <c r="AF564" t="n">
        <v>0</v>
      </c>
      <c r="AG564" t="n">
        <v>251768.4</v>
      </c>
      <c r="AH564" t="n">
        <v>7.018942092035512</v>
      </c>
      <c r="AI564" t="n">
        <v>251768.4</v>
      </c>
      <c r="AJ564" t="n">
        <v>7.018942092035512</v>
      </c>
      <c r="AK564" t="n">
        <v>5.272768076811027</v>
      </c>
      <c r="AQ564" t="n">
        <v>251768.4</v>
      </c>
      <c r="AR564" t="n">
        <v>7.018942092035512</v>
      </c>
      <c r="AS564" t="n">
        <v>1.812522227421619</v>
      </c>
      <c r="BL564" t="n">
        <v>1</v>
      </c>
      <c r="BM564" t="n">
        <v>32365</v>
      </c>
      <c r="BN564" t="n">
        <v>0</v>
      </c>
      <c r="BO564" t="n">
        <v>33290</v>
      </c>
      <c r="BP564" t="inlineStr">
        <is>
          <t>G,U</t>
        </is>
      </c>
      <c r="BQ564" t="inlineStr">
        <is>
          <t>T1#</t>
        </is>
      </c>
      <c r="BR564" t="n">
        <v>138905</v>
      </c>
      <c r="BS564" t="n">
        <v>4.291827591534065</v>
      </c>
      <c r="BT564" t="n">
        <v>0</v>
      </c>
      <c r="BU564" t="n">
        <v>138905</v>
      </c>
      <c r="BV564" t="n">
        <v>4.291827591534065</v>
      </c>
      <c r="BY564" t="n">
        <v>138905</v>
      </c>
      <c r="BZ564" t="n">
        <v>4.291827591534065</v>
      </c>
      <c r="CP564" t="inlineStr">
        <is>
          <t>CSIG财务管理</t>
        </is>
      </c>
      <c r="CQ564" t="inlineStr">
        <is>
          <t>3,3</t>
        </is>
      </c>
      <c r="CR564" t="n">
        <v>8</v>
      </c>
      <c r="CS564" t="inlineStr">
        <is>
          <t>T1#</t>
        </is>
      </c>
      <c r="CT564" t="inlineStr">
        <is>
          <t>N</t>
        </is>
      </c>
    </row>
    <row r="565">
      <c r="A565" t="inlineStr">
        <is>
          <t>maryCheng(程诗)</t>
        </is>
      </c>
      <c r="C565" t="n">
        <v>47688462</v>
      </c>
      <c r="D565" t="inlineStr">
        <is>
          <t>财会及报告管理部</t>
        </is>
      </c>
      <c r="E565" t="inlineStr">
        <is>
          <t>资产管理组</t>
        </is>
      </c>
      <c r="G565" t="inlineStr">
        <is>
          <t>S2职能系统－财经线/财会及报告管理部/资产管理组</t>
        </is>
      </c>
      <c r="H565" s="188" t="n">
        <v>41540</v>
      </c>
      <c r="I565" t="inlineStr">
        <is>
          <t>高校招聘</t>
        </is>
      </c>
      <c r="J565" t="inlineStr">
        <is>
          <t>财经类－FN</t>
        </is>
      </c>
      <c r="K565" t="inlineStr">
        <is>
          <t>会计</t>
        </is>
      </c>
      <c r="L565" t="inlineStr">
        <is>
          <t>S5</t>
        </is>
      </c>
      <c r="N565" t="inlineStr">
        <is>
          <t>T1</t>
        </is>
      </c>
      <c r="Q565" t="inlineStr">
        <is>
          <t>O,G</t>
        </is>
      </c>
      <c r="U565" t="n">
        <v>28204.25</v>
      </c>
      <c r="V565" t="n">
        <v>0.083333</v>
      </c>
      <c r="W565" t="inlineStr">
        <is>
          <t>CNY</t>
        </is>
      </c>
      <c r="X565" t="n">
        <v>1</v>
      </c>
      <c r="Y565" t="n">
        <v>25573.53</v>
      </c>
      <c r="Z565" t="n">
        <v>0</v>
      </c>
      <c r="AA565" t="n">
        <v>84612.75</v>
      </c>
      <c r="AB565" t="n">
        <v>69525</v>
      </c>
      <c r="AC565" t="n">
        <v>49935</v>
      </c>
      <c r="AF565" t="n">
        <v>0</v>
      </c>
      <c r="AG565" t="n">
        <v>204072.75</v>
      </c>
      <c r="AH565" t="n">
        <v>7.979842829675841</v>
      </c>
      <c r="AI565" t="n">
        <v>204072.75</v>
      </c>
      <c r="AJ565" t="n">
        <v>7.979842829675841</v>
      </c>
      <c r="AK565" t="n">
        <v>6.027237929218219</v>
      </c>
      <c r="AQ565" t="n">
        <v>204072.75</v>
      </c>
      <c r="AR565" t="n">
        <v>7.979842829675841</v>
      </c>
      <c r="AS565" t="n">
        <v>1.586694786766707</v>
      </c>
      <c r="BL565" t="n">
        <v>1</v>
      </c>
      <c r="BM565" t="n">
        <v>24255</v>
      </c>
      <c r="BN565" t="n">
        <v>0</v>
      </c>
      <c r="BO565" t="n">
        <v>24905</v>
      </c>
      <c r="BP565" t="inlineStr">
        <is>
          <t>O,G</t>
        </is>
      </c>
      <c r="BQ565" t="inlineStr">
        <is>
          <t>T1</t>
        </is>
      </c>
      <c r="BR565" t="n">
        <v>102885</v>
      </c>
      <c r="BS565" t="n">
        <v>4.241805813234385</v>
      </c>
      <c r="BT565" t="n">
        <v>25730</v>
      </c>
      <c r="BU565" t="n">
        <v>128615</v>
      </c>
      <c r="BV565" t="n">
        <v>5.302618016903732</v>
      </c>
      <c r="BY565" t="n">
        <v>128615</v>
      </c>
      <c r="BZ565" t="n">
        <v>5.302618016903732</v>
      </c>
      <c r="CP565" t="inlineStr">
        <is>
          <t>财会及报告管理部</t>
        </is>
      </c>
      <c r="CQ565" t="inlineStr">
        <is>
          <t>5,3</t>
        </is>
      </c>
      <c r="CR565" t="n">
        <v>5</v>
      </c>
      <c r="CS565" t="inlineStr">
        <is>
          <t>T1</t>
        </is>
      </c>
      <c r="CT565" t="inlineStr">
        <is>
          <t>N</t>
        </is>
      </c>
    </row>
    <row r="566">
      <c r="A566" t="inlineStr">
        <is>
          <t>gloriaLiu(刘秀)</t>
        </is>
      </c>
      <c r="C566" t="n">
        <v>40578099</v>
      </c>
      <c r="D566" t="inlineStr">
        <is>
          <t>CFO办公室</t>
        </is>
      </c>
      <c r="E566" t="inlineStr">
        <is>
          <t>ESG协同办公室</t>
        </is>
      </c>
      <c r="G566" t="inlineStr">
        <is>
          <t>S2职能系统－财经线/CFO办公室/ESG协同办公室</t>
        </is>
      </c>
      <c r="H566" s="188" t="n">
        <v>36594</v>
      </c>
      <c r="I566" t="inlineStr">
        <is>
          <t>社会招聘</t>
        </is>
      </c>
      <c r="J566" t="inlineStr">
        <is>
          <t>财经类－FN</t>
        </is>
      </c>
      <c r="K566" t="inlineStr">
        <is>
          <t>投资者关系</t>
        </is>
      </c>
      <c r="L566" t="inlineStr">
        <is>
          <t>S6</t>
        </is>
      </c>
      <c r="N566" t="inlineStr">
        <is>
          <t>T1</t>
        </is>
      </c>
      <c r="Q566" t="inlineStr">
        <is>
          <t>G,G</t>
        </is>
      </c>
      <c r="U566" t="n">
        <v>26203.1</v>
      </c>
      <c r="V566" t="n">
        <v>0.083333</v>
      </c>
      <c r="W566" t="inlineStr">
        <is>
          <t>CNY</t>
        </is>
      </c>
      <c r="X566" t="n">
        <v>1</v>
      </c>
      <c r="Y566" t="n">
        <v>24396.06</v>
      </c>
      <c r="Z566" t="n">
        <v>0</v>
      </c>
      <c r="AA566" t="n">
        <v>52406.2</v>
      </c>
      <c r="AB566" t="n">
        <v>55535</v>
      </c>
      <c r="AC566" t="n">
        <v>28450</v>
      </c>
      <c r="AF566" t="n">
        <v>0</v>
      </c>
      <c r="AG566" t="n">
        <v>136391.2</v>
      </c>
      <c r="AH566" t="n">
        <v>5.590706040237645</v>
      </c>
      <c r="AI566" t="n">
        <v>136391.2</v>
      </c>
      <c r="AJ566" t="n">
        <v>5.590706040237645</v>
      </c>
      <c r="AK566" t="n">
        <v>4.424534125592411</v>
      </c>
      <c r="AQ566" t="n">
        <v>136391.2</v>
      </c>
      <c r="AR566" t="n">
        <v>5.590706040237645</v>
      </c>
      <c r="AS566" t="n">
        <v>0.8843650510617604</v>
      </c>
      <c r="BL566" t="n">
        <v>1</v>
      </c>
      <c r="BM566" t="n">
        <v>21125</v>
      </c>
      <c r="BN566" t="n">
        <v>0</v>
      </c>
      <c r="BO566" t="n">
        <v>21980</v>
      </c>
      <c r="BP566" t="inlineStr">
        <is>
          <t>O,O</t>
        </is>
      </c>
      <c r="BQ566" t="inlineStr">
        <is>
          <t>T1</t>
        </is>
      </c>
      <c r="BR566" t="n">
        <v>117060</v>
      </c>
      <c r="BS566" t="n">
        <v>5.541301775147929</v>
      </c>
      <c r="BT566" t="n">
        <v>37165</v>
      </c>
      <c r="BU566" t="n">
        <v>154225</v>
      </c>
      <c r="BV566" t="n">
        <v>7.300591715976331</v>
      </c>
      <c r="BY566" t="n">
        <v>154225</v>
      </c>
      <c r="BZ566" t="n">
        <v>7.300591715976331</v>
      </c>
      <c r="CP566" t="inlineStr">
        <is>
          <t>CFO办公室</t>
        </is>
      </c>
      <c r="CQ566" t="inlineStr">
        <is>
          <t>3,3</t>
        </is>
      </c>
      <c r="CR566" t="n">
        <v>6</v>
      </c>
      <c r="CS566" t="inlineStr">
        <is>
          <t>T1</t>
        </is>
      </c>
      <c r="CT566" t="inlineStr">
        <is>
          <t>N</t>
        </is>
      </c>
    </row>
    <row r="567">
      <c r="A567" t="inlineStr">
        <is>
          <t>kathrynZeng(曾畅嘉)</t>
        </is>
      </c>
      <c r="C567" t="n">
        <v>38122586</v>
      </c>
      <c r="D567" t="inlineStr">
        <is>
          <t>风险管理和内部控制</t>
        </is>
      </c>
      <c r="E567" t="inlineStr">
        <is>
          <t>IEG风控中心</t>
        </is>
      </c>
      <c r="G567" t="inlineStr">
        <is>
          <t>S2职能系统－财经线/风险管理和内部控制/IEG风控中心</t>
        </is>
      </c>
      <c r="H567" s="188" t="n">
        <v>38811</v>
      </c>
      <c r="I567" t="inlineStr">
        <is>
          <t>社会招聘</t>
        </is>
      </c>
      <c r="J567" t="inlineStr">
        <is>
          <t>财经类－FN</t>
        </is>
      </c>
      <c r="K567" t="inlineStr">
        <is>
          <t>风险管理</t>
        </is>
      </c>
      <c r="L567" t="inlineStr">
        <is>
          <t>S10</t>
        </is>
      </c>
      <c r="N567" t="inlineStr">
        <is>
          <t>T1</t>
        </is>
      </c>
      <c r="Q567" t="inlineStr">
        <is>
          <t>G,G</t>
        </is>
      </c>
      <c r="U567" t="n">
        <v>56374.9</v>
      </c>
      <c r="V567" t="n">
        <v>0.083333</v>
      </c>
      <c r="W567" t="inlineStr">
        <is>
          <t>CNY</t>
        </is>
      </c>
      <c r="X567" t="n">
        <v>1</v>
      </c>
      <c r="Y567" t="n">
        <v>53072.88</v>
      </c>
      <c r="Z567" t="n">
        <v>0</v>
      </c>
      <c r="AA567" t="n">
        <v>112749.8</v>
      </c>
      <c r="AB567" t="n">
        <v>133725</v>
      </c>
      <c r="AC567" t="n">
        <v>57900</v>
      </c>
      <c r="AF567" t="n">
        <v>0</v>
      </c>
      <c r="AG567" t="n">
        <v>304374.8</v>
      </c>
      <c r="AH567" t="n">
        <v>5.735034541181862</v>
      </c>
      <c r="AI567" t="n">
        <v>304374.8</v>
      </c>
      <c r="AJ567" t="n">
        <v>5.735034541181862</v>
      </c>
      <c r="AK567" t="n">
        <v>4.644081873830853</v>
      </c>
      <c r="AQ567" t="n">
        <v>304374.8</v>
      </c>
      <c r="AR567" t="n">
        <v>5.735034541181862</v>
      </c>
      <c r="AS567" t="n">
        <v>2.62799861854602</v>
      </c>
      <c r="BL567" t="n">
        <v>1</v>
      </c>
      <c r="BM567" t="n">
        <v>45175</v>
      </c>
      <c r="BN567" t="n">
        <v>0</v>
      </c>
      <c r="BO567" t="n">
        <v>47105</v>
      </c>
      <c r="BP567" t="inlineStr">
        <is>
          <t>G,U</t>
        </is>
      </c>
      <c r="BQ567" t="inlineStr">
        <is>
          <t>T1</t>
        </is>
      </c>
      <c r="BR567" t="n">
        <v>115820</v>
      </c>
      <c r="BS567" t="n">
        <v>2.563807415605977</v>
      </c>
      <c r="BT567" t="n">
        <v>0</v>
      </c>
      <c r="BU567" t="n">
        <v>115820</v>
      </c>
      <c r="BV567" t="n">
        <v>2.563807415605977</v>
      </c>
      <c r="BY567" t="n">
        <v>115820</v>
      </c>
      <c r="BZ567" t="n">
        <v>2.563807415605977</v>
      </c>
      <c r="CP567" t="inlineStr">
        <is>
          <t>风险管理和内部控制</t>
        </is>
      </c>
      <c r="CQ567" t="inlineStr">
        <is>
          <t>3,3</t>
        </is>
      </c>
      <c r="CR567" t="n">
        <v>10</v>
      </c>
      <c r="CS567" t="inlineStr">
        <is>
          <t>T1</t>
        </is>
      </c>
      <c r="CT567" t="inlineStr">
        <is>
          <t>N</t>
        </is>
      </c>
    </row>
    <row r="568">
      <c r="A568" t="inlineStr">
        <is>
          <t>avaYao(姚妍玲)</t>
        </is>
      </c>
      <c r="C568" t="n">
        <v>12723519</v>
      </c>
      <c r="D568" t="inlineStr">
        <is>
          <t>税务部</t>
        </is>
      </c>
      <c r="E568" t="inlineStr">
        <is>
          <t>国内主体税务中心</t>
        </is>
      </c>
      <c r="G568" t="inlineStr">
        <is>
          <t>S2职能系统－财经线/税务部/国内主体税务中心</t>
        </is>
      </c>
      <c r="H568" s="188" t="n">
        <v>38893</v>
      </c>
      <c r="I568" t="inlineStr">
        <is>
          <t>高校招聘</t>
        </is>
      </c>
      <c r="J568" t="inlineStr">
        <is>
          <t>财经类－FN</t>
        </is>
      </c>
      <c r="K568" t="inlineStr">
        <is>
          <t>税务</t>
        </is>
      </c>
      <c r="L568" t="inlineStr">
        <is>
          <t>S5</t>
        </is>
      </c>
      <c r="N568" t="inlineStr">
        <is>
          <t>T1</t>
        </is>
      </c>
      <c r="Q568" t="inlineStr">
        <is>
          <t>G,G</t>
        </is>
      </c>
      <c r="U568" t="n">
        <v>154853.5</v>
      </c>
      <c r="V568" t="n">
        <v>0.083333</v>
      </c>
      <c r="W568" t="inlineStr">
        <is>
          <t>CNY</t>
        </is>
      </c>
      <c r="X568" t="n">
        <v>1</v>
      </c>
      <c r="Y568" t="n">
        <v>29506.01</v>
      </c>
      <c r="Z568" t="n">
        <v>0</v>
      </c>
      <c r="AA568" t="n">
        <v>61941.4</v>
      </c>
      <c r="AB568" t="n">
        <v>67820</v>
      </c>
      <c r="AC568" t="n">
        <v>43160</v>
      </c>
      <c r="AF568" t="n">
        <v>0</v>
      </c>
      <c r="AG568" t="n">
        <v>172921.4</v>
      </c>
      <c r="AH568" t="n">
        <v>5.860548410306917</v>
      </c>
      <c r="AI568" t="n">
        <v>172921.4</v>
      </c>
      <c r="AJ568" t="n">
        <v>5.860548410306917</v>
      </c>
      <c r="AK568" t="n">
        <v>4.397795567750435</v>
      </c>
      <c r="AQ568" t="n">
        <v>172921.4</v>
      </c>
      <c r="AR568" t="n">
        <v>5.860548410306917</v>
      </c>
      <c r="AS568" t="n">
        <v>1.265062550296291</v>
      </c>
      <c r="BL568" t="n">
        <v>1</v>
      </c>
      <c r="BM568" t="n">
        <v>25445</v>
      </c>
      <c r="BN568" t="n">
        <v>0</v>
      </c>
      <c r="BO568" t="n">
        <v>27665</v>
      </c>
      <c r="BP568" t="inlineStr">
        <is>
          <t>G,G</t>
        </is>
      </c>
      <c r="BQ568" t="inlineStr">
        <is>
          <t>T1</t>
        </is>
      </c>
      <c r="BR568" t="n">
        <v>85660</v>
      </c>
      <c r="BS568" t="n">
        <v>3.366476714482217</v>
      </c>
      <c r="BT568" t="n">
        <v>51030</v>
      </c>
      <c r="BU568" t="n">
        <v>136690</v>
      </c>
      <c r="BV568" t="n">
        <v>5.371978777755944</v>
      </c>
      <c r="BY568" t="n">
        <v>136690</v>
      </c>
      <c r="BZ568" t="n">
        <v>5.371978777755944</v>
      </c>
      <c r="CP568" t="inlineStr">
        <is>
          <t>税务部</t>
        </is>
      </c>
      <c r="CQ568" t="inlineStr">
        <is>
          <t>3,3</t>
        </is>
      </c>
      <c r="CR568" t="n">
        <v>5</v>
      </c>
      <c r="CS568" t="inlineStr">
        <is>
          <t>T1</t>
        </is>
      </c>
      <c r="CT568" t="inlineStr">
        <is>
          <t>N</t>
        </is>
      </c>
    </row>
    <row r="569">
      <c r="A569" t="inlineStr">
        <is>
          <t>elenaZhao(赵妍澜)</t>
        </is>
      </c>
      <c r="C569" t="n">
        <v>90508341</v>
      </c>
      <c r="D569" t="inlineStr">
        <is>
          <t>财经IT管理部</t>
        </is>
      </c>
      <c r="E569" t="inlineStr">
        <is>
          <t>公共支持中心</t>
        </is>
      </c>
      <c r="G569" t="inlineStr">
        <is>
          <t>S2职能系统－财经线/财经IT管理部/公共支持中心</t>
        </is>
      </c>
      <c r="H569" s="188" t="n">
        <v>44337</v>
      </c>
      <c r="I569" t="inlineStr">
        <is>
          <t>高校招聘</t>
        </is>
      </c>
      <c r="J569" t="inlineStr">
        <is>
          <t>技术研发类－TRD</t>
        </is>
      </c>
      <c r="K569" t="inlineStr">
        <is>
          <t>应用开发</t>
        </is>
      </c>
      <c r="L569" t="inlineStr">
        <is>
          <t>T6</t>
        </is>
      </c>
      <c r="N569" t="inlineStr">
        <is>
          <t>T2</t>
        </is>
      </c>
      <c r="Q569" t="inlineStr">
        <is>
          <t>U,U</t>
        </is>
      </c>
      <c r="U569" t="n">
        <v>123457.25</v>
      </c>
      <c r="V569" t="n">
        <v>0.083333</v>
      </c>
      <c r="W569" t="inlineStr">
        <is>
          <t>CNY</t>
        </is>
      </c>
      <c r="X569" t="n">
        <v>1</v>
      </c>
      <c r="Y569" t="n">
        <v>22907.79</v>
      </c>
      <c r="Z569" t="n">
        <v>0</v>
      </c>
      <c r="AA569" t="n">
        <v>0</v>
      </c>
      <c r="AB569" t="n">
        <v>26800</v>
      </c>
      <c r="AC569" t="n">
        <v>0</v>
      </c>
      <c r="AF569" t="n">
        <v>0</v>
      </c>
      <c r="AG569" t="n">
        <v>26800</v>
      </c>
      <c r="AH569" t="n">
        <v>1.169907703885883</v>
      </c>
      <c r="AI569" t="n">
        <v>26800</v>
      </c>
      <c r="AJ569" t="n">
        <v>1.169907703885883</v>
      </c>
      <c r="AK569" t="n">
        <v>1.169907703885883</v>
      </c>
      <c r="AQ569" t="n">
        <v>26800</v>
      </c>
      <c r="AR569" t="n">
        <v>1.169907703885883</v>
      </c>
      <c r="AS569" t="n">
        <v>0.2772605007241879</v>
      </c>
      <c r="BL569" t="n">
        <v>1</v>
      </c>
      <c r="BM569" t="n">
        <v>22125</v>
      </c>
      <c r="BN569" t="n">
        <v>0</v>
      </c>
      <c r="BO569" t="n">
        <v>23140</v>
      </c>
      <c r="BP569" t="inlineStr">
        <is>
          <t>O,G</t>
        </is>
      </c>
      <c r="BQ569" t="inlineStr">
        <is>
          <t>T2</t>
        </is>
      </c>
      <c r="BR569" t="n">
        <v>96660</v>
      </c>
      <c r="BS569" t="n">
        <v>4.368813559322034</v>
      </c>
      <c r="BT569" t="n">
        <v>0</v>
      </c>
      <c r="BU569" t="n">
        <v>96660</v>
      </c>
      <c r="BV569" t="n">
        <v>4.368813559322034</v>
      </c>
      <c r="BY569" t="n">
        <v>96660</v>
      </c>
      <c r="BZ569" t="n">
        <v>4.368813559322034</v>
      </c>
      <c r="CP569" t="inlineStr">
        <is>
          <t>财经IT管理部</t>
        </is>
      </c>
      <c r="CQ569" t="inlineStr">
        <is>
          <t>1,1</t>
        </is>
      </c>
      <c r="CR569" t="n">
        <v>6</v>
      </c>
      <c r="CS569" t="inlineStr">
        <is>
          <t>T2</t>
        </is>
      </c>
      <c r="CT569" t="inlineStr">
        <is>
          <t>N</t>
        </is>
      </c>
    </row>
    <row r="570">
      <c r="A570" t="inlineStr">
        <is>
          <t>sarahXu(徐茜萱)</t>
        </is>
      </c>
      <c r="C570" t="n">
        <v>79166626</v>
      </c>
      <c r="D570" t="inlineStr">
        <is>
          <t>财经IT管理部</t>
        </is>
      </c>
      <c r="E570" t="inlineStr">
        <is>
          <t>公共支持中心</t>
        </is>
      </c>
      <c r="G570" t="inlineStr">
        <is>
          <t>S2职能系统－财经线/财经IT管理部/公共支持中心</t>
        </is>
      </c>
      <c r="H570" s="188" t="n">
        <v>45432</v>
      </c>
      <c r="I570" t="inlineStr">
        <is>
          <t>社会招聘</t>
        </is>
      </c>
      <c r="J570" t="inlineStr">
        <is>
          <t>技术研发类－TRD</t>
        </is>
      </c>
      <c r="K570" t="inlineStr">
        <is>
          <t>应用开发</t>
        </is>
      </c>
      <c r="L570" t="inlineStr">
        <is>
          <t>T8</t>
        </is>
      </c>
      <c r="N570" t="inlineStr">
        <is>
          <t>T2</t>
        </is>
      </c>
      <c r="Q570" t="inlineStr">
        <is>
          <t>N,G</t>
        </is>
      </c>
      <c r="U570" t="n">
        <v>209490.75</v>
      </c>
      <c r="V570" t="n">
        <v>0.083333</v>
      </c>
      <c r="W570" t="inlineStr">
        <is>
          <t>CNY</t>
        </is>
      </c>
      <c r="X570" t="n">
        <v>0.616438</v>
      </c>
      <c r="Y570" t="n">
        <v>38334.1</v>
      </c>
      <c r="Z570" t="n">
        <v>0</v>
      </c>
      <c r="AA570" t="n">
        <v>25827.61</v>
      </c>
      <c r="AB570" t="n">
        <v>0</v>
      </c>
      <c r="AC570" t="n">
        <v>0</v>
      </c>
      <c r="AF570" t="n">
        <v>0</v>
      </c>
      <c r="AG570" t="n">
        <v>25827.61</v>
      </c>
      <c r="AH570" t="n">
        <v>0.6737502641251523</v>
      </c>
      <c r="AI570" t="n">
        <v>25827.61</v>
      </c>
      <c r="AJ570" t="n">
        <v>0.6737502641251523</v>
      </c>
      <c r="AK570" t="n">
        <v>0.6737502641251523</v>
      </c>
      <c r="AQ570" t="n">
        <v>25827.61</v>
      </c>
      <c r="AR570" t="n">
        <v>0.6737502641251523</v>
      </c>
      <c r="BM570" t="n">
        <v>0</v>
      </c>
      <c r="BN570" t="n">
        <v>0</v>
      </c>
      <c r="BO570" t="n">
        <v>0</v>
      </c>
      <c r="BR570" t="n">
        <v>0</v>
      </c>
      <c r="BT570" t="n">
        <v>0</v>
      </c>
      <c r="BU570" t="n">
        <v>0</v>
      </c>
      <c r="BY570" t="n">
        <v>0</v>
      </c>
      <c r="CP570" t="inlineStr">
        <is>
          <t>财经IT管理部</t>
        </is>
      </c>
      <c r="CQ570" t="n">
        <v>3</v>
      </c>
      <c r="CR570" t="n">
        <v>8</v>
      </c>
      <c r="CS570" t="inlineStr">
        <is>
          <t>T2</t>
        </is>
      </c>
      <c r="CT570" t="inlineStr">
        <is>
          <t>N</t>
        </is>
      </c>
    </row>
    <row r="571">
      <c r="A571" t="inlineStr">
        <is>
          <t>amandaLin(林柔)</t>
        </is>
      </c>
      <c r="C571" t="n">
        <v>69735895</v>
      </c>
      <c r="D571" t="inlineStr">
        <is>
          <t>CDG财务管理</t>
        </is>
      </c>
      <c r="E571" t="inlineStr">
        <is>
          <t>AMS收入支持中心</t>
        </is>
      </c>
      <c r="G571" t="inlineStr">
        <is>
          <t>S2职能系统－财经线/CDG财务管理/AMS收入支持中心</t>
        </is>
      </c>
      <c r="H571" s="188" t="n">
        <v>40796</v>
      </c>
      <c r="I571" t="inlineStr">
        <is>
          <t>社会招聘</t>
        </is>
      </c>
      <c r="J571" t="inlineStr">
        <is>
          <t>财经类－FN</t>
        </is>
      </c>
      <c r="K571" t="inlineStr">
        <is>
          <t>财务管理</t>
        </is>
      </c>
      <c r="M571" t="inlineStr">
        <is>
          <t>L3-1</t>
        </is>
      </c>
      <c r="N571" t="inlineStr">
        <is>
          <t>T2</t>
        </is>
      </c>
      <c r="Q571" t="inlineStr">
        <is>
          <t>O,O</t>
        </is>
      </c>
      <c r="U571" t="n">
        <v>421288</v>
      </c>
      <c r="V571" t="n">
        <v>0.083333</v>
      </c>
      <c r="W571" t="inlineStr">
        <is>
          <t>CNY</t>
        </is>
      </c>
      <c r="X571" t="n">
        <v>1</v>
      </c>
      <c r="Y571" t="n">
        <v>81971.42</v>
      </c>
      <c r="Z571" t="n">
        <v>0</v>
      </c>
      <c r="AA571" t="n">
        <v>337030.4</v>
      </c>
      <c r="AB571" t="n">
        <v>85435</v>
      </c>
      <c r="AC571" t="n">
        <v>0</v>
      </c>
      <c r="AF571" t="n">
        <v>3360</v>
      </c>
      <c r="AG571" t="n">
        <v>422465.4</v>
      </c>
      <c r="AH571" t="n">
        <v>5.15381336568282</v>
      </c>
      <c r="AI571" t="n">
        <v>425825.4</v>
      </c>
      <c r="AJ571" t="n">
        <v>5.194803261917386</v>
      </c>
      <c r="AK571" t="n">
        <v>5.194803261917386</v>
      </c>
      <c r="AQ571" t="n">
        <v>425825.4</v>
      </c>
      <c r="AR571" t="n">
        <v>5.194803261917386</v>
      </c>
      <c r="AS571" t="n">
        <v>1.145153691004437</v>
      </c>
      <c r="BL571" t="n">
        <v>1</v>
      </c>
      <c r="BM571" t="n">
        <v>73635</v>
      </c>
      <c r="BN571" t="n">
        <v>0</v>
      </c>
      <c r="BO571" t="n">
        <v>74280</v>
      </c>
      <c r="BP571" t="inlineStr">
        <is>
          <t>O,O</t>
        </is>
      </c>
      <c r="BQ571" t="inlineStr">
        <is>
          <t>T2</t>
        </is>
      </c>
      <c r="BR571" t="n">
        <v>371850</v>
      </c>
      <c r="BS571" t="n">
        <v>5.049908331635771</v>
      </c>
      <c r="BT571" t="n">
        <v>0</v>
      </c>
      <c r="BU571" t="n">
        <v>371850</v>
      </c>
      <c r="BV571" t="n">
        <v>5.049908331635771</v>
      </c>
      <c r="BY571" t="n">
        <v>371850</v>
      </c>
      <c r="BZ571" t="n">
        <v>5.049908331635771</v>
      </c>
      <c r="CP571" t="inlineStr">
        <is>
          <t>CDG财务管理</t>
        </is>
      </c>
      <c r="CQ571" t="inlineStr">
        <is>
          <t>5,5</t>
        </is>
      </c>
      <c r="CR571" t="inlineStr">
        <is>
          <t>L3-1</t>
        </is>
      </c>
      <c r="CS571" t="inlineStr">
        <is>
          <t>T2</t>
        </is>
      </c>
      <c r="CT571" t="inlineStr">
        <is>
          <t>N</t>
        </is>
      </c>
    </row>
    <row r="572">
      <c r="A572" t="inlineStr">
        <is>
          <t>judithJiang(姜沁云)</t>
        </is>
      </c>
      <c r="C572" t="n">
        <v>66930580</v>
      </c>
      <c r="D572" t="inlineStr">
        <is>
          <t>税务部</t>
        </is>
      </c>
      <c r="E572" t="inlineStr">
        <is>
          <t>印章及文档管理组</t>
        </is>
      </c>
      <c r="G572" t="inlineStr">
        <is>
          <t>S2职能系统－财经线/税务部/印章及文档管理组</t>
        </is>
      </c>
      <c r="H572" s="188" t="n">
        <v>41772</v>
      </c>
      <c r="I572" t="inlineStr">
        <is>
          <t>社会招聘</t>
        </is>
      </c>
      <c r="J572" t="inlineStr">
        <is>
          <t>财经类－FN</t>
        </is>
      </c>
      <c r="K572" t="inlineStr">
        <is>
          <t>税务</t>
        </is>
      </c>
      <c r="L572" t="inlineStr">
        <is>
          <t>S9</t>
        </is>
      </c>
      <c r="N572" t="inlineStr">
        <is>
          <t>T1</t>
        </is>
      </c>
      <c r="Q572" t="inlineStr">
        <is>
          <t>O,G</t>
        </is>
      </c>
      <c r="U572" t="n">
        <v>205628</v>
      </c>
      <c r="V572" t="n">
        <v>0.083333</v>
      </c>
      <c r="W572" t="inlineStr">
        <is>
          <t>CNY</t>
        </is>
      </c>
      <c r="X572" t="n">
        <v>1</v>
      </c>
      <c r="Y572" t="n">
        <v>39022.2</v>
      </c>
      <c r="Z572" t="n">
        <v>0</v>
      </c>
      <c r="AA572" t="n">
        <v>123376.8</v>
      </c>
      <c r="AB572" t="n">
        <v>95000</v>
      </c>
      <c r="AC572" t="n">
        <v>42230</v>
      </c>
      <c r="AF572" t="n">
        <v>0</v>
      </c>
      <c r="AG572" t="n">
        <v>260606.8</v>
      </c>
      <c r="AH572" t="n">
        <v>6.678424076551297</v>
      </c>
      <c r="AI572" t="n">
        <v>260606.8</v>
      </c>
      <c r="AJ572" t="n">
        <v>6.678424076551297</v>
      </c>
      <c r="AK572" t="n">
        <v>5.596219587824367</v>
      </c>
      <c r="AQ572" t="n">
        <v>260606.8</v>
      </c>
      <c r="AR572" t="n">
        <v>6.678424076551297</v>
      </c>
      <c r="AS572" t="n">
        <v>1.627825978325369</v>
      </c>
      <c r="BL572" t="n">
        <v>1</v>
      </c>
      <c r="BM572" t="n">
        <v>35310</v>
      </c>
      <c r="BN572" t="n">
        <v>0</v>
      </c>
      <c r="BO572" t="n">
        <v>37510</v>
      </c>
      <c r="BP572" t="inlineStr">
        <is>
          <t>G,O</t>
        </is>
      </c>
      <c r="BQ572" t="inlineStr">
        <is>
          <t>Others</t>
        </is>
      </c>
      <c r="BR572" t="n">
        <v>160095</v>
      </c>
      <c r="BS572" t="n">
        <v>4.533984706881903</v>
      </c>
      <c r="BT572" t="n">
        <v>0</v>
      </c>
      <c r="BU572" t="n">
        <v>160095</v>
      </c>
      <c r="BV572" t="n">
        <v>4.533984706881903</v>
      </c>
      <c r="BY572" t="n">
        <v>160095</v>
      </c>
      <c r="BZ572" t="n">
        <v>4.533984706881903</v>
      </c>
      <c r="CP572" t="inlineStr">
        <is>
          <t>税务部</t>
        </is>
      </c>
      <c r="CQ572" t="inlineStr">
        <is>
          <t>5,3</t>
        </is>
      </c>
      <c r="CR572" t="n">
        <v>9</v>
      </c>
      <c r="CS572" t="inlineStr">
        <is>
          <t>T1</t>
        </is>
      </c>
      <c r="CT572" t="inlineStr">
        <is>
          <t>N</t>
        </is>
      </c>
    </row>
    <row r="573">
      <c r="A573" t="inlineStr">
        <is>
          <t>elizabethYu(余曦晶)</t>
        </is>
      </c>
      <c r="C573" t="n">
        <v>60277865</v>
      </c>
      <c r="D573" t="inlineStr">
        <is>
          <t>财经IT管理部</t>
        </is>
      </c>
      <c r="E573" t="inlineStr">
        <is>
          <t>中台开发中心</t>
        </is>
      </c>
      <c r="G573" t="inlineStr">
        <is>
          <t>S2职能系统－财经线/财经IT管理部/中台开发中心</t>
        </is>
      </c>
      <c r="H573" s="188" t="n">
        <v>45133</v>
      </c>
      <c r="I573" t="inlineStr">
        <is>
          <t>高校招聘</t>
        </is>
      </c>
      <c r="J573" t="inlineStr">
        <is>
          <t>技术研发类－TRD</t>
        </is>
      </c>
      <c r="K573" t="inlineStr">
        <is>
          <t>应用开发</t>
        </is>
      </c>
      <c r="L573" t="inlineStr">
        <is>
          <t>T6</t>
        </is>
      </c>
      <c r="N573" t="inlineStr">
        <is>
          <t>T2</t>
        </is>
      </c>
      <c r="Q573" t="inlineStr">
        <is>
          <t>G,G</t>
        </is>
      </c>
      <c r="U573" t="n">
        <v>171066.5</v>
      </c>
      <c r="V573" t="n">
        <v>0.083333</v>
      </c>
      <c r="W573" t="inlineStr">
        <is>
          <t>CNY</t>
        </is>
      </c>
      <c r="X573" t="n">
        <v>1</v>
      </c>
      <c r="Y573" t="n">
        <v>33776.01</v>
      </c>
      <c r="Z573" t="n">
        <v>0</v>
      </c>
      <c r="AA573" t="n">
        <v>68426.60000000001</v>
      </c>
      <c r="AB573" t="n">
        <v>47410</v>
      </c>
      <c r="AC573" t="n">
        <v>0</v>
      </c>
      <c r="AF573" t="n">
        <v>0</v>
      </c>
      <c r="AG573" t="n">
        <v>115836.6</v>
      </c>
      <c r="AH573" t="n">
        <v>3.429552513751624</v>
      </c>
      <c r="AI573" t="n">
        <v>115836.6</v>
      </c>
      <c r="AJ573" t="n">
        <v>3.429552513751624</v>
      </c>
      <c r="AK573" t="n">
        <v>3.429552513751624</v>
      </c>
      <c r="AQ573" t="n">
        <v>115836.6</v>
      </c>
      <c r="AR573" t="n">
        <v>3.429552513751624</v>
      </c>
      <c r="AS573" t="n">
        <v>9.518208709942481</v>
      </c>
      <c r="BL573" t="n">
        <v>0.432876712328767</v>
      </c>
      <c r="BM573" t="n">
        <v>28125</v>
      </c>
      <c r="BN573" t="n">
        <v>0</v>
      </c>
      <c r="BO573" t="n">
        <v>28125</v>
      </c>
      <c r="BP573" t="inlineStr">
        <is>
          <t>N,U</t>
        </is>
      </c>
      <c r="BQ573" t="inlineStr">
        <is>
          <t>T2</t>
        </is>
      </c>
      <c r="BR573" t="n">
        <v>12170</v>
      </c>
      <c r="BS573" t="n">
        <v>0.4327111111111111</v>
      </c>
      <c r="BT573" t="n">
        <v>0</v>
      </c>
      <c r="BU573" t="n">
        <v>12170</v>
      </c>
      <c r="BV573" t="n">
        <v>0.4327111111111111</v>
      </c>
      <c r="BY573" t="n">
        <v>12170</v>
      </c>
      <c r="BZ573" t="n">
        <v>0.4327111111111111</v>
      </c>
      <c r="CP573" t="inlineStr">
        <is>
          <t>财经IT管理部</t>
        </is>
      </c>
      <c r="CQ573" t="inlineStr">
        <is>
          <t>3,3</t>
        </is>
      </c>
      <c r="CR573" t="n">
        <v>6</v>
      </c>
      <c r="CS573" t="inlineStr">
        <is>
          <t>T2</t>
        </is>
      </c>
      <c r="CT573" t="inlineStr">
        <is>
          <t>N</t>
        </is>
      </c>
    </row>
    <row r="574">
      <c r="A574" t="inlineStr">
        <is>
          <t>bellaXia(夏诗)</t>
        </is>
      </c>
      <c r="C574" t="n">
        <v>89663157</v>
      </c>
      <c r="D574" t="inlineStr">
        <is>
          <t>风险管理和内部控制</t>
        </is>
      </c>
      <c r="E574" t="inlineStr">
        <is>
          <t>CSIG风控中心</t>
        </is>
      </c>
      <c r="G574" t="inlineStr">
        <is>
          <t>S2职能系统－财经线/风险管理和内部控制/CSIG风控中心</t>
        </is>
      </c>
      <c r="H574" s="188" t="n">
        <v>45381</v>
      </c>
      <c r="I574" t="inlineStr">
        <is>
          <t>社会招聘</t>
        </is>
      </c>
      <c r="J574" t="inlineStr">
        <is>
          <t>财经类－FN</t>
        </is>
      </c>
      <c r="K574" t="inlineStr">
        <is>
          <t>风险管理</t>
        </is>
      </c>
      <c r="L574" t="inlineStr">
        <is>
          <t>S12</t>
        </is>
      </c>
      <c r="N574" t="inlineStr">
        <is>
          <t>T1</t>
        </is>
      </c>
      <c r="Q574" t="inlineStr">
        <is>
          <t>G,G</t>
        </is>
      </c>
      <c r="U574" t="n">
        <v>291432.25</v>
      </c>
      <c r="V574" t="n">
        <v>0.083333</v>
      </c>
      <c r="W574" t="inlineStr">
        <is>
          <t>CNY</t>
        </is>
      </c>
      <c r="X574" t="n">
        <v>0.7561639999999999</v>
      </c>
      <c r="Y574" t="n">
        <v>53154.48</v>
      </c>
      <c r="Z574" t="n">
        <v>0</v>
      </c>
      <c r="AA574" t="n">
        <v>44074.12</v>
      </c>
      <c r="AB574" t="n">
        <v>0</v>
      </c>
      <c r="AC574" t="n">
        <v>0</v>
      </c>
      <c r="AF574" t="n">
        <v>0</v>
      </c>
      <c r="AG574" t="n">
        <v>44074.12</v>
      </c>
      <c r="AH574" t="n">
        <v>0.8291703728453368</v>
      </c>
      <c r="AI574" t="n">
        <v>44074.12</v>
      </c>
      <c r="AJ574" t="n">
        <v>0.8291703728453368</v>
      </c>
      <c r="AK574" t="n">
        <v>0.8291703728453368</v>
      </c>
      <c r="AQ574" t="n">
        <v>44074.12</v>
      </c>
      <c r="AR574" t="n">
        <v>0.8291703728453368</v>
      </c>
      <c r="BM574" t="n">
        <v>0</v>
      </c>
      <c r="BN574" t="n">
        <v>0</v>
      </c>
      <c r="BO574" t="n">
        <v>0</v>
      </c>
      <c r="BR574" t="n">
        <v>0</v>
      </c>
      <c r="BT574" t="n">
        <v>0</v>
      </c>
      <c r="BU574" t="n">
        <v>0</v>
      </c>
      <c r="BY574" t="n">
        <v>0</v>
      </c>
      <c r="CP574" t="inlineStr">
        <is>
          <t>风险管理和内部控制</t>
        </is>
      </c>
      <c r="CQ574" t="inlineStr">
        <is>
          <t>3,3</t>
        </is>
      </c>
      <c r="CR574" t="n">
        <v>12</v>
      </c>
      <c r="CS574" t="inlineStr">
        <is>
          <t>T1</t>
        </is>
      </c>
      <c r="CT574" t="inlineStr">
        <is>
          <t>N</t>
        </is>
      </c>
    </row>
    <row r="575">
      <c r="A575" t="inlineStr">
        <is>
          <t>jacobLai(赖宏文)</t>
        </is>
      </c>
      <c r="C575" t="n">
        <v>32321319</v>
      </c>
      <c r="D575" t="inlineStr">
        <is>
          <t>财经IT管理部</t>
        </is>
      </c>
      <c r="E575" t="inlineStr">
        <is>
          <t>业务开发中心</t>
        </is>
      </c>
      <c r="G575" t="inlineStr">
        <is>
          <t>S2职能系统－财经线/财经IT管理部/业务开发中心</t>
        </is>
      </c>
      <c r="H575" s="188" t="n">
        <v>37675</v>
      </c>
      <c r="I575" t="inlineStr">
        <is>
          <t>社会招聘</t>
        </is>
      </c>
      <c r="J575" t="inlineStr">
        <is>
          <t>技术研发类－TRD</t>
        </is>
      </c>
      <c r="K575" t="inlineStr">
        <is>
          <t>应用开发</t>
        </is>
      </c>
      <c r="L575" t="inlineStr">
        <is>
          <t>T9</t>
        </is>
      </c>
      <c r="N575" t="inlineStr">
        <is>
          <t>Others</t>
        </is>
      </c>
      <c r="Q575" t="inlineStr">
        <is>
          <t>G,G</t>
        </is>
      </c>
      <c r="U575" t="n">
        <v>165961.25</v>
      </c>
      <c r="V575" t="n">
        <v>0.083333</v>
      </c>
      <c r="W575" t="inlineStr">
        <is>
          <t>CNY</t>
        </is>
      </c>
      <c r="X575" t="n">
        <v>1</v>
      </c>
      <c r="Y575" t="n">
        <v>32504.31</v>
      </c>
      <c r="Z575" t="n">
        <v>0</v>
      </c>
      <c r="AA575" t="n">
        <v>66384.5</v>
      </c>
      <c r="AB575" t="n">
        <v>31280</v>
      </c>
      <c r="AC575" t="n">
        <v>0</v>
      </c>
      <c r="AF575" t="n">
        <v>0</v>
      </c>
      <c r="AG575" t="n">
        <v>97664.5</v>
      </c>
      <c r="AH575" t="n">
        <v>3.004663073912352</v>
      </c>
      <c r="AI575" t="n">
        <v>97664.5</v>
      </c>
      <c r="AJ575" t="n">
        <v>3.004663073912352</v>
      </c>
      <c r="AK575" t="n">
        <v>3.004663073912352</v>
      </c>
      <c r="AQ575" t="n">
        <v>97664.5</v>
      </c>
      <c r="AR575" t="n">
        <v>3.004663073912352</v>
      </c>
      <c r="AS575" t="n">
        <v>1.043981827899519</v>
      </c>
      <c r="BL575" t="n">
        <v>1</v>
      </c>
      <c r="BM575" t="n">
        <v>26995</v>
      </c>
      <c r="BN575" t="n">
        <v>0</v>
      </c>
      <c r="BO575" t="n">
        <v>29195</v>
      </c>
      <c r="BP575" t="inlineStr">
        <is>
          <t>G,G</t>
        </is>
      </c>
      <c r="BQ575" t="inlineStr">
        <is>
          <t>Others</t>
        </is>
      </c>
      <c r="BR575" t="n">
        <v>93550</v>
      </c>
      <c r="BS575" t="n">
        <v>3.465456566030746</v>
      </c>
      <c r="BT575" t="n">
        <v>0</v>
      </c>
      <c r="BU575" t="n">
        <v>93550</v>
      </c>
      <c r="BV575" t="n">
        <v>3.465456566030746</v>
      </c>
      <c r="BY575" t="n">
        <v>93550</v>
      </c>
      <c r="BZ575" t="n">
        <v>3.465456566030746</v>
      </c>
      <c r="CP575" t="inlineStr">
        <is>
          <t>财经IT管理部</t>
        </is>
      </c>
      <c r="CQ575" t="inlineStr">
        <is>
          <t>3,3</t>
        </is>
      </c>
      <c r="CR575" t="n">
        <v>9</v>
      </c>
      <c r="CS575" t="inlineStr">
        <is>
          <t>Others</t>
        </is>
      </c>
      <c r="CT575" t="inlineStr">
        <is>
          <t>N</t>
        </is>
      </c>
    </row>
    <row r="576">
      <c r="A576" t="inlineStr">
        <is>
          <t>penelopeSun(孙茹诗)</t>
        </is>
      </c>
      <c r="C576" t="n">
        <v>79058956</v>
      </c>
      <c r="D576" t="inlineStr">
        <is>
          <t>财经投资并购及管理部</t>
        </is>
      </c>
      <c r="E576" t="inlineStr">
        <is>
          <t>财经投资并购及管理部</t>
        </is>
      </c>
      <c r="G576" t="inlineStr">
        <is>
          <t>S2职能系统－财经线/财经投资并购及管理部</t>
        </is>
      </c>
      <c r="H576" s="188" t="n">
        <v>36950</v>
      </c>
      <c r="I576" t="inlineStr">
        <is>
          <t>社会招聘</t>
        </is>
      </c>
      <c r="J576" t="inlineStr">
        <is>
          <t>财经类－FN</t>
        </is>
      </c>
      <c r="K576" t="inlineStr">
        <is>
          <t>投资并购</t>
        </is>
      </c>
      <c r="L576" t="inlineStr">
        <is>
          <t>S7</t>
        </is>
      </c>
      <c r="N576" t="inlineStr">
        <is>
          <t>Others</t>
        </is>
      </c>
      <c r="Q576" t="inlineStr">
        <is>
          <t>G,G</t>
        </is>
      </c>
      <c r="U576" t="n">
        <v>187517</v>
      </c>
      <c r="V576" t="n">
        <v>0.083333</v>
      </c>
      <c r="W576" t="inlineStr">
        <is>
          <t>CNY</t>
        </is>
      </c>
      <c r="X576" t="n">
        <v>1</v>
      </c>
      <c r="Y576" t="n">
        <v>36249.82</v>
      </c>
      <c r="Z576" t="n">
        <v>0</v>
      </c>
      <c r="AA576" t="n">
        <v>75006.8</v>
      </c>
      <c r="AB576" t="n">
        <v>24865</v>
      </c>
      <c r="AC576" t="n">
        <v>0</v>
      </c>
      <c r="AF576" t="n">
        <v>0</v>
      </c>
      <c r="AG576" t="n">
        <v>99871.8</v>
      </c>
      <c r="AH576" t="n">
        <v>2.755097818416754</v>
      </c>
      <c r="AI576" t="n">
        <v>99871.8</v>
      </c>
      <c r="AJ576" t="n">
        <v>2.755097818416754</v>
      </c>
      <c r="AK576" t="n">
        <v>2.755097818416754</v>
      </c>
      <c r="AQ576" t="n">
        <v>99871.8</v>
      </c>
      <c r="AR576" t="n">
        <v>2.755097818416754</v>
      </c>
      <c r="AS576" t="n">
        <v>1.521624133465377</v>
      </c>
      <c r="BL576" t="n">
        <v>1</v>
      </c>
      <c r="BM576" t="n">
        <v>30955</v>
      </c>
      <c r="BN576" t="n">
        <v>0</v>
      </c>
      <c r="BO576" t="n">
        <v>31245</v>
      </c>
      <c r="BP576" t="inlineStr">
        <is>
          <t>U,G</t>
        </is>
      </c>
      <c r="BQ576" t="inlineStr">
        <is>
          <t>Others</t>
        </is>
      </c>
      <c r="BR576" t="n">
        <v>65635</v>
      </c>
      <c r="BS576" t="n">
        <v>2.120335971571636</v>
      </c>
      <c r="BT576" t="n">
        <v>0</v>
      </c>
      <c r="BU576" t="n">
        <v>65635</v>
      </c>
      <c r="BV576" t="n">
        <v>2.120335971571636</v>
      </c>
      <c r="BY576" t="n">
        <v>65635</v>
      </c>
      <c r="BZ576" t="n">
        <v>2.120335971571636</v>
      </c>
      <c r="CP576" t="inlineStr">
        <is>
          <t>财经投资并购及管理部</t>
        </is>
      </c>
      <c r="CQ576" t="inlineStr">
        <is>
          <t>3,3</t>
        </is>
      </c>
      <c r="CR576" t="n">
        <v>7</v>
      </c>
      <c r="CS576" t="inlineStr">
        <is>
          <t>Others</t>
        </is>
      </c>
      <c r="CT576" t="inlineStr">
        <is>
          <t>N</t>
        </is>
      </c>
    </row>
    <row r="577">
      <c r="A577" t="inlineStr">
        <is>
          <t>jordanJin(金磊国)</t>
        </is>
      </c>
      <c r="C577" t="n">
        <v>13168842</v>
      </c>
      <c r="D577" t="inlineStr">
        <is>
          <t>IEG财务管理</t>
        </is>
      </c>
      <c r="E577" t="inlineStr">
        <is>
          <t>综合分析组</t>
        </is>
      </c>
      <c r="G577" t="inlineStr">
        <is>
          <t>S2职能系统－财经线/IEG财务管理/综合分析组</t>
        </is>
      </c>
      <c r="H577" s="188" t="n">
        <v>43873</v>
      </c>
      <c r="I577" t="inlineStr">
        <is>
          <t>社会招聘</t>
        </is>
      </c>
      <c r="J577" t="inlineStr">
        <is>
          <t>财经类－FN</t>
        </is>
      </c>
      <c r="K577" t="inlineStr">
        <is>
          <t>财务管理</t>
        </is>
      </c>
      <c r="L577" t="inlineStr">
        <is>
          <t>S11</t>
        </is>
      </c>
      <c r="N577" t="inlineStr">
        <is>
          <t>T2</t>
        </is>
      </c>
      <c r="Q577" t="inlineStr">
        <is>
          <t>G,G</t>
        </is>
      </c>
      <c r="U577" t="n">
        <v>340439.25</v>
      </c>
      <c r="V577" t="n">
        <v>0.083333</v>
      </c>
      <c r="W577" t="inlineStr">
        <is>
          <t>CNY</t>
        </is>
      </c>
      <c r="X577" t="n">
        <v>1</v>
      </c>
      <c r="Y577" t="n">
        <v>63294.76</v>
      </c>
      <c r="Z577" t="n">
        <v>0</v>
      </c>
      <c r="AA577" t="n">
        <v>136175.7</v>
      </c>
      <c r="AB577" t="n">
        <v>96260</v>
      </c>
      <c r="AC577" t="n">
        <v>0</v>
      </c>
      <c r="AF577" t="n">
        <v>0</v>
      </c>
      <c r="AG577" t="n">
        <v>232435.7</v>
      </c>
      <c r="AH577" t="n">
        <v>3.67227397655035</v>
      </c>
      <c r="AI577" t="n">
        <v>232435.7</v>
      </c>
      <c r="AJ577" t="n">
        <v>3.67227397655035</v>
      </c>
      <c r="AK577" t="n">
        <v>3.67227397655035</v>
      </c>
      <c r="AQ577" t="n">
        <v>232435.7</v>
      </c>
      <c r="AR577" t="n">
        <v>3.67227397655035</v>
      </c>
      <c r="AS577" t="n">
        <v>1.157029717755986</v>
      </c>
      <c r="BL577" t="n">
        <v>1</v>
      </c>
      <c r="BM577" t="n">
        <v>58060</v>
      </c>
      <c r="BN577" t="n">
        <v>0</v>
      </c>
      <c r="BO577" t="n">
        <v>61685</v>
      </c>
      <c r="BP577" t="inlineStr">
        <is>
          <t>G,G</t>
        </is>
      </c>
      <c r="BQ577" t="inlineStr">
        <is>
          <t>Others</t>
        </is>
      </c>
      <c r="BR577" t="n">
        <v>200890</v>
      </c>
      <c r="BS577" t="n">
        <v>3.460041336548398</v>
      </c>
      <c r="BT577" t="n">
        <v>0</v>
      </c>
      <c r="BU577" t="n">
        <v>200890</v>
      </c>
      <c r="BV577" t="n">
        <v>3.460041336548398</v>
      </c>
      <c r="BY577" t="n">
        <v>200890</v>
      </c>
      <c r="BZ577" t="n">
        <v>3.460041336548398</v>
      </c>
      <c r="CP577" t="inlineStr">
        <is>
          <t>IEG财务管理</t>
        </is>
      </c>
      <c r="CQ577" t="inlineStr">
        <is>
          <t>3,3</t>
        </is>
      </c>
      <c r="CR577" t="n">
        <v>11</v>
      </c>
      <c r="CS577" t="inlineStr">
        <is>
          <t>T2</t>
        </is>
      </c>
      <c r="CT577" t="inlineStr">
        <is>
          <t>N</t>
        </is>
      </c>
    </row>
    <row r="578">
      <c r="A578" t="inlineStr">
        <is>
          <t>addisonLu(陆洁)</t>
        </is>
      </c>
      <c r="C578" t="n">
        <v>19042429</v>
      </c>
      <c r="D578" t="inlineStr">
        <is>
          <t>TEG财务管理</t>
        </is>
      </c>
      <c r="E578" t="inlineStr">
        <is>
          <t>TEG财务管理</t>
        </is>
      </c>
      <c r="G578" t="inlineStr">
        <is>
          <t>S2职能系统－财经线/TEG财务管理</t>
        </is>
      </c>
      <c r="H578" s="188" t="n">
        <v>40006</v>
      </c>
      <c r="I578" t="inlineStr">
        <is>
          <t>社会招聘</t>
        </is>
      </c>
      <c r="J578" t="inlineStr">
        <is>
          <t>财经类－FN</t>
        </is>
      </c>
      <c r="K578" t="inlineStr">
        <is>
          <t>财务管理</t>
        </is>
      </c>
      <c r="L578" t="inlineStr">
        <is>
          <t>S11</t>
        </is>
      </c>
      <c r="N578" t="inlineStr">
        <is>
          <t>T2</t>
        </is>
      </c>
      <c r="Q578" t="inlineStr">
        <is>
          <t>G,G</t>
        </is>
      </c>
      <c r="U578" t="n">
        <v>198628.25</v>
      </c>
      <c r="V578" t="n">
        <v>0.083333</v>
      </c>
      <c r="W578" t="inlineStr">
        <is>
          <t>CNY</t>
        </is>
      </c>
      <c r="X578" t="n">
        <v>1</v>
      </c>
      <c r="Y578" t="n">
        <v>36415.35</v>
      </c>
      <c r="Z578" t="n">
        <v>0</v>
      </c>
      <c r="AA578" t="n">
        <v>79451.3</v>
      </c>
      <c r="AB578" t="n">
        <v>51200</v>
      </c>
      <c r="AC578" t="n">
        <v>0</v>
      </c>
      <c r="AF578" t="n">
        <v>0</v>
      </c>
      <c r="AG578" t="n">
        <v>130651.3</v>
      </c>
      <c r="AH578" t="n">
        <v>3.587808437925216</v>
      </c>
      <c r="AI578" t="n">
        <v>130651.3</v>
      </c>
      <c r="AJ578" t="n">
        <v>3.587808437925216</v>
      </c>
      <c r="AK578" t="n">
        <v>3.587808437925216</v>
      </c>
      <c r="AQ578" t="n">
        <v>130651.3</v>
      </c>
      <c r="AR578" t="n">
        <v>3.587808437925216</v>
      </c>
      <c r="AS578" t="n">
        <v>1.028264599401857</v>
      </c>
      <c r="BL578" t="n">
        <v>1</v>
      </c>
      <c r="BM578" t="n">
        <v>34730</v>
      </c>
      <c r="BN578" t="n">
        <v>0</v>
      </c>
      <c r="BO578" t="n">
        <v>36555</v>
      </c>
      <c r="BP578" t="inlineStr">
        <is>
          <t>G,G</t>
        </is>
      </c>
      <c r="BQ578" t="inlineStr">
        <is>
          <t>T2</t>
        </is>
      </c>
      <c r="BR578" t="n">
        <v>127060</v>
      </c>
      <c r="BS578" t="n">
        <v>3.658508494097322</v>
      </c>
      <c r="BT578" t="n">
        <v>0</v>
      </c>
      <c r="BU578" t="n">
        <v>127060</v>
      </c>
      <c r="BV578" t="n">
        <v>3.658508494097322</v>
      </c>
      <c r="BY578" t="n">
        <v>127060</v>
      </c>
      <c r="BZ578" t="n">
        <v>3.658508494097322</v>
      </c>
      <c r="CP578" t="inlineStr">
        <is>
          <t>TEG财务管理</t>
        </is>
      </c>
      <c r="CQ578" t="inlineStr">
        <is>
          <t>3,3</t>
        </is>
      </c>
      <c r="CR578" t="n">
        <v>11</v>
      </c>
      <c r="CS578" t="inlineStr">
        <is>
          <t>T2</t>
        </is>
      </c>
      <c r="CT578" t="inlineStr">
        <is>
          <t>N</t>
        </is>
      </c>
    </row>
    <row r="579">
      <c r="A579" t="inlineStr">
        <is>
          <t>teresaSong(宋颖)</t>
        </is>
      </c>
      <c r="C579" t="n">
        <v>51846326</v>
      </c>
      <c r="D579" t="inlineStr">
        <is>
          <t>财会及报告管理部</t>
        </is>
      </c>
      <c r="E579" t="inlineStr">
        <is>
          <t>员工报销服务中心</t>
        </is>
      </c>
      <c r="G579" t="inlineStr">
        <is>
          <t>S2职能系统－财经线/财会及报告管理部/员工报销服务中心</t>
        </is>
      </c>
      <c r="H579" s="188" t="n">
        <v>44285</v>
      </c>
      <c r="I579" t="inlineStr">
        <is>
          <t>高校招聘</t>
        </is>
      </c>
      <c r="J579" t="inlineStr">
        <is>
          <t>财经类－FN</t>
        </is>
      </c>
      <c r="K579" t="inlineStr">
        <is>
          <t>会计</t>
        </is>
      </c>
      <c r="L579" t="inlineStr">
        <is>
          <t>S8</t>
        </is>
      </c>
      <c r="N579" t="inlineStr">
        <is>
          <t>Others</t>
        </is>
      </c>
      <c r="Q579" t="inlineStr">
        <is>
          <t>G,G</t>
        </is>
      </c>
      <c r="U579" t="n">
        <v>185696.75</v>
      </c>
      <c r="V579" t="n">
        <v>0.083333</v>
      </c>
      <c r="W579" t="inlineStr">
        <is>
          <t>CNY</t>
        </is>
      </c>
      <c r="X579" t="n">
        <v>1</v>
      </c>
      <c r="Y579" t="n">
        <v>36090.64</v>
      </c>
      <c r="Z579" t="n">
        <v>0</v>
      </c>
      <c r="AA579" t="n">
        <v>74278.7</v>
      </c>
      <c r="AB579" t="n">
        <v>22695</v>
      </c>
      <c r="AC579" t="n">
        <v>0</v>
      </c>
      <c r="AF579" t="n">
        <v>0</v>
      </c>
      <c r="AG579" t="n">
        <v>96973.7</v>
      </c>
      <c r="AH579" t="n">
        <v>2.686948749038532</v>
      </c>
      <c r="AI579" t="n">
        <v>96973.7</v>
      </c>
      <c r="AJ579" t="n">
        <v>2.686948749038532</v>
      </c>
      <c r="AK579" t="n">
        <v>2.686948749038532</v>
      </c>
      <c r="AQ579" t="n">
        <v>96973.7</v>
      </c>
      <c r="AR579" t="n">
        <v>2.686948749038532</v>
      </c>
      <c r="AS579" t="n">
        <v>0.838473909472137</v>
      </c>
      <c r="BL579" t="n">
        <v>1</v>
      </c>
      <c r="BM579" t="n">
        <v>33125</v>
      </c>
      <c r="BN579" t="n">
        <v>0</v>
      </c>
      <c r="BO579" t="n">
        <v>35025</v>
      </c>
      <c r="BP579" t="inlineStr">
        <is>
          <t>G,G</t>
        </is>
      </c>
      <c r="BQ579" t="inlineStr">
        <is>
          <t>Others</t>
        </is>
      </c>
      <c r="BR579" t="n">
        <v>115655</v>
      </c>
      <c r="BS579" t="n">
        <v>3.491471698113207</v>
      </c>
      <c r="BT579" t="n">
        <v>0</v>
      </c>
      <c r="BU579" t="n">
        <v>115655</v>
      </c>
      <c r="BV579" t="n">
        <v>3.491471698113207</v>
      </c>
      <c r="BY579" t="n">
        <v>115655</v>
      </c>
      <c r="BZ579" t="n">
        <v>3.491471698113207</v>
      </c>
      <c r="CP579" t="inlineStr">
        <is>
          <t>财会及报告管理部</t>
        </is>
      </c>
      <c r="CQ579" t="inlineStr">
        <is>
          <t>3,3</t>
        </is>
      </c>
      <c r="CR579" t="n">
        <v>8</v>
      </c>
      <c r="CS579" t="inlineStr">
        <is>
          <t>Others</t>
        </is>
      </c>
      <c r="CT579" t="inlineStr">
        <is>
          <t>N</t>
        </is>
      </c>
    </row>
    <row r="580">
      <c r="A580" t="inlineStr">
        <is>
          <t>danielTian(田志)</t>
        </is>
      </c>
      <c r="C580" t="n">
        <v>92244182</v>
      </c>
      <c r="D580" t="inlineStr">
        <is>
          <t>风险管理和内部控制</t>
        </is>
      </c>
      <c r="E580" t="inlineStr">
        <is>
          <t>PCG风控中心</t>
        </is>
      </c>
      <c r="G580" t="inlineStr">
        <is>
          <t>S2职能系统－财经线/风险管理和内部控制/PCG风控中心</t>
        </is>
      </c>
      <c r="H580" s="188" t="n">
        <v>41028</v>
      </c>
      <c r="I580" t="inlineStr">
        <is>
          <t>社会招聘</t>
        </is>
      </c>
      <c r="J580" t="inlineStr">
        <is>
          <t>财经类－FN</t>
        </is>
      </c>
      <c r="K580" t="inlineStr">
        <is>
          <t>风险管理</t>
        </is>
      </c>
      <c r="L580" t="inlineStr">
        <is>
          <t>S6</t>
        </is>
      </c>
      <c r="N580" t="inlineStr">
        <is>
          <t>T2</t>
        </is>
      </c>
      <c r="Q580" t="inlineStr">
        <is>
          <t>G,G</t>
        </is>
      </c>
      <c r="U580" t="n">
        <v>192175</v>
      </c>
      <c r="V580" t="n">
        <v>0.083333</v>
      </c>
      <c r="W580" t="inlineStr">
        <is>
          <t>CNY</t>
        </is>
      </c>
      <c r="X580" t="n">
        <v>1</v>
      </c>
      <c r="Y580" t="n">
        <v>36275.47</v>
      </c>
      <c r="Z580" t="n">
        <v>0</v>
      </c>
      <c r="AA580" t="n">
        <v>76870</v>
      </c>
      <c r="AB580" t="n">
        <v>40005</v>
      </c>
      <c r="AC580" t="n">
        <v>0</v>
      </c>
      <c r="AF580" t="n">
        <v>0</v>
      </c>
      <c r="AG580" t="n">
        <v>116875</v>
      </c>
      <c r="AH580" t="n">
        <v>3.221874175579255</v>
      </c>
      <c r="AI580" t="n">
        <v>116875</v>
      </c>
      <c r="AJ580" t="n">
        <v>3.221874175579255</v>
      </c>
      <c r="AK580" t="n">
        <v>3.221874175579255</v>
      </c>
      <c r="AQ580" t="n">
        <v>116875</v>
      </c>
      <c r="AR580" t="n">
        <v>3.221874175579255</v>
      </c>
      <c r="AS580" t="n">
        <v>0.4420971005995499</v>
      </c>
      <c r="BL580" t="n">
        <v>1</v>
      </c>
      <c r="BM580" t="n">
        <v>32465</v>
      </c>
      <c r="BN580" t="n">
        <v>0</v>
      </c>
      <c r="BO580" t="n">
        <v>34460</v>
      </c>
      <c r="BP580" t="inlineStr">
        <is>
          <t>O,G</t>
        </is>
      </c>
      <c r="BQ580" t="inlineStr">
        <is>
          <t>T1#</t>
        </is>
      </c>
      <c r="BR580" t="n">
        <v>216420</v>
      </c>
      <c r="BS580" t="n">
        <v>6.666255967965501</v>
      </c>
      <c r="BT580" t="n">
        <v>47945</v>
      </c>
      <c r="BU580" t="n">
        <v>264365</v>
      </c>
      <c r="BV580" t="n">
        <v>8.143077160018482</v>
      </c>
      <c r="BY580" t="n">
        <v>264365</v>
      </c>
      <c r="BZ580" t="n">
        <v>8.143077160018482</v>
      </c>
      <c r="CP580" t="inlineStr">
        <is>
          <t>风险管理和内部控制</t>
        </is>
      </c>
      <c r="CQ580" t="inlineStr">
        <is>
          <t>3,3</t>
        </is>
      </c>
      <c r="CR580" t="n">
        <v>6</v>
      </c>
      <c r="CS580" t="inlineStr">
        <is>
          <t>T2</t>
        </is>
      </c>
      <c r="CT580" t="inlineStr">
        <is>
          <t>N</t>
        </is>
      </c>
    </row>
    <row r="581">
      <c r="A581" t="inlineStr">
        <is>
          <t>rubyMa(马红)</t>
        </is>
      </c>
      <c r="C581" t="n">
        <v>78246281</v>
      </c>
      <c r="D581" t="inlineStr">
        <is>
          <t>风险管理和内部控制</t>
        </is>
      </c>
      <c r="E581" t="inlineStr">
        <is>
          <t>WXG风控中心</t>
        </is>
      </c>
      <c r="G581" t="inlineStr">
        <is>
          <t>S2职能系统－财经线/风险管理和内部控制/WXG风控中心</t>
        </is>
      </c>
      <c r="H581" s="188" t="n">
        <v>43065</v>
      </c>
      <c r="I581" t="inlineStr">
        <is>
          <t>高校招聘</t>
        </is>
      </c>
      <c r="J581" t="inlineStr">
        <is>
          <t>财经类－FN</t>
        </is>
      </c>
      <c r="K581" t="inlineStr">
        <is>
          <t>风险管理</t>
        </is>
      </c>
      <c r="L581" t="inlineStr">
        <is>
          <t>S8</t>
        </is>
      </c>
      <c r="N581" t="inlineStr">
        <is>
          <t>T1</t>
        </is>
      </c>
      <c r="Q581" t="inlineStr">
        <is>
          <t>G,O</t>
        </is>
      </c>
      <c r="U581" t="n">
        <v>183429.75</v>
      </c>
      <c r="V581" t="n">
        <v>0.083333</v>
      </c>
      <c r="W581" t="inlineStr">
        <is>
          <t>CNY</t>
        </is>
      </c>
      <c r="X581" t="n">
        <v>1</v>
      </c>
      <c r="Y581" t="n">
        <v>33055.85</v>
      </c>
      <c r="Z581" t="n">
        <v>0</v>
      </c>
      <c r="AA581" t="n">
        <v>110057.85</v>
      </c>
      <c r="AB581" t="n">
        <v>77475</v>
      </c>
      <c r="AC581" t="n">
        <v>69120</v>
      </c>
      <c r="AF581" t="n">
        <v>0</v>
      </c>
      <c r="AG581" t="n">
        <v>256652.85</v>
      </c>
      <c r="AH581" t="n">
        <v>7.764218738891906</v>
      </c>
      <c r="AI581" t="n">
        <v>256652.85</v>
      </c>
      <c r="AJ581" t="n">
        <v>7.764218738891906</v>
      </c>
      <c r="AK581" t="n">
        <v>5.673212154580808</v>
      </c>
      <c r="AQ581" t="n">
        <v>256652.85</v>
      </c>
      <c r="AR581" t="n">
        <v>7.764218738891906</v>
      </c>
      <c r="AS581" t="n">
        <v>1.586578369857509</v>
      </c>
      <c r="BL581" t="n">
        <v>1</v>
      </c>
      <c r="BM581" t="n">
        <v>30450</v>
      </c>
      <c r="BN581" t="n">
        <v>0</v>
      </c>
      <c r="BO581" t="n">
        <v>32700</v>
      </c>
      <c r="BP581" t="inlineStr">
        <is>
          <t>G,G</t>
        </is>
      </c>
      <c r="BQ581" t="inlineStr">
        <is>
          <t>T1</t>
        </is>
      </c>
      <c r="BR581" t="n">
        <v>100515</v>
      </c>
      <c r="BS581" t="n">
        <v>3.300985221674877</v>
      </c>
      <c r="BT581" t="n">
        <v>61250</v>
      </c>
      <c r="BU581" t="n">
        <v>161765</v>
      </c>
      <c r="BV581" t="n">
        <v>5.31247947454844</v>
      </c>
      <c r="BY581" t="n">
        <v>161765</v>
      </c>
      <c r="BZ581" t="n">
        <v>5.31247947454844</v>
      </c>
      <c r="CP581" t="inlineStr">
        <is>
          <t>风险管理和内部控制</t>
        </is>
      </c>
      <c r="CQ581" t="inlineStr">
        <is>
          <t>5,3</t>
        </is>
      </c>
      <c r="CR581" t="n">
        <v>8</v>
      </c>
      <c r="CS581" t="inlineStr">
        <is>
          <t>T1</t>
        </is>
      </c>
      <c r="CT581" t="inlineStr">
        <is>
          <t>N</t>
        </is>
      </c>
    </row>
    <row r="582">
      <c r="A582" t="inlineStr">
        <is>
          <t>hazelDai(戴瑶)</t>
        </is>
      </c>
      <c r="C582" t="n">
        <v>85722761</v>
      </c>
      <c r="D582" t="inlineStr">
        <is>
          <t>风险管理和内部控制</t>
        </is>
      </c>
      <c r="E582" t="inlineStr">
        <is>
          <t>WXG风控中心</t>
        </is>
      </c>
      <c r="G582" t="inlineStr">
        <is>
          <t>S2职能系统－财经线/风险管理和内部控制/WXG风控中心</t>
        </is>
      </c>
      <c r="H582" s="188" t="n">
        <v>40292</v>
      </c>
      <c r="I582" t="inlineStr">
        <is>
          <t>高校招聘</t>
        </is>
      </c>
      <c r="J582" t="inlineStr">
        <is>
          <t>财经类－FN</t>
        </is>
      </c>
      <c r="K582" t="inlineStr">
        <is>
          <t>风险管理</t>
        </is>
      </c>
      <c r="L582" t="inlineStr">
        <is>
          <t>S8</t>
        </is>
      </c>
      <c r="N582" t="inlineStr">
        <is>
          <t>T1#</t>
        </is>
      </c>
      <c r="Q582" t="inlineStr">
        <is>
          <t>G,G</t>
        </is>
      </c>
      <c r="U582" t="n">
        <v>218465.5</v>
      </c>
      <c r="V582" t="n">
        <v>0.083333</v>
      </c>
      <c r="W582" t="inlineStr">
        <is>
          <t>CNY</t>
        </is>
      </c>
      <c r="X582" t="n">
        <v>1</v>
      </c>
      <c r="Y582" t="n">
        <v>40839.87</v>
      </c>
      <c r="Z582" t="n">
        <v>0</v>
      </c>
      <c r="AA582" t="n">
        <v>87386.2</v>
      </c>
      <c r="AB582" t="n">
        <v>144235</v>
      </c>
      <c r="AC582" t="n">
        <v>82945</v>
      </c>
      <c r="AF582" t="n">
        <v>0</v>
      </c>
      <c r="AG582" t="n">
        <v>314566.2</v>
      </c>
      <c r="AH582" t="n">
        <v>7.702429023402866</v>
      </c>
      <c r="AI582" t="n">
        <v>314566.2</v>
      </c>
      <c r="AJ582" t="n">
        <v>7.702429023402866</v>
      </c>
      <c r="AK582" t="n">
        <v>5.671448023708205</v>
      </c>
      <c r="AQ582" t="n">
        <v>314566.2</v>
      </c>
      <c r="AR582" t="n">
        <v>7.702429023402866</v>
      </c>
      <c r="AS582" t="n">
        <v>1.069698371136124</v>
      </c>
      <c r="BL582" t="n">
        <v>1</v>
      </c>
      <c r="BM582" t="n">
        <v>35440</v>
      </c>
      <c r="BN582" t="n">
        <v>0</v>
      </c>
      <c r="BO582" t="n">
        <v>38940</v>
      </c>
      <c r="BP582" t="inlineStr">
        <is>
          <t>G,O</t>
        </is>
      </c>
      <c r="BQ582" t="inlineStr">
        <is>
          <t>T1#</t>
        </is>
      </c>
      <c r="BR582" t="n">
        <v>242735</v>
      </c>
      <c r="BS582" t="n">
        <v>6.849181715575621</v>
      </c>
      <c r="BT582" t="n">
        <v>51335</v>
      </c>
      <c r="BU582" t="n">
        <v>294070</v>
      </c>
      <c r="BV582" t="n">
        <v>8.297686230248306</v>
      </c>
      <c r="BY582" t="n">
        <v>294070</v>
      </c>
      <c r="BZ582" t="n">
        <v>8.297686230248306</v>
      </c>
      <c r="CP582" t="inlineStr">
        <is>
          <t>风险管理和内部控制</t>
        </is>
      </c>
      <c r="CQ582" t="inlineStr">
        <is>
          <t>3,3</t>
        </is>
      </c>
      <c r="CR582" t="n">
        <v>8</v>
      </c>
      <c r="CS582" t="inlineStr">
        <is>
          <t>T1#</t>
        </is>
      </c>
      <c r="CT582" t="inlineStr">
        <is>
          <t>N</t>
        </is>
      </c>
    </row>
    <row r="583">
      <c r="A583" t="inlineStr">
        <is>
          <t>jamesJia(贾伟华)</t>
        </is>
      </c>
      <c r="C583" t="n">
        <v>23413279</v>
      </c>
      <c r="D583" t="inlineStr">
        <is>
          <t>财经IT管理部</t>
        </is>
      </c>
      <c r="E583" t="inlineStr">
        <is>
          <t>业务开发中心</t>
        </is>
      </c>
      <c r="G583" t="inlineStr">
        <is>
          <t>S2职能系统－财经线/财经IT管理部/业务开发中心</t>
        </is>
      </c>
      <c r="H583" s="188" t="n">
        <v>36890</v>
      </c>
      <c r="I583" t="inlineStr">
        <is>
          <t>高校招聘</t>
        </is>
      </c>
      <c r="J583" t="inlineStr">
        <is>
          <t>技术研发类－TRD</t>
        </is>
      </c>
      <c r="K583" t="inlineStr">
        <is>
          <t>应用开发</t>
        </is>
      </c>
      <c r="L583" t="inlineStr">
        <is>
          <t>T11</t>
        </is>
      </c>
      <c r="N583" t="inlineStr">
        <is>
          <t>T1#</t>
        </is>
      </c>
      <c r="Q583" t="inlineStr">
        <is>
          <t>O,G</t>
        </is>
      </c>
      <c r="U583" t="n">
        <v>320790</v>
      </c>
      <c r="V583" t="n">
        <v>0.083333</v>
      </c>
      <c r="W583" t="inlineStr">
        <is>
          <t>CNY</t>
        </is>
      </c>
      <c r="X583" t="n">
        <v>1</v>
      </c>
      <c r="Y583" t="n">
        <v>58289.7</v>
      </c>
      <c r="Z583" t="n">
        <v>0</v>
      </c>
      <c r="AA583" t="n">
        <v>192474</v>
      </c>
      <c r="AB583" t="n">
        <v>197525</v>
      </c>
      <c r="AC583" t="n">
        <v>102710</v>
      </c>
      <c r="AF583" t="n">
        <v>0</v>
      </c>
      <c r="AG583" t="n">
        <v>492709</v>
      </c>
      <c r="AH583" t="n">
        <v>8.452762666474523</v>
      </c>
      <c r="AI583" t="n">
        <v>492709</v>
      </c>
      <c r="AJ583" t="n">
        <v>8.452762666474523</v>
      </c>
      <c r="AK583" t="n">
        <v>6.690701787794413</v>
      </c>
      <c r="AQ583" t="n">
        <v>492709</v>
      </c>
      <c r="AR583" t="n">
        <v>8.452762666474523</v>
      </c>
      <c r="AS583" t="n">
        <v>1.086578454074319</v>
      </c>
      <c r="BL583" t="n">
        <v>1</v>
      </c>
      <c r="BM583" t="n">
        <v>56160</v>
      </c>
      <c r="BN583" t="n">
        <v>0</v>
      </c>
      <c r="BO583" t="n">
        <v>60680</v>
      </c>
      <c r="BP583" t="inlineStr">
        <is>
          <t>G,G</t>
        </is>
      </c>
      <c r="BQ583" t="inlineStr">
        <is>
          <t>T1#</t>
        </is>
      </c>
      <c r="BR583" t="n">
        <v>332555</v>
      </c>
      <c r="BS583" t="n">
        <v>5.92156339031339</v>
      </c>
      <c r="BT583" t="n">
        <v>120895</v>
      </c>
      <c r="BU583" t="n">
        <v>453450</v>
      </c>
      <c r="BV583" t="n">
        <v>8.074252136752136</v>
      </c>
      <c r="BY583" t="n">
        <v>453450</v>
      </c>
      <c r="BZ583" t="n">
        <v>8.074252136752136</v>
      </c>
      <c r="CP583" t="inlineStr">
        <is>
          <t>财经IT管理部</t>
        </is>
      </c>
      <c r="CQ583" t="inlineStr">
        <is>
          <t>5,3</t>
        </is>
      </c>
      <c r="CR583" t="n">
        <v>11</v>
      </c>
      <c r="CS583" t="inlineStr">
        <is>
          <t>T1#</t>
        </is>
      </c>
      <c r="CT583" t="inlineStr">
        <is>
          <t>N</t>
        </is>
      </c>
    </row>
    <row r="584">
      <c r="A584" t="inlineStr">
        <is>
          <t>jessicaTan(谭嫦)</t>
        </is>
      </c>
      <c r="C584" t="n">
        <v>40039377</v>
      </c>
      <c r="D584" t="inlineStr">
        <is>
          <t>CFO办公室</t>
        </is>
      </c>
      <c r="E584" t="inlineStr">
        <is>
          <t>CFO办公室</t>
        </is>
      </c>
      <c r="G584" t="inlineStr">
        <is>
          <t>S2职能系统－财经线/CFO办公室</t>
        </is>
      </c>
      <c r="H584" s="188" t="n">
        <v>40496</v>
      </c>
      <c r="I584" t="inlineStr">
        <is>
          <t>社会招聘</t>
        </is>
      </c>
      <c r="J584" t="inlineStr">
        <is>
          <t>财经类－FN</t>
        </is>
      </c>
      <c r="K584" t="inlineStr">
        <is>
          <t>投资者关系</t>
        </is>
      </c>
      <c r="L584" t="inlineStr">
        <is>
          <t>S5</t>
        </is>
      </c>
      <c r="N584" t="inlineStr">
        <is>
          <t>T2</t>
        </is>
      </c>
      <c r="Q584" t="inlineStr">
        <is>
          <t>U,G</t>
        </is>
      </c>
      <c r="U584" t="n">
        <v>107490</v>
      </c>
      <c r="V584" t="n">
        <v>0.083333</v>
      </c>
      <c r="W584" t="inlineStr">
        <is>
          <t>CNY</t>
        </is>
      </c>
      <c r="X584" t="n">
        <v>1</v>
      </c>
      <c r="Y584" t="n">
        <v>19805.71</v>
      </c>
      <c r="Z584" t="n">
        <v>0</v>
      </c>
      <c r="AA584" t="n">
        <v>21498</v>
      </c>
      <c r="AB584" t="n">
        <v>29320</v>
      </c>
      <c r="AC584" t="n">
        <v>0</v>
      </c>
      <c r="AF584" t="n">
        <v>0</v>
      </c>
      <c r="AG584" t="n">
        <v>50818</v>
      </c>
      <c r="AH584" t="n">
        <v>2.565825713897659</v>
      </c>
      <c r="AI584" t="n">
        <v>50818</v>
      </c>
      <c r="AJ584" t="n">
        <v>2.565825713897659</v>
      </c>
      <c r="AK584" t="n">
        <v>2.565825713897659</v>
      </c>
      <c r="AQ584" t="n">
        <v>50818</v>
      </c>
      <c r="AR584" t="n">
        <v>2.565825713897659</v>
      </c>
      <c r="AS584" t="n">
        <v>0.4643457602339181</v>
      </c>
      <c r="BL584" t="n">
        <v>1</v>
      </c>
      <c r="BM584" t="n">
        <v>18740</v>
      </c>
      <c r="BN584" t="n">
        <v>0</v>
      </c>
      <c r="BO584" t="n">
        <v>20075</v>
      </c>
      <c r="BP584" t="inlineStr">
        <is>
          <t>O,O</t>
        </is>
      </c>
      <c r="BQ584" t="inlineStr">
        <is>
          <t>T2</t>
        </is>
      </c>
      <c r="BR584" t="n">
        <v>109440</v>
      </c>
      <c r="BS584" t="n">
        <v>5.83991462113127</v>
      </c>
      <c r="BT584" t="n">
        <v>0</v>
      </c>
      <c r="BU584" t="n">
        <v>109440</v>
      </c>
      <c r="BV584" t="n">
        <v>5.83991462113127</v>
      </c>
      <c r="BY584" t="n">
        <v>109440</v>
      </c>
      <c r="BZ584" t="n">
        <v>5.83991462113127</v>
      </c>
      <c r="CP584" t="inlineStr">
        <is>
          <t>CFO办公室</t>
        </is>
      </c>
      <c r="CQ584" t="inlineStr">
        <is>
          <t>3,1</t>
        </is>
      </c>
      <c r="CR584" t="n">
        <v>5</v>
      </c>
      <c r="CS584" t="inlineStr">
        <is>
          <t>T2</t>
        </is>
      </c>
      <c r="CT584" t="inlineStr">
        <is>
          <t>N</t>
        </is>
      </c>
    </row>
    <row r="585">
      <c r="A585" t="inlineStr">
        <is>
          <t>skylarZhao(赵嫣曦)</t>
        </is>
      </c>
      <c r="C585" t="n">
        <v>66180511</v>
      </c>
      <c r="D585" t="inlineStr">
        <is>
          <t>CSIG财务管理</t>
        </is>
      </c>
      <c r="E585" t="inlineStr">
        <is>
          <t>投资公司财务管理中心</t>
        </is>
      </c>
      <c r="G585" t="inlineStr">
        <is>
          <t>S2职能系统－财经线/CSIG财务管理/投资公司财务管理中心</t>
        </is>
      </c>
      <c r="H585" s="188" t="n">
        <v>38306</v>
      </c>
      <c r="I585" t="inlineStr">
        <is>
          <t>高校招聘</t>
        </is>
      </c>
      <c r="J585" t="inlineStr">
        <is>
          <t>财经类－FN</t>
        </is>
      </c>
      <c r="K585" t="inlineStr">
        <is>
          <t>财务管理</t>
        </is>
      </c>
      <c r="L585" t="inlineStr">
        <is>
          <t>S7</t>
        </is>
      </c>
      <c r="N585" t="inlineStr">
        <is>
          <t>T1#</t>
        </is>
      </c>
      <c r="Q585" t="inlineStr">
        <is>
          <t>O,G</t>
        </is>
      </c>
      <c r="U585" t="n">
        <v>197000</v>
      </c>
      <c r="V585" t="n">
        <v>0.083333</v>
      </c>
      <c r="W585" t="inlineStr">
        <is>
          <t>CNY</t>
        </is>
      </c>
      <c r="X585" t="n">
        <v>1</v>
      </c>
      <c r="Y585" t="n">
        <v>36479.19</v>
      </c>
      <c r="Z585" t="n">
        <v>0</v>
      </c>
      <c r="AA585" t="n">
        <v>118200</v>
      </c>
      <c r="AB585" t="n">
        <v>130490</v>
      </c>
      <c r="AC585" t="n">
        <v>41210</v>
      </c>
      <c r="AF585" t="n">
        <v>0</v>
      </c>
      <c r="AG585" t="n">
        <v>289900</v>
      </c>
      <c r="AH585" t="n">
        <v>7.946996630133508</v>
      </c>
      <c r="AI585" t="n">
        <v>289900</v>
      </c>
      <c r="AJ585" t="n">
        <v>7.946996630133508</v>
      </c>
      <c r="AK585" t="n">
        <v>6.817311458944126</v>
      </c>
      <c r="AQ585" t="n">
        <v>289900</v>
      </c>
      <c r="AR585" t="n">
        <v>7.946996630133508</v>
      </c>
      <c r="AS585" t="n">
        <v>1.31034171035979</v>
      </c>
      <c r="BL585" t="n">
        <v>1</v>
      </c>
      <c r="BM585" t="n">
        <v>31655</v>
      </c>
      <c r="BN585" t="n">
        <v>0</v>
      </c>
      <c r="BO585" t="n">
        <v>34380</v>
      </c>
      <c r="BP585" t="inlineStr">
        <is>
          <t>G,G</t>
        </is>
      </c>
      <c r="BQ585" t="inlineStr">
        <is>
          <t>T1#</t>
        </is>
      </c>
      <c r="BR585" t="n">
        <v>175895</v>
      </c>
      <c r="BS585" t="n">
        <v>5.556626125414627</v>
      </c>
      <c r="BT585" t="n">
        <v>45345</v>
      </c>
      <c r="BU585" t="n">
        <v>221240</v>
      </c>
      <c r="BV585" t="n">
        <v>6.989101247828147</v>
      </c>
      <c r="BY585" t="n">
        <v>221240</v>
      </c>
      <c r="BZ585" t="n">
        <v>6.989101247828147</v>
      </c>
      <c r="CP585" t="inlineStr">
        <is>
          <t>CSIG财务管理</t>
        </is>
      </c>
      <c r="CQ585" t="inlineStr">
        <is>
          <t>5,3</t>
        </is>
      </c>
      <c r="CR585" t="n">
        <v>7</v>
      </c>
      <c r="CS585" t="inlineStr">
        <is>
          <t>T1#</t>
        </is>
      </c>
      <c r="CT585" t="inlineStr">
        <is>
          <t>N</t>
        </is>
      </c>
    </row>
    <row r="586">
      <c r="A586" t="inlineStr">
        <is>
          <t>dylanZheng(郑宇阳)</t>
        </is>
      </c>
      <c r="C586" t="n">
        <v>26833144</v>
      </c>
      <c r="D586" t="inlineStr">
        <is>
          <t>风险管理和内部控制</t>
        </is>
      </c>
      <c r="E586" t="inlineStr">
        <is>
          <t>IEG风控中心</t>
        </is>
      </c>
      <c r="G586" t="inlineStr">
        <is>
          <t>S2职能系统－财经线/风险管理和内部控制/IEG风控中心</t>
        </is>
      </c>
      <c r="H586" s="188" t="n">
        <v>41946</v>
      </c>
      <c r="I586" t="inlineStr">
        <is>
          <t>社会招聘</t>
        </is>
      </c>
      <c r="J586" t="inlineStr">
        <is>
          <t>财经类－FN</t>
        </is>
      </c>
      <c r="K586" t="inlineStr">
        <is>
          <t>风险管理</t>
        </is>
      </c>
      <c r="L586" t="inlineStr">
        <is>
          <t>S5</t>
        </is>
      </c>
      <c r="N586" t="inlineStr">
        <is>
          <t>T1</t>
        </is>
      </c>
      <c r="Q586" t="inlineStr">
        <is>
          <t>O,G</t>
        </is>
      </c>
      <c r="U586" t="n">
        <v>112025</v>
      </c>
      <c r="V586" t="n">
        <v>0.083333</v>
      </c>
      <c r="W586" t="inlineStr">
        <is>
          <t>CNY</t>
        </is>
      </c>
      <c r="X586" t="n">
        <v>1</v>
      </c>
      <c r="Y586" t="n">
        <v>21863.36</v>
      </c>
      <c r="Z586" t="n">
        <v>0</v>
      </c>
      <c r="AA586" t="n">
        <v>67215</v>
      </c>
      <c r="AB586" t="n">
        <v>50860</v>
      </c>
      <c r="AC586" t="n">
        <v>36610</v>
      </c>
      <c r="AF586" t="n">
        <v>0</v>
      </c>
      <c r="AG586" t="n">
        <v>154685</v>
      </c>
      <c r="AH586" t="n">
        <v>7.075079036342081</v>
      </c>
      <c r="AI586" t="n">
        <v>154685</v>
      </c>
      <c r="AJ586" t="n">
        <v>7.075079036342081</v>
      </c>
      <c r="AK586" t="n">
        <v>5.400588015748723</v>
      </c>
      <c r="AQ586" t="n">
        <v>154685</v>
      </c>
      <c r="AR586" t="n">
        <v>7.075079036342081</v>
      </c>
      <c r="AS586" t="n">
        <v>1.613739502373376</v>
      </c>
      <c r="BL586" t="n">
        <v>1</v>
      </c>
      <c r="BM586" t="n">
        <v>18845</v>
      </c>
      <c r="BN586" t="n">
        <v>0</v>
      </c>
      <c r="BO586" t="n">
        <v>18910</v>
      </c>
      <c r="BP586" t="inlineStr">
        <is>
          <t>G,G</t>
        </is>
      </c>
      <c r="BQ586" t="inlineStr">
        <is>
          <t>T1</t>
        </is>
      </c>
      <c r="BR586" t="n">
        <v>58610</v>
      </c>
      <c r="BS586" t="n">
        <v>3.110108782170337</v>
      </c>
      <c r="BT586" t="n">
        <v>37245</v>
      </c>
      <c r="BU586" t="n">
        <v>95855</v>
      </c>
      <c r="BV586" t="n">
        <v>5.086495091536216</v>
      </c>
      <c r="BY586" t="n">
        <v>95855</v>
      </c>
      <c r="BZ586" t="n">
        <v>5.086495091536216</v>
      </c>
      <c r="CP586" t="inlineStr">
        <is>
          <t>风险管理和内部控制</t>
        </is>
      </c>
      <c r="CQ586" t="inlineStr">
        <is>
          <t>5,3</t>
        </is>
      </c>
      <c r="CR586" t="n">
        <v>5</v>
      </c>
      <c r="CS586" t="inlineStr">
        <is>
          <t>T1</t>
        </is>
      </c>
      <c r="CT586" t="inlineStr">
        <is>
          <t>N</t>
        </is>
      </c>
    </row>
    <row r="587">
      <c r="A587" t="inlineStr">
        <is>
          <t>allisonFan(范萱艳)</t>
        </is>
      </c>
      <c r="C587" t="n">
        <v>89276750</v>
      </c>
      <c r="D587" t="inlineStr">
        <is>
          <t>PCG财务管理</t>
        </is>
      </c>
      <c r="E587" t="inlineStr">
        <is>
          <t>应用宝财务管理组</t>
        </is>
      </c>
      <c r="G587" t="inlineStr">
        <is>
          <t>S2职能系统－财经线/PCG财务管理/应用宝财务管理组</t>
        </is>
      </c>
      <c r="H587" s="188" t="n">
        <v>38572</v>
      </c>
      <c r="I587" t="inlineStr">
        <is>
          <t>社会招聘</t>
        </is>
      </c>
      <c r="J587" t="inlineStr">
        <is>
          <t>财经类－FN</t>
        </is>
      </c>
      <c r="K587" t="inlineStr">
        <is>
          <t>财务管理</t>
        </is>
      </c>
      <c r="L587" t="inlineStr">
        <is>
          <t>S8</t>
        </is>
      </c>
      <c r="N587" t="inlineStr">
        <is>
          <t>T1</t>
        </is>
      </c>
      <c r="Q587" t="inlineStr">
        <is>
          <t>G,O</t>
        </is>
      </c>
      <c r="U587" t="n">
        <v>169933</v>
      </c>
      <c r="V587" t="n">
        <v>0.083333</v>
      </c>
      <c r="W587" t="inlineStr">
        <is>
          <t>CNY</t>
        </is>
      </c>
      <c r="X587" t="n">
        <v>1</v>
      </c>
      <c r="Y587" t="n">
        <v>31619.2</v>
      </c>
      <c r="Z587" t="n">
        <v>0</v>
      </c>
      <c r="AA587" t="n">
        <v>101959.8</v>
      </c>
      <c r="AB587" t="n">
        <v>78905</v>
      </c>
      <c r="AC587" t="n">
        <v>46205</v>
      </c>
      <c r="AF587" t="n">
        <v>0</v>
      </c>
      <c r="AG587" t="n">
        <v>227069.8</v>
      </c>
      <c r="AH587" t="n">
        <v>7.181389788482947</v>
      </c>
      <c r="AI587" t="n">
        <v>227069.8</v>
      </c>
      <c r="AJ587" t="n">
        <v>7.181389788482947</v>
      </c>
      <c r="AK587" t="n">
        <v>5.720094120028337</v>
      </c>
      <c r="AQ587" t="n">
        <v>227069.8</v>
      </c>
      <c r="AR587" t="n">
        <v>7.181389788482947</v>
      </c>
      <c r="AS587" t="n">
        <v>1.174154816691659</v>
      </c>
      <c r="BL587" t="n">
        <v>1</v>
      </c>
      <c r="BM587" t="n">
        <v>28440</v>
      </c>
      <c r="BN587" t="n">
        <v>0</v>
      </c>
      <c r="BO587" t="n">
        <v>28500</v>
      </c>
      <c r="BP587" t="inlineStr">
        <is>
          <t>O,O</t>
        </is>
      </c>
      <c r="BQ587" t="inlineStr">
        <is>
          <t>T1</t>
        </is>
      </c>
      <c r="BR587" t="n">
        <v>146315</v>
      </c>
      <c r="BS587" t="n">
        <v>5.144690576652602</v>
      </c>
      <c r="BT587" t="n">
        <v>47075</v>
      </c>
      <c r="BU587" t="n">
        <v>193390</v>
      </c>
      <c r="BV587" t="n">
        <v>6.799929676511955</v>
      </c>
      <c r="BY587" t="n">
        <v>193390</v>
      </c>
      <c r="BZ587" t="n">
        <v>6.799929676511955</v>
      </c>
      <c r="CP587" t="inlineStr">
        <is>
          <t>PCG财务管理</t>
        </is>
      </c>
      <c r="CQ587" t="inlineStr">
        <is>
          <t>5,3</t>
        </is>
      </c>
      <c r="CR587" t="n">
        <v>8</v>
      </c>
      <c r="CS587" t="inlineStr">
        <is>
          <t>T1</t>
        </is>
      </c>
      <c r="CT587" t="inlineStr">
        <is>
          <t>N</t>
        </is>
      </c>
    </row>
  </sheetData>
  <conditionalFormatting sqref="O14:O128">
    <cfRule type="cellIs" priority="35" operator="equal" dxfId="0" stopIfTrue="1">
      <formula>0</formula>
    </cfRule>
  </conditionalFormatting>
  <conditionalFormatting sqref="P14:P128">
    <cfRule type="beginsWith" priority="32" operator="beginsWith" dxfId="34" text="不变">
      <formula>LEFT(P14,LEN("不变"))="不变"</formula>
    </cfRule>
    <cfRule type="expression" priority="31" dxfId="6" stopIfTrue="1">
      <formula>IF(ISNUMBER(VALUE(P14))=TRUE,IF(VALUE(P14)&gt;0,TRUE,FALSE),IF(LEFT(P14,2)="上升",TRUE,FALSE))</formula>
    </cfRule>
    <cfRule type="cellIs" priority="30" operator="equal">
      <formula>0</formula>
    </cfRule>
    <cfRule type="expression" priority="29" dxfId="10">
      <formula>IF(ISNUMBER(VALUE(P14))=TRUE,IF(VALUE(P14)&lt;0,TRUE,FALSE),IF(LEFT(P14,2)="下降",TRUE,FALSE))</formula>
    </cfRule>
  </conditionalFormatting>
  <conditionalFormatting sqref="S14:S128">
    <cfRule type="cellIs" priority="34" operator="equal" dxfId="0" stopIfTrue="1">
      <formula>0</formula>
    </cfRule>
  </conditionalFormatting>
  <conditionalFormatting sqref="T14:T128">
    <cfRule type="expression" priority="25" dxfId="10">
      <formula>IF(ISNUMBER(VALUE(T14))=TRUE,IF(VALUE(T14)&lt;0,TRUE,FALSE),IF(LEFT(T14,2)="下降",TRUE,FALSE))</formula>
    </cfRule>
    <cfRule type="beginsWith" priority="28" operator="beginsWith" dxfId="34" text="不变">
      <formula>LEFT(T14,LEN("不变"))="不变"</formula>
    </cfRule>
    <cfRule type="expression" priority="27" dxfId="6" stopIfTrue="1">
      <formula>IF(ISNUMBER(VALUE(T14))=TRUE,IF(VALUE(T14)&gt;0,TRUE,FALSE),IF(LEFT(T14,2)="上升",TRUE,FALSE))</formula>
    </cfRule>
    <cfRule type="cellIs" priority="26" operator="equal">
      <formula>0</formula>
    </cfRule>
  </conditionalFormatting>
  <conditionalFormatting sqref="AC1:AC2">
    <cfRule type="cellIs" priority="104" operator="equal" dxfId="0" stopIfTrue="1">
      <formula>0</formula>
    </cfRule>
  </conditionalFormatting>
  <conditionalFormatting sqref="AE1:AE2">
    <cfRule type="cellIs" priority="57" operator="equal" dxfId="0" stopIfTrue="1">
      <formula>0</formula>
    </cfRule>
  </conditionalFormatting>
  <conditionalFormatting sqref="AP1:AP2">
    <cfRule type="cellIs" priority="56" operator="equal" dxfId="0" stopIfTrue="1">
      <formula>0</formula>
    </cfRule>
  </conditionalFormatting>
  <conditionalFormatting sqref="AQ14:AQ128">
    <cfRule type="cellIs" priority="107" operator="equal" dxfId="0" stopIfTrue="1">
      <formula>0</formula>
    </cfRule>
  </conditionalFormatting>
  <conditionalFormatting sqref="AQ3:AT9 AQ130:AR130 AT130 BA3:BA9 BA130 BG3:CF9 BG130:BL130 BG132:CF65637 BN130:BR130 BT130:BU130">
    <cfRule type="cellIs" priority="101" operator="equal" dxfId="0" stopIfTrue="1">
      <formula>0</formula>
    </cfRule>
  </conditionalFormatting>
  <conditionalFormatting sqref="AQ132:BA65637">
    <cfRule type="cellIs" priority="5" operator="equal" dxfId="0" stopIfTrue="1">
      <formula>0</formula>
    </cfRule>
  </conditionalFormatting>
  <conditionalFormatting sqref="AV1:AV2">
    <cfRule type="cellIs" priority="1" operator="equal" dxfId="0" stopIfTrue="1">
      <formula>0</formula>
    </cfRule>
  </conditionalFormatting>
  <conditionalFormatting sqref="AX1:AX2 AZ1:AZ2">
    <cfRule type="cellIs" priority="33" operator="equal" dxfId="0" stopIfTrue="1">
      <formula>0</formula>
    </cfRule>
  </conditionalFormatting>
  <conditionalFormatting sqref="BA11:BB12">
    <cfRule type="cellIs" priority="54" operator="equal" dxfId="0" stopIfTrue="1">
      <formula>0</formula>
    </cfRule>
  </conditionalFormatting>
  <conditionalFormatting sqref="BA10:BK10">
    <cfRule type="cellIs" priority="66" operator="equal" dxfId="0" stopIfTrue="1">
      <formula>0</formula>
    </cfRule>
  </conditionalFormatting>
  <conditionalFormatting sqref="BD11 BD12:BK12 BF11:BK11">
    <cfRule type="cellIs" priority="53" operator="equal" dxfId="0" stopIfTrue="1">
      <formula>0</formula>
    </cfRule>
  </conditionalFormatting>
  <conditionalFormatting sqref="BE14:BE128">
    <cfRule type="beginsWith" priority="10" operator="beginsWith" dxfId="6" text="绿:">
      <formula>LEFT(BE14,LEN("绿:"))="绿:"</formula>
    </cfRule>
    <cfRule type="beginsWith" priority="16" operator="beginsWith" dxfId="12" text="深红：">
      <formula>LEFT(BE14,LEN("深红："))="深红："</formula>
    </cfRule>
    <cfRule type="beginsWith" priority="15" operator="beginsWith" dxfId="11" text="红:">
      <formula>LEFT(BE14,LEN("红:"))="红:"</formula>
    </cfRule>
    <cfRule type="beginsWith" priority="14" operator="beginsWith" dxfId="10" text="橙:">
      <formula>LEFT(BE14,LEN("橙:"))="橙:"</formula>
    </cfRule>
    <cfRule type="beginsWith" priority="13" operator="beginsWith" dxfId="9" text="黄:">
      <formula>LEFT(BE14,LEN("黄:"))="黄:"</formula>
    </cfRule>
    <cfRule type="beginsWith" priority="12" operator="beginsWith" dxfId="8" text="蓝:">
      <formula>LEFT(BE14,LEN("蓝:"))="蓝:"</formula>
    </cfRule>
    <cfRule type="beginsWith" priority="17" operator="beginsWith" dxfId="12" text="深红:">
      <formula>LEFT(BE14,LEN("深红:"))="深红:"</formula>
    </cfRule>
    <cfRule type="beginsWith" priority="11" operator="beginsWith" dxfId="7" text="浅绿:">
      <formula>LEFT(BE14,LEN("浅绿:"))="浅绿:"</formula>
    </cfRule>
    <cfRule type="beginsWith" priority="18" operator="beginsWith" dxfId="11" text="红：">
      <formula>LEFT(BE14,LEN("红："))="红："</formula>
    </cfRule>
    <cfRule type="beginsWith" priority="19" operator="beginsWith" dxfId="10" text="橙：">
      <formula>LEFT(BE14,LEN("橙："))="橙："</formula>
    </cfRule>
    <cfRule type="beginsWith" priority="24" operator="beginsWith" dxfId="5" text="深绿：">
      <formula>LEFT(BE14,LEN("深绿："))="深绿："</formula>
    </cfRule>
    <cfRule type="beginsWith" priority="9" operator="beginsWith" dxfId="5" text="深绿:">
      <formula>LEFT(BE14,LEN("深绿:"))="深绿:"</formula>
    </cfRule>
    <cfRule type="beginsWith" priority="23" operator="beginsWith" dxfId="6" text="绿：">
      <formula>LEFT(BE14,LEN("绿："))="绿："</formula>
    </cfRule>
    <cfRule type="beginsWith" priority="22" operator="beginsWith" dxfId="7" text="浅绿：">
      <formula>LEFT(BE14,LEN("浅绿："))="浅绿："</formula>
    </cfRule>
    <cfRule type="beginsWith" priority="21" operator="beginsWith" dxfId="8" text="蓝：">
      <formula>LEFT(BE14,LEN("蓝："))="蓝："</formula>
    </cfRule>
    <cfRule type="beginsWith" priority="20" operator="beginsWith" dxfId="9" text="黄：">
      <formula>LEFT(BE14,LEN("黄："))="黄："</formula>
    </cfRule>
  </conditionalFormatting>
  <conditionalFormatting sqref="BG14:CF128">
    <cfRule type="cellIs" priority="60" operator="equal" dxfId="0" stopIfTrue="1">
      <formula>0</formula>
    </cfRule>
  </conditionalFormatting>
  <conditionalFormatting sqref="BH13:BK13">
    <cfRule type="cellIs" priority="36" operator="equal" dxfId="0" stopIfTrue="1">
      <formula>0</formula>
    </cfRule>
  </conditionalFormatting>
  <conditionalFormatting sqref="BL10:BL13">
    <cfRule type="cellIs" priority="82" operator="equal" dxfId="0" stopIfTrue="1">
      <formula>0</formula>
    </cfRule>
  </conditionalFormatting>
  <conditionalFormatting sqref="BM11:BN12">
    <cfRule type="cellIs" priority="80" operator="equal" dxfId="0" stopIfTrue="1">
      <formula>0</formula>
    </cfRule>
  </conditionalFormatting>
  <conditionalFormatting sqref="BM10:BP10">
    <cfRule type="cellIs" priority="65" operator="equal" dxfId="0" stopIfTrue="1">
      <formula>0</formula>
    </cfRule>
  </conditionalFormatting>
  <conditionalFormatting sqref="BW130:CF130">
    <cfRule type="cellIs" priority="2" operator="equal" dxfId="0" stopIfTrue="1">
      <formula>0</formula>
    </cfRule>
  </conditionalFormatting>
  <conditionalFormatting sqref="CE13">
    <cfRule type="cellIs" priority="92" operator="equal" dxfId="0" stopIfTrue="1">
      <formula>0</formula>
    </cfRule>
  </conditionalFormatting>
  <conditionalFormatting sqref="CS6">
    <cfRule type="cellIs" priority="93" operator="equal" dxfId="0" stopIfTrue="1">
      <formula>0</formula>
    </cfRule>
  </conditionalFormatting>
  <dataValidations count="1">
    <dataValidation sqref="AB1:AB2 AB3:AC3 AB4:AB5 AC5:AC6 AC129:AC65637 AE129:AE65637 AO2:AO5 AU2:AU5 AW2:AW5 AY2:AY5" showDropDown="0" showInputMessage="1" showErrorMessage="1" allowBlank="1" type="whole">
      <formula1>0</formula1>
      <formula2>100000000</formula2>
    </dataValidation>
  </dataValidations>
  <pageMargins left="0.75" right="0.75" top="1" bottom="1" header="0.5" footer="0.5"/>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C587"/>
  <sheetViews>
    <sheetView showGridLines="0" workbookViewId="0">
      <pane xSplit="23" ySplit="13" topLeftCell="CQ14" activePane="bottomRight" state="frozen"/>
      <selection pane="topRight" activeCell="X1" sqref="X1"/>
      <selection pane="bottomLeft" activeCell="A14" sqref="A14"/>
      <selection pane="bottomRight" activeCell="Z30" sqref="Z30"/>
    </sheetView>
  </sheetViews>
  <sheetFormatPr baseColWidth="10" defaultColWidth="9.19921875" defaultRowHeight="13" outlineLevelRow="1"/>
  <cols>
    <col width="8.59765625" customWidth="1" style="24" min="1" max="1"/>
    <col hidden="1" width="8.59765625" customWidth="1" style="178" min="2" max="2"/>
    <col hidden="1" outlineLevel="1" width="8.59765625" customWidth="1" style="24" min="3" max="4"/>
    <col collapsed="1" width="11" customWidth="1" style="26" min="5" max="5"/>
    <col width="11" customWidth="1" style="26" min="6" max="6"/>
    <col hidden="1" outlineLevel="1" width="8.59765625" customWidth="1" style="24" min="7" max="7"/>
    <col collapsed="1" width="8.59765625" customWidth="1" style="24" min="8" max="8"/>
    <col hidden="1" outlineLevel="1" width="8.59765625" customWidth="1" style="24" min="9" max="11"/>
    <col collapsed="1" width="8.59765625" customWidth="1" style="24" min="12" max="12"/>
    <col width="8.59765625" customWidth="1" style="24" min="13" max="14"/>
    <col hidden="1" outlineLevel="1" width="8.59765625" customWidth="1" style="24" min="15" max="15"/>
    <col collapsed="1" width="8.59765625" customWidth="1" style="24" min="16" max="16"/>
    <col width="8.59765625" customWidth="1" style="24" min="17" max="17"/>
    <col hidden="1" outlineLevel="1" width="8.59765625" customWidth="1" style="24" min="18" max="19"/>
    <col collapsed="1" width="8.59765625" customWidth="1" style="24" min="20" max="20"/>
    <col width="8.59765625" customWidth="1" style="24" min="21" max="21"/>
    <col hidden="1" outlineLevel="1" width="8.59765625" customWidth="1" style="24" min="22" max="22"/>
    <col collapsed="1" width="9.19921875" customWidth="1" style="24" min="23" max="23"/>
    <col width="8.59765625" customWidth="1" style="24" min="24" max="24"/>
    <col hidden="1" outlineLevel="1" width="8.59765625" customWidth="1" style="24" min="25" max="25"/>
    <col collapsed="1" width="9.796875" customWidth="1" style="24" min="26" max="26"/>
    <col hidden="1" outlineLevel="1" width="8.59765625" customWidth="1" style="24" min="27" max="27"/>
    <col collapsed="1" width="8.59765625" customWidth="1" style="24" min="28" max="28"/>
    <col width="32.796875" customWidth="1" style="24" min="29" max="29"/>
    <col hidden="1" width="8.59765625" customWidth="1" style="25" min="30" max="30"/>
    <col hidden="1" width="8.59765625" customWidth="1" style="24" min="31" max="32"/>
    <col hidden="1" outlineLevel="1" width="8.59765625" customWidth="1" style="24" min="33" max="34"/>
    <col collapsed="1" width="8.59765625" customWidth="1" style="24" min="35" max="35"/>
    <col hidden="1" outlineLevel="1" width="8.59765625" customWidth="1" style="24" min="36" max="38"/>
    <col collapsed="1" width="8.59765625" customWidth="1" style="26" min="39" max="39"/>
    <col width="9.19921875" customWidth="1" style="26" min="40" max="40"/>
    <col hidden="1" width="8.59765625" customWidth="1" style="24" min="41" max="42"/>
    <col width="8.59765625" customWidth="1" style="24" min="43" max="43"/>
    <col hidden="1" outlineLevel="1" width="8.59765625" customWidth="1" style="24" min="44" max="45"/>
    <col hidden="1" outlineLevel="1" width="8.59765625" customWidth="1" style="26" min="46" max="46"/>
    <col hidden="1" collapsed="1" width="8.59765625" customWidth="1" style="26" min="47" max="47"/>
    <col hidden="1" width="8.59765625" customWidth="1" style="26" min="48" max="52"/>
    <col width="10" customWidth="1" style="26" min="53" max="53"/>
    <col collapsed="1" width="10" customWidth="1" style="24" min="54" max="54"/>
    <col width="8.59765625" customWidth="1" style="24" min="55" max="56"/>
    <col width="13.19921875" customWidth="1" style="24" min="57" max="58"/>
    <col width="8.59765625" customWidth="1" style="24" min="59" max="59"/>
    <col width="10.59765625" customWidth="1" style="24" min="60" max="60"/>
    <col width="8.59765625" customWidth="1" style="24" min="61" max="61"/>
    <col width="13.19921875" customWidth="1" style="24" min="62" max="62"/>
    <col width="8.59765625" customWidth="1" style="24" min="63" max="64"/>
    <col hidden="1" outlineLevel="1" width="8.59765625" customWidth="1" style="24" min="65" max="65"/>
    <col collapsed="1" width="11" customWidth="1" style="26" min="66" max="66"/>
    <col hidden="1" outlineLevel="1" width="8.59765625" customWidth="1" style="24" min="67" max="67"/>
    <col collapsed="1" width="8.59765625" customWidth="1" style="24" min="68" max="68"/>
    <col width="8.59765625" customWidth="1" style="24" min="69" max="70"/>
    <col hidden="1" outlineLevel="1" width="8.59765625" customWidth="1" style="24" min="71" max="71"/>
    <col collapsed="1" width="8.59765625" customWidth="1" style="24" min="72" max="72"/>
    <col width="10.3984375" customWidth="1" style="24" min="73" max="73"/>
    <col hidden="1" outlineLevel="1" width="8.59765625" customWidth="1" style="24" min="74" max="74"/>
    <col collapsed="1" width="8.59765625" customWidth="1" style="24" min="75" max="75"/>
    <col width="9.796875" customWidth="1" style="24" min="76" max="76"/>
    <col width="8.59765625" customWidth="1" style="24" min="77" max="77"/>
    <col outlineLevel="1" width="8.59765625" customWidth="1" style="24" min="78" max="78"/>
    <col outlineLevel="1" width="8.59765625" customWidth="1" style="26" min="79" max="79"/>
    <col outlineLevel="1" width="8.59765625" customWidth="1" style="24" min="80" max="80"/>
    <col outlineLevel="1" width="10.59765625" customWidth="1" style="24" min="81" max="81"/>
    <col outlineLevel="1" width="8.59765625" customWidth="1" style="24" min="82" max="82"/>
    <col width="8.59765625" customWidth="1" style="24" min="83" max="86"/>
    <col width="10.3984375" customWidth="1" style="24" min="87" max="87"/>
    <col outlineLevel="1" width="8.59765625" customWidth="1" style="24" min="88" max="92"/>
    <col width="10.3984375" customWidth="1" style="24" min="93" max="93"/>
    <col outlineLevel="1" width="8.59765625" customWidth="1" style="24" min="94" max="97"/>
    <col outlineLevel="1" width="8.59765625" customWidth="1" style="26" min="98" max="100"/>
    <col outlineLevel="1" width="8.59765625" customWidth="1" style="24" min="101" max="107"/>
  </cols>
  <sheetData>
    <row r="1" ht="17" customHeight="1" s="178">
      <c r="A1" s="91" t="inlineStr">
        <is>
          <t>分配模式：人民币  (Currency: CNY)</t>
        </is>
      </c>
      <c r="B1" s="91" t="n"/>
      <c r="L1" s="135" t="n"/>
      <c r="AB1" s="117" t="n"/>
      <c r="AC1" s="156">
        <f>'年终奖分配明细表-国内'!AC1</f>
        <v/>
      </c>
      <c r="AD1" s="119" t="n"/>
      <c r="AE1" s="118">
        <f>'年终奖分配明细表-国内'!AE1</f>
        <v/>
      </c>
      <c r="AO1" s="82" t="n"/>
      <c r="AP1" s="156">
        <f>'年终奖分配明细表-国内'!AP1</f>
        <v/>
      </c>
      <c r="AS1" s="26" t="n"/>
      <c r="AU1" s="82" t="n"/>
      <c r="AV1" s="156">
        <f>'年终奖分配明细表-国内'!AV1</f>
        <v/>
      </c>
      <c r="AW1" s="82" t="n"/>
      <c r="AX1" s="156">
        <f>'年终奖分配明细表-国内'!AX1</f>
        <v/>
      </c>
      <c r="AY1" s="82" t="n"/>
      <c r="AZ1" s="156">
        <f>'年终奖分配明细表-国内'!AZ1</f>
        <v/>
      </c>
      <c r="BA1" s="24" t="n"/>
    </row>
    <row r="2" ht="14" customHeight="1" s="178">
      <c r="A2" s="91" t="n"/>
      <c r="B2" s="91" t="n"/>
      <c r="L2" s="135" t="n"/>
      <c r="AB2" s="113" t="n"/>
      <c r="AC2" s="120">
        <f>'年终奖分配明细表-国内'!AC2</f>
        <v/>
      </c>
      <c r="AD2" s="119" t="n"/>
      <c r="AE2" s="156">
        <f>'年终奖分配明细表-国内'!AE2</f>
        <v/>
      </c>
      <c r="AO2" s="113" t="n"/>
      <c r="AP2" s="120">
        <f>'年终奖分配明细表-国内'!AP2</f>
        <v/>
      </c>
      <c r="AS2" s="26" t="n"/>
      <c r="AU2" s="113" t="n"/>
      <c r="AV2" s="120">
        <f>'年终奖分配明细表-国内'!AV2</f>
        <v/>
      </c>
      <c r="AW2" s="113" t="n"/>
      <c r="AX2" s="120">
        <f>'年终奖分配明细表-国内'!AX2</f>
        <v/>
      </c>
      <c r="AY2" s="113" t="n"/>
      <c r="AZ2" s="120">
        <f>'年终奖分配明细表-国内'!AZ2</f>
        <v/>
      </c>
      <c r="BA2" s="24" t="n"/>
    </row>
    <row r="3" ht="15.75" customHeight="1" s="178">
      <c r="A3" s="67" t="inlineStr">
        <is>
          <t>请勿隐藏绿色可调整列</t>
        </is>
      </c>
      <c r="B3" s="67" t="n"/>
      <c r="E3" s="24" t="n"/>
      <c r="F3" s="24" t="n"/>
      <c r="U3" s="114" t="inlineStr">
        <is>
          <t>总额度 (Total)</t>
        </is>
      </c>
      <c r="X3" s="27" t="n"/>
      <c r="Y3" s="27" t="n"/>
      <c r="Z3" s="27" t="n"/>
      <c r="AA3" s="136" t="n"/>
      <c r="AB3" s="113" t="n"/>
      <c r="AC3" s="120">
        <f>'年终奖分配明细表-国内'!AC3</f>
        <v/>
      </c>
      <c r="AD3" s="119" t="n"/>
      <c r="AE3" s="120">
        <f>'年终奖分配明细表-国内'!AE3</f>
        <v/>
      </c>
      <c r="AO3" s="113" t="n"/>
      <c r="AP3" s="120">
        <f>'年终奖分配明细表-国内'!AP3</f>
        <v/>
      </c>
      <c r="AS3" s="26" t="n"/>
      <c r="AU3" s="113" t="n"/>
      <c r="AV3" s="120">
        <f>'年终奖分配明细表-国内'!AV3</f>
        <v/>
      </c>
      <c r="AW3" s="113" t="n"/>
      <c r="AX3" s="120">
        <f>'年终奖分配明细表-国内'!AX3</f>
        <v/>
      </c>
      <c r="AY3" s="113" t="n"/>
      <c r="AZ3" s="120">
        <f>'年终奖分配明细表-国内'!AZ3</f>
        <v/>
      </c>
      <c r="BA3" s="24" t="n"/>
      <c r="BB3" s="28" t="n"/>
      <c r="BC3" s="28" t="n"/>
      <c r="BD3" s="28" t="n"/>
      <c r="CT3" s="24" t="n"/>
      <c r="CU3" s="24" t="n"/>
      <c r="CV3" s="24" t="n"/>
    </row>
    <row r="4" ht="15.75" customHeight="1" s="178">
      <c r="A4" s="67" t="inlineStr">
        <is>
          <t>Please DO NOT hide the Green column !</t>
        </is>
      </c>
      <c r="B4" s="67" t="n"/>
      <c r="E4" s="24" t="n"/>
      <c r="F4" s="24" t="n"/>
      <c r="U4" s="115" t="inlineStr">
        <is>
          <t>已用额度 (Assigned)</t>
        </is>
      </c>
      <c r="X4" s="27" t="n"/>
      <c r="Y4" s="27" t="n"/>
      <c r="Z4" s="27" t="n"/>
      <c r="AB4" s="113" t="n"/>
      <c r="AC4" s="120">
        <f>'年终奖分配明细表-国内'!AC4</f>
        <v/>
      </c>
      <c r="AD4" s="119" t="n"/>
      <c r="AE4" s="120">
        <f>'年终奖分配明细表-国内'!AE4</f>
        <v/>
      </c>
      <c r="AO4" s="113" t="n"/>
      <c r="AP4" s="120">
        <f>'年终奖分配明细表-国内'!AP4</f>
        <v/>
      </c>
      <c r="AS4" s="26" t="n"/>
      <c r="AU4" s="113" t="n"/>
      <c r="AV4" s="120">
        <f>'年终奖分配明细表-国内'!AV4</f>
        <v/>
      </c>
      <c r="AW4" s="113" t="n"/>
      <c r="AX4" s="120">
        <f>'年终奖分配明细表-国内'!AX4</f>
        <v/>
      </c>
      <c r="AY4" s="113" t="n"/>
      <c r="AZ4" s="120">
        <f>'年终奖分配明细表-国内'!AZ4</f>
        <v/>
      </c>
      <c r="BA4" s="24" t="n"/>
      <c r="BB4" s="28" t="n"/>
      <c r="BC4" s="28" t="n"/>
      <c r="BD4" s="28" t="n"/>
      <c r="CT4" s="24" t="n"/>
      <c r="CU4" s="24" t="n"/>
      <c r="CV4" s="24" t="n"/>
    </row>
    <row r="5" ht="15.75" customHeight="1" s="178">
      <c r="E5" s="24" t="n"/>
      <c r="F5" s="24" t="n"/>
      <c r="U5" s="116" t="inlineStr">
        <is>
          <t>剩余额度 (Remaining)</t>
        </is>
      </c>
      <c r="X5" s="27" t="n"/>
      <c r="Y5" s="27" t="n"/>
      <c r="Z5" s="27" t="n"/>
      <c r="AB5" s="113" t="n"/>
      <c r="AC5" s="120">
        <f>'年终奖分配明细表-国内'!AC5</f>
        <v/>
      </c>
      <c r="AD5" s="119" t="n"/>
      <c r="AE5" s="120">
        <f>'年终奖分配明细表-国内'!AE5</f>
        <v/>
      </c>
      <c r="AO5" s="113" t="n"/>
      <c r="AP5" s="120">
        <f>'年终奖分配明细表-国内'!AP5</f>
        <v/>
      </c>
      <c r="AS5" s="26" t="n"/>
      <c r="AU5" s="113" t="n"/>
      <c r="AV5" s="120">
        <f>'年终奖分配明细表-国内'!AV5</f>
        <v/>
      </c>
      <c r="AW5" s="113" t="n"/>
      <c r="AX5" s="120">
        <f>'年终奖分配明细表-国内'!AX5</f>
        <v/>
      </c>
      <c r="AY5" s="113" t="n"/>
      <c r="AZ5" s="120">
        <f>'年终奖分配明细表-国内'!AZ5</f>
        <v/>
      </c>
      <c r="BA5" s="24" t="n"/>
      <c r="BB5" s="28" t="n"/>
      <c r="BC5" s="28" t="n"/>
      <c r="BD5" s="28" t="n"/>
      <c r="CT5" s="24" t="n"/>
      <c r="CU5" s="24" t="n"/>
      <c r="CV5" s="24" t="n"/>
    </row>
    <row r="6" ht="13.5" customFormat="1" customHeight="1" s="93">
      <c r="A6" s="28" t="n"/>
      <c r="B6" s="155" t="n"/>
      <c r="C6" s="28" t="n"/>
      <c r="D6" s="28" t="n"/>
      <c r="E6" s="28" t="n"/>
      <c r="F6" s="28" t="n"/>
      <c r="G6" s="28" t="n"/>
      <c r="H6" s="28" t="n"/>
      <c r="I6" s="28" t="n"/>
      <c r="J6" s="28" t="n"/>
      <c r="K6" s="28" t="n"/>
      <c r="L6" s="28" t="n"/>
      <c r="M6" s="28" t="n"/>
      <c r="N6" s="28" t="n"/>
      <c r="O6" s="28" t="n"/>
      <c r="P6" s="28" t="n"/>
      <c r="Q6" s="28" t="n"/>
      <c r="R6" s="28" t="n"/>
      <c r="S6" s="28" t="n"/>
      <c r="T6" s="28" t="n"/>
      <c r="U6" s="28" t="n"/>
      <c r="V6" s="28" t="n"/>
      <c r="W6" s="28" t="n"/>
      <c r="X6" s="153" t="n"/>
      <c r="Y6" s="153" t="n"/>
      <c r="Z6" s="153" t="n"/>
      <c r="AA6" s="28" t="n"/>
      <c r="AB6" s="28" t="n"/>
      <c r="AC6" s="28" t="n"/>
      <c r="AD6" s="28" t="n"/>
      <c r="AE6" s="154" t="n"/>
      <c r="AF6" s="28" t="n"/>
      <c r="AG6" s="28" t="n"/>
      <c r="AH6" s="28" t="n"/>
      <c r="AI6" s="28" t="n"/>
      <c r="AJ6" s="28" t="n"/>
      <c r="AK6" s="28" t="n"/>
      <c r="AL6" s="28" t="n"/>
      <c r="AO6" s="28" t="n"/>
      <c r="AP6" s="154">
        <f>'年终奖分配明细表-国内'!AP6</f>
        <v/>
      </c>
      <c r="AQ6" s="28" t="n"/>
      <c r="AR6" s="28" t="n"/>
      <c r="AU6" s="28" t="n"/>
      <c r="AV6" s="118" t="n"/>
      <c r="AW6" s="28" t="n"/>
      <c r="AX6" s="118" t="n"/>
      <c r="AY6" s="28" t="n"/>
      <c r="AZ6" s="118" t="n"/>
      <c r="BA6" s="28" t="n"/>
      <c r="BB6" s="28" t="n"/>
      <c r="BC6" s="28" t="n"/>
      <c r="BD6" s="28" t="n"/>
      <c r="BE6" s="28" t="n"/>
      <c r="BF6" s="28" t="n"/>
      <c r="BG6" s="28" t="n"/>
      <c r="BH6" s="28" t="n"/>
      <c r="BI6" s="28" t="n"/>
      <c r="BJ6" s="28" t="n"/>
      <c r="BK6" s="28" t="n"/>
      <c r="BL6" s="28" t="n"/>
      <c r="BM6" s="28" t="n"/>
      <c r="BO6" s="28" t="n"/>
      <c r="BP6" s="28" t="n"/>
      <c r="BQ6" s="28" t="n"/>
      <c r="BR6" s="28" t="n"/>
      <c r="BS6" s="28" t="n"/>
      <c r="BT6" s="28" t="n"/>
      <c r="BU6" s="28" t="n"/>
      <c r="BV6" s="28" t="n"/>
      <c r="BX6" s="28" t="n"/>
      <c r="BY6" s="28" t="n"/>
      <c r="BZ6" s="28" t="n"/>
      <c r="CB6" s="28" t="n"/>
      <c r="CC6" s="28" t="n"/>
      <c r="CD6" s="28" t="n"/>
      <c r="CE6" s="28" t="n"/>
      <c r="CF6" s="28" t="n"/>
      <c r="CG6" s="28" t="n"/>
      <c r="CH6" s="28" t="n"/>
      <c r="CI6" s="28" t="n"/>
      <c r="CJ6" s="28" t="n"/>
      <c r="CK6" s="28" t="n"/>
      <c r="CL6" s="28" t="n"/>
      <c r="CM6" s="28" t="n"/>
      <c r="CN6" s="28" t="n"/>
      <c r="CO6" s="28" t="n"/>
      <c r="CP6" s="28" t="n"/>
      <c r="CQ6" s="28" t="n"/>
      <c r="CR6" s="28" t="n"/>
      <c r="CT6" s="28" t="n"/>
      <c r="CU6" s="28" t="n"/>
      <c r="CV6" s="28" t="n"/>
      <c r="CW6" s="28" t="n"/>
      <c r="CX6" s="28" t="n"/>
      <c r="CY6" s="28" t="n"/>
      <c r="CZ6" s="28" t="n"/>
      <c r="DA6" s="28" t="n"/>
      <c r="DB6" s="28" t="n"/>
      <c r="DC6" s="28" t="n"/>
    </row>
    <row r="7" hidden="1" ht="13.5" customFormat="1" customHeight="1" s="28">
      <c r="A7" s="29" t="inlineStr">
        <is>
          <t>请勿删除第一行到第七行！！！</t>
        </is>
      </c>
      <c r="B7" s="29" t="n"/>
      <c r="C7" s="29" t="n"/>
      <c r="G7" s="30" t="n"/>
      <c r="H7" s="30" t="n"/>
      <c r="N7" s="30" t="n"/>
      <c r="O7" s="30" t="n"/>
      <c r="P7" s="30" t="n"/>
      <c r="Q7" s="30" t="n"/>
      <c r="R7" s="30" t="n"/>
      <c r="S7" s="30" t="n"/>
      <c r="T7" s="30" t="n"/>
      <c r="U7" s="30" t="n"/>
      <c r="V7" s="31" t="n"/>
      <c r="AB7" s="30" t="n"/>
      <c r="AE7" s="154" t="n"/>
      <c r="AP7" s="154" t="n"/>
      <c r="AV7" s="118" t="n"/>
      <c r="AX7" s="118" t="n"/>
      <c r="AZ7" s="118" t="n"/>
    </row>
    <row r="8" hidden="1" ht="20.25" customFormat="1" customHeight="1" s="28">
      <c r="A8" s="31" t="n"/>
      <c r="B8" s="31" t="n"/>
      <c r="C8" s="31" t="n"/>
      <c r="D8" s="30" t="n"/>
      <c r="E8" s="28">
        <f>"@@CURRENCY_CNY"</f>
        <v/>
      </c>
      <c r="G8" s="30" t="n"/>
      <c r="H8" s="30" t="n"/>
      <c r="N8" s="30" t="n"/>
      <c r="O8" s="30" t="n"/>
      <c r="P8" s="30" t="n"/>
      <c r="Q8" s="30" t="n"/>
      <c r="R8" s="30" t="n"/>
      <c r="S8" s="30" t="n"/>
      <c r="T8" s="30" t="n"/>
      <c r="U8" s="30" t="n"/>
      <c r="V8" s="31" t="n"/>
      <c r="AB8" s="30" t="n"/>
      <c r="AC8" s="33">
        <f>'年终奖分配明细表-国内'!AC8</f>
        <v/>
      </c>
      <c r="AE8" s="33">
        <f>'年终奖分配明细表-国内'!AE8</f>
        <v/>
      </c>
      <c r="AP8" s="154">
        <f>'年终奖分配明细表-国内'!AP8</f>
        <v/>
      </c>
      <c r="AV8" s="118">
        <f>'年终奖分配明细表-国内'!AV8</f>
        <v/>
      </c>
      <c r="AX8" s="118">
        <f>'年终奖分配明细表-国内'!AX8</f>
        <v/>
      </c>
      <c r="AZ8" s="118">
        <f>'年终奖分配明细表-国内'!AZ8</f>
        <v/>
      </c>
    </row>
    <row r="9" hidden="1" ht="20.25" customFormat="1" customHeight="1" s="37">
      <c r="A9" s="34" t="n">
        <v>2</v>
      </c>
      <c r="B9" s="34" t="n"/>
      <c r="C9" s="34" t="n"/>
      <c r="D9" s="35" t="n"/>
      <c r="E9" s="35" t="n"/>
      <c r="F9" s="35" t="n"/>
      <c r="G9" s="36" t="inlineStr">
        <is>
          <t>@@CD_g1qT4RWZn8PvzqzsvsSlZ1HoevUBl8dinYL8/H7Cw9JN1xdebvU/xUsX4kOF/8om</t>
        </is>
      </c>
      <c r="H9" s="36" t="n"/>
      <c r="N9" s="36" t="n"/>
      <c r="O9" s="36" t="n"/>
      <c r="P9" s="36" t="n"/>
      <c r="Q9" s="36" t="n"/>
      <c r="R9" s="36" t="n"/>
      <c r="S9" s="36" t="n"/>
      <c r="T9" s="36" t="n"/>
      <c r="U9" s="36" t="n"/>
      <c r="V9" s="38" t="n"/>
      <c r="AB9" s="28">
        <f>SUM(AA14:AA20)+SUM(AC14:AC20)</f>
        <v/>
      </c>
      <c r="AD9" s="32">
        <f>SUM(AE14:AE20)</f>
        <v/>
      </c>
      <c r="AO9" s="28">
        <f>SUM(AP14:AP20)</f>
        <v/>
      </c>
      <c r="AU9" s="28">
        <f>SUM(AV14:AV20)</f>
        <v/>
      </c>
      <c r="AW9" s="28">
        <f>SUM(AX14:AX20)</f>
        <v/>
      </c>
      <c r="AY9" s="28">
        <f>SUM(AZ14:AZ20)</f>
        <v/>
      </c>
      <c r="BB9" s="39" t="n"/>
      <c r="BC9" s="39" t="n"/>
      <c r="BD9" s="39" t="n"/>
    </row>
    <row r="10" ht="13.5" customFormat="1" customHeight="1" s="40">
      <c r="A10" s="4" t="n"/>
      <c r="B10" s="4" t="n"/>
      <c r="C10" s="4" t="n"/>
      <c r="D10" s="4" t="n"/>
      <c r="E10" s="4" t="n"/>
      <c r="F10" s="4" t="n"/>
      <c r="G10" s="4" t="n"/>
      <c r="H10" s="85" t="inlineStr">
        <is>
          <t>基本信息 (Basic Info)</t>
        </is>
      </c>
      <c r="I10" s="4" t="n"/>
      <c r="J10" s="4" t="n"/>
      <c r="K10" s="4" t="n"/>
      <c r="L10" s="4" t="n"/>
      <c r="M10" s="4" t="n"/>
      <c r="N10" s="4" t="n"/>
      <c r="O10" s="4" t="n"/>
      <c r="P10" s="4" t="n"/>
      <c r="Q10" s="4" t="n"/>
      <c r="R10" s="4" t="n"/>
      <c r="S10" s="4" t="n"/>
      <c r="T10" s="4" t="n"/>
      <c r="U10" s="4" t="n"/>
      <c r="V10" s="4" t="n"/>
      <c r="W10" s="4" t="n"/>
      <c r="X10" s="19" t="n"/>
      <c r="Y10" s="20" t="n"/>
      <c r="Z10" s="20" t="n"/>
      <c r="AA10" s="20" t="n"/>
      <c r="AB10" s="20" t="n"/>
      <c r="AC10" s="86" t="inlineStr">
        <is>
          <t>本次奖金 (Bonus of This Year)</t>
        </is>
      </c>
      <c r="AD10" s="20" t="n"/>
      <c r="AE10" s="20" t="n"/>
      <c r="AF10" s="20" t="n"/>
      <c r="AG10" s="20" t="n"/>
      <c r="AH10" s="20" t="n"/>
      <c r="AI10" s="20" t="n"/>
      <c r="AJ10" s="20" t="n"/>
      <c r="AK10" s="20" t="n"/>
      <c r="AL10" s="21" t="n"/>
      <c r="AM10" s="20" t="n"/>
      <c r="AN10" s="20" t="n"/>
      <c r="AO10" s="162">
        <f>"本次"&amp;AP1</f>
        <v/>
      </c>
      <c r="AP10" s="163" t="n"/>
      <c r="AQ10" s="101" t="inlineStr">
        <is>
          <t>本次合计 (Total of This Year)</t>
        </is>
      </c>
      <c r="AR10" s="102" t="n"/>
      <c r="AS10" s="102" t="n"/>
      <c r="AT10" s="103" t="n"/>
      <c r="AU10" s="163" t="n"/>
      <c r="AV10" s="163" t="n"/>
      <c r="AW10" s="163" t="n"/>
      <c r="AX10" s="163" t="n"/>
      <c r="AY10" s="163" t="n"/>
      <c r="AZ10" s="163" t="n"/>
      <c r="BA10" s="87" t="inlineStr">
        <is>
          <t>备注信息 (Remarks)</t>
        </is>
      </c>
      <c r="BB10" s="87" t="n"/>
      <c r="BC10" s="17" t="n"/>
      <c r="BD10" s="17" t="n"/>
      <c r="BE10" s="17" t="n"/>
      <c r="BF10" s="17" t="n"/>
      <c r="BG10" s="96" t="inlineStr">
        <is>
          <t>辅助信息 (Additional Info)</t>
        </is>
      </c>
      <c r="BH10" s="16" t="n"/>
      <c r="BI10" s="16" t="n"/>
      <c r="BJ10" s="16" t="n"/>
      <c r="BK10" s="16" t="n"/>
      <c r="BL10" s="13" t="n"/>
      <c r="BM10" s="9" t="n"/>
      <c r="BN10" s="9" t="n"/>
      <c r="BO10" s="14" t="n"/>
      <c r="BP10" s="97" t="inlineStr">
        <is>
          <t>上年度参考信息 (Reference Info of Last Year)</t>
        </is>
      </c>
      <c r="BQ10" s="9" t="n"/>
      <c r="BR10" s="9" t="n"/>
      <c r="BS10" s="9" t="n"/>
      <c r="BT10" s="9" t="n"/>
      <c r="BU10" s="9" t="n"/>
      <c r="BV10" s="9" t="n"/>
      <c r="BW10" s="9" t="n"/>
      <c r="BX10" s="9" t="n"/>
      <c r="BY10" s="9" t="n"/>
      <c r="BZ10" s="9" t="n"/>
      <c r="CA10" s="9" t="n"/>
      <c r="CB10" s="9" t="n"/>
      <c r="CC10" s="9" t="n"/>
      <c r="CD10" s="9" t="n"/>
      <c r="CE10" s="9" t="n"/>
      <c r="CF10" s="15" t="n"/>
      <c r="CG10" s="88" t="inlineStr">
        <is>
          <t>包信息 (Pool Info)</t>
        </is>
      </c>
      <c r="CH10" s="12" t="n"/>
      <c r="CI10" s="89" t="inlineStr">
        <is>
          <t>自定义标签 (Custom Labels)</t>
        </is>
      </c>
      <c r="CJ10" s="8" t="n"/>
      <c r="CK10" s="8" t="n"/>
      <c r="CL10" s="8" t="n"/>
      <c r="CM10" s="8" t="n"/>
      <c r="CN10" s="9" t="n"/>
      <c r="CO10" s="9" t="n"/>
      <c r="CP10" s="8" t="n"/>
      <c r="CQ10" s="8" t="n"/>
      <c r="CR10" s="8" t="n"/>
      <c r="CS10" s="8" t="n"/>
      <c r="CT10" s="8" t="n"/>
      <c r="CU10" s="8" t="n"/>
      <c r="CV10" s="8" t="n"/>
      <c r="CW10" s="8" t="n"/>
      <c r="CX10" s="8" t="n"/>
      <c r="CY10" s="8" t="n"/>
      <c r="CZ10" s="8" t="n"/>
      <c r="DA10" s="8" t="n"/>
      <c r="DB10" s="8" t="n"/>
      <c r="DC10" s="10" t="n"/>
    </row>
    <row r="11" hidden="1" outlineLevel="1" ht="71" customFormat="1" customHeight="1" s="40">
      <c r="A11" s="3" t="inlineStr">
        <is>
          <t>Name</t>
        </is>
      </c>
      <c r="B11" s="3" t="inlineStr">
        <is>
          <t>Legal Name</t>
        </is>
      </c>
      <c r="C11" s="65" t="inlineStr">
        <is>
          <t>Staff ID</t>
        </is>
      </c>
      <c r="D11" s="65" t="inlineStr">
        <is>
          <t>Department</t>
        </is>
      </c>
      <c r="E11" s="2" t="inlineStr">
        <is>
          <t>Sub Organization of the Department</t>
        </is>
      </c>
      <c r="F11" s="134" t="inlineStr">
        <is>
          <t>2nd-Level Org. Under Department</t>
        </is>
      </c>
      <c r="G11" s="65" t="inlineStr">
        <is>
          <t>Organization</t>
        </is>
      </c>
      <c r="H11" s="2" t="inlineStr">
        <is>
          <t>Onboarding Date</t>
        </is>
      </c>
      <c r="I11" s="65" t="inlineStr">
        <is>
          <t>Employment Type</t>
        </is>
      </c>
      <c r="J11" s="65" t="inlineStr">
        <is>
          <t>Job function</t>
        </is>
      </c>
      <c r="K11" s="65" t="inlineStr">
        <is>
          <t>Position</t>
        </is>
      </c>
      <c r="L11" s="2" t="inlineStr">
        <is>
          <t>Professional grade</t>
        </is>
      </c>
      <c r="M11" s="2" t="inlineStr">
        <is>
          <t>Managerial grade</t>
        </is>
      </c>
      <c r="N11" s="2" t="inlineStr">
        <is>
          <t>Talent Tier</t>
        </is>
      </c>
      <c r="O11" s="131" t="inlineStr">
        <is>
          <t>2024 Talent Tier</t>
        </is>
      </c>
      <c r="P11" s="5" t="inlineStr">
        <is>
          <t>Talent Tier Change in Last 2 Years</t>
        </is>
      </c>
      <c r="Q11" s="5" t="inlineStr">
        <is>
          <t>2025 H1/H2 Performance Ratings</t>
        </is>
      </c>
      <c r="R11" s="161" t="inlineStr">
        <is>
          <t>2025 H1/H2 Customized Performance Ratings</t>
        </is>
      </c>
      <c r="S11" s="133" t="inlineStr">
        <is>
          <t>2024 H1/H2 Performance Ratings</t>
        </is>
      </c>
      <c r="T11" s="132" t="inlineStr">
        <is>
          <t>Performance Change in Last 2 Years</t>
        </is>
      </c>
      <c r="U11" s="2" t="inlineStr">
        <is>
          <t>Current Monthly Salary
(CNY)</t>
        </is>
      </c>
      <c r="V11" s="129" t="inlineStr">
        <is>
          <t>Target Bonus %</t>
        </is>
      </c>
      <c r="W11" s="2" t="inlineStr">
        <is>
          <t>Payroll Currency</t>
        </is>
      </c>
      <c r="X11" s="19" t="inlineStr">
        <is>
          <t>Time Proration Factor</t>
        </is>
      </c>
      <c r="Y11" s="79" t="inlineStr">
        <is>
          <t>Base Amount of Annual Bonus
(CNY)</t>
        </is>
      </c>
      <c r="Z11" s="166" t="inlineStr">
        <is>
          <t>Base Amount of Target Bonus
(CNY)</t>
        </is>
      </c>
      <c r="AA11" s="79" t="inlineStr">
        <is>
          <t>Target Bonus (T)
(CNY)</t>
        </is>
      </c>
      <c r="AB11" s="168" t="inlineStr">
        <is>
          <t xml:space="preserve">Suggested Target Bonus
(CNY) </t>
        </is>
      </c>
      <c r="AC11" s="169" t="inlineStr">
        <is>
          <t>Actual Target Bonus
(CNY)</t>
        </is>
      </c>
      <c r="AD11" s="22">
        <f>IF(ISBLANK(AD12),"预留",AD12)&amp;CHAR(10)&amp;"Suggestion"&amp;CHAR(10)&amp;"(CNY)"</f>
        <v/>
      </c>
      <c r="AE11" s="22">
        <f>IF(ISBLANK(AD12),"预留",AD12)&amp;CHAR(10)&amp;"Submission"&amp;CHAR(10)&amp;"(CNY)"</f>
        <v/>
      </c>
      <c r="AF11" s="22" t="inlineStr">
        <is>
          <t>Total Project Bonus
(CNY)</t>
        </is>
      </c>
      <c r="AG11" s="23" t="inlineStr">
        <is>
          <t>T+T0 Bonus
(CNY)</t>
        </is>
      </c>
      <c r="AH11" s="23" t="inlineStr">
        <is>
          <t>T+T0 Bonus Index</t>
        </is>
      </c>
      <c r="AI11" s="22" t="inlineStr">
        <is>
          <t>Target+Project Bonus Amount
(CNY)</t>
        </is>
      </c>
      <c r="AJ11" s="170" t="inlineStr">
        <is>
          <t>T+T0+Project Bonus Index</t>
        </is>
      </c>
      <c r="AK11" s="170" t="inlineStr">
        <is>
          <t>Suggested T+T0+Project Bonus Index</t>
        </is>
      </c>
      <c r="AL11" s="170" t="inlineStr">
        <is>
          <t>Vs. 2024 T+T0+Project Bonus</t>
        </is>
      </c>
      <c r="AM11" s="167" t="inlineStr">
        <is>
          <t>Target+Project Bonus Index</t>
        </is>
      </c>
      <c r="AN11" s="167" t="inlineStr">
        <is>
          <t>Suggested Target+Project Bonus Index</t>
        </is>
      </c>
      <c r="AO11" s="18" t="inlineStr">
        <is>
          <t>Incremental Profit Sharing Incentive
Suggestion(CNY)
(CNY)</t>
        </is>
      </c>
      <c r="AP11" s="18">
        <f>AO12&amp;CHAR(10)&amp;"Submission"&amp;CHAR(10)&amp;"(CNY)"</f>
        <v/>
      </c>
      <c r="AQ11" s="104" t="inlineStr">
        <is>
          <t>Total Bonus Payout
(CNY)</t>
        </is>
      </c>
      <c r="AR11" s="137" t="inlineStr">
        <is>
          <t>Total Payout Index (China)</t>
        </is>
      </c>
      <c r="AS11" s="105" t="inlineStr">
        <is>
          <t>Vs. 2024 Total Bonus Payout</t>
        </is>
      </c>
      <c r="AT11" s="105" t="inlineStr">
        <is>
          <t>Total Payout Index (Overseas)</t>
        </is>
      </c>
      <c r="AU11" s="18">
        <f>IF(ISBLANK(AU12),"预留",AU12)&amp;CHAR(10)&amp;"Suggestion"&amp;CHAR(10)&amp;"(CNY)"</f>
        <v/>
      </c>
      <c r="AV11" s="18">
        <f>AU12&amp;CHAR(10)&amp;"Submission"&amp;CHAR(10)&amp;"(CNY)"</f>
        <v/>
      </c>
      <c r="AW11" s="18">
        <f>IF(ISBLANK(AW12),"预留",AW12)&amp;CHAR(10)&amp;"Suggestion"&amp;CHAR(10)&amp;"(CNY)"</f>
        <v/>
      </c>
      <c r="AX11" s="18">
        <f>AW12&amp;CHAR(10)&amp;"Submission"&amp;CHAR(10)&amp;"(CNY)"</f>
        <v/>
      </c>
      <c r="AY11" s="18">
        <f>IF(ISBLANK(AY12),"预留",AY12)&amp;CHAR(10)&amp;"Suggestion"&amp;CHAR(10)&amp;"(CNY)"</f>
        <v/>
      </c>
      <c r="AZ11" s="18">
        <f>AY12&amp;CHAR(10)&amp;"Submission"&amp;CHAR(10)&amp;"(CNY)"</f>
        <v/>
      </c>
      <c r="BA11" s="76" t="inlineStr">
        <is>
          <t>Allocation Remarks</t>
        </is>
      </c>
      <c r="BB11" s="123" t="inlineStr">
        <is>
          <t>Historical Remarks</t>
        </is>
      </c>
      <c r="BC11" s="122" t="inlineStr">
        <is>
          <t>C&amp;B G Remarks</t>
        </is>
      </c>
      <c r="BD11" s="76" t="inlineStr">
        <is>
          <t>Remarks from HRBP</t>
        </is>
      </c>
      <c r="BE11" s="130" t="inlineStr">
        <is>
          <t>Compensation-Performance Consistency</t>
        </is>
      </c>
      <c r="BF11" s="76" t="inlineStr">
        <is>
          <t>Allocation Alert</t>
        </is>
      </c>
      <c r="BG11" s="76" t="inlineStr">
        <is>
          <t>Promised Bonus
(CNY)</t>
        </is>
      </c>
      <c r="BH11" s="76" t="inlineStr">
        <is>
          <t>Bonus Paid During the Year
(CNY)</t>
        </is>
      </c>
      <c r="BI11" s="76" t="inlineStr">
        <is>
          <t>Remarks about Paid Bonus</t>
        </is>
      </c>
      <c r="BJ11" s="76" t="inlineStr">
        <is>
          <t>Non-deductible Leave Days %</t>
        </is>
      </c>
      <c r="BK11" s="76" t="inlineStr">
        <is>
          <t>Leave Days Remarks</t>
        </is>
      </c>
      <c r="BL11" s="7" t="inlineStr">
        <is>
          <t>Time Proration Factor of 2024 Annual Bonus</t>
        </is>
      </c>
      <c r="BM11" s="174" t="inlineStr">
        <is>
          <t>Base Amount of 2024 Annual Bonus
(CNY)</t>
        </is>
      </c>
      <c r="BN11" s="172" t="inlineStr">
        <is>
          <t>Base Amount of 2024 Target Bonus
(CNY)</t>
        </is>
      </c>
      <c r="BO11" s="80" t="inlineStr">
        <is>
          <t>Monthly Salary in 2024
(CNY)</t>
        </is>
      </c>
      <c r="BP11" s="7" t="inlineStr">
        <is>
          <t>2024 H1/H2 Performance Ratings</t>
        </is>
      </c>
      <c r="BQ11" s="7" t="inlineStr">
        <is>
          <t>2024 Talent Tier</t>
        </is>
      </c>
      <c r="BR11" s="7" t="inlineStr">
        <is>
          <t>2024 Target Bonus
(CNY)</t>
        </is>
      </c>
      <c r="BS11" s="80" t="inlineStr">
        <is>
          <t>2024 T+T0 Bonus Index</t>
        </is>
      </c>
      <c r="BT11" s="7" t="inlineStr">
        <is>
          <t>2024 Total Project Bonus
(CNY)</t>
        </is>
      </c>
      <c r="BU11" s="7" t="inlineStr">
        <is>
          <t>2024 Actual Target+Project Bonus
(CNY)</t>
        </is>
      </c>
      <c r="BV11" s="174" t="inlineStr">
        <is>
          <t>2024 T+T0+Project Bonus Index</t>
        </is>
      </c>
      <c r="BW11" s="172" t="inlineStr">
        <is>
          <t>2024 Target+Project Bonus Index</t>
        </is>
      </c>
      <c r="BX11" s="77" t="inlineStr">
        <is>
          <t>2024 Incremental Incentive
(CNY)</t>
        </is>
      </c>
      <c r="BY11" s="7" t="inlineStr">
        <is>
          <t>2024 Total Bonus Payout
(CNY)</t>
        </is>
      </c>
      <c r="BZ11" s="80" t="inlineStr">
        <is>
          <t xml:space="preserve"> 2024 Total Payout Index (China)</t>
        </is>
      </c>
      <c r="CA11" s="81" t="inlineStr">
        <is>
          <t xml:space="preserve"> 2024 Total Payout Index (Overseas)</t>
        </is>
      </c>
      <c r="CB11" s="80" t="inlineStr">
        <is>
          <t>2024 Service Bonus
(CNY)</t>
        </is>
      </c>
      <c r="CC11" s="80" t="inlineStr">
        <is>
          <t>2024 One- time Incremental Incentive
(CNY)</t>
        </is>
      </c>
      <c r="CD11" s="80" t="inlineStr">
        <is>
          <t>2024 Special Grant
(CNY)</t>
        </is>
      </c>
      <c r="CE11" s="7" t="inlineStr">
        <is>
          <t>2024 Non-deductible Leave Days %</t>
        </is>
      </c>
      <c r="CF11" s="11" t="inlineStr">
        <is>
          <t>2024 Salary Structure Change</t>
        </is>
      </c>
      <c r="CG11" s="11" t="inlineStr">
        <is>
          <t>Pool name</t>
        </is>
      </c>
      <c r="CH11" s="11" t="inlineStr">
        <is>
          <t>Pool Owner</t>
        </is>
      </c>
      <c r="CI11" s="11" t="inlineStr">
        <is>
          <t>Salary Structure Change</t>
        </is>
      </c>
      <c r="CJ11" s="83" t="inlineStr">
        <is>
          <t>Sheet Split Tag</t>
        </is>
      </c>
      <c r="CK11" s="164" t="inlineStr">
        <is>
          <t>Region</t>
        </is>
      </c>
      <c r="CL11" s="83" t="inlineStr">
        <is>
          <t>Country/Region</t>
        </is>
      </c>
      <c r="CM11" s="83" t="inlineStr">
        <is>
          <t>Continent Region</t>
        </is>
      </c>
      <c r="CN11" s="83" t="inlineStr">
        <is>
          <t>LCY Exchange Rate</t>
        </is>
      </c>
      <c r="CO11" s="84" t="inlineStr">
        <is>
          <t>Termination/Transfer Label</t>
        </is>
      </c>
      <c r="CP11" s="83" t="inlineStr">
        <is>
          <t>Organization Label</t>
        </is>
      </c>
      <c r="CQ11" s="83" t="inlineStr">
        <is>
          <t>Performance Label</t>
        </is>
      </c>
      <c r="CR11" s="83" t="inlineStr">
        <is>
          <t>Job Grade Label</t>
        </is>
      </c>
      <c r="CS11" s="83" t="inlineStr">
        <is>
          <t>Talent Tier Label</t>
        </is>
      </c>
      <c r="CT11" s="83" t="inlineStr">
        <is>
          <t>New Job System Label</t>
        </is>
      </c>
      <c r="CU11" s="83" t="inlineStr">
        <is>
          <t>Serious violations of the Sunshine Code of Conduct</t>
        </is>
      </c>
      <c r="CV11" s="83" t="inlineStr">
        <is>
          <t>Good Overall Performance Rating with Underperform Contribution or Conduct Rating</t>
        </is>
      </c>
      <c r="CW11" s="83" t="inlineStr">
        <is>
          <t>Backup Label 2</t>
        </is>
      </c>
      <c r="CX11" s="83" t="inlineStr">
        <is>
          <t>Backup Label 3</t>
        </is>
      </c>
      <c r="CY11" s="83" t="inlineStr">
        <is>
          <t>Backup Label 4</t>
        </is>
      </c>
      <c r="CZ11" s="83" t="inlineStr">
        <is>
          <t>Backup Label 5</t>
        </is>
      </c>
      <c r="DA11" s="83" t="inlineStr">
        <is>
          <t>Backup Label 6</t>
        </is>
      </c>
      <c r="DB11" s="83" t="inlineStr">
        <is>
          <t>Backup Label 7</t>
        </is>
      </c>
      <c r="DC11" s="83" t="inlineStr">
        <is>
          <t>Backup Label 8</t>
        </is>
      </c>
    </row>
    <row r="12" hidden="1" collapsed="1" customFormat="1" s="55">
      <c r="A12" s="56" t="inlineStr">
        <is>
          <t>@Name</t>
        </is>
      </c>
      <c r="B12" s="56" t="n"/>
      <c r="C12" s="44" t="n"/>
      <c r="D12" s="57">
        <f>"@@CR_12"</f>
        <v/>
      </c>
      <c r="E12" s="57" t="n"/>
      <c r="F12" s="57" t="n"/>
      <c r="G12" s="44" t="n"/>
      <c r="H12" s="44" t="n"/>
      <c r="I12" s="44" t="n"/>
      <c r="J12" s="44" t="n"/>
      <c r="K12" s="44" t="n"/>
      <c r="L12" s="44" t="n"/>
      <c r="M12" s="44" t="n"/>
      <c r="N12" s="44" t="n"/>
      <c r="O12" s="44" t="n"/>
      <c r="P12" s="44" t="n"/>
      <c r="Q12" s="58" t="n"/>
      <c r="R12" s="58" t="n"/>
      <c r="S12" s="58" t="n"/>
      <c r="T12" s="58" t="n"/>
      <c r="U12" s="44" t="n"/>
      <c r="V12" s="44" t="n"/>
      <c r="W12" s="44" t="n"/>
      <c r="X12" s="59" t="n"/>
      <c r="Y12" s="59" t="n"/>
      <c r="Z12" s="59" t="n"/>
      <c r="AA12" s="44" t="n"/>
      <c r="AB12" s="44" t="n"/>
      <c r="AC12" s="55">
        <f>"@B_"&amp;AC8</f>
        <v/>
      </c>
      <c r="AD12" s="44" t="n"/>
      <c r="AE12" s="55">
        <f>"@B_"&amp;AE8</f>
        <v/>
      </c>
      <c r="AF12" s="44" t="n"/>
      <c r="AG12" s="23" t="n"/>
      <c r="AH12" s="23" t="n"/>
      <c r="AI12" s="44" t="n"/>
      <c r="AJ12" s="44" t="n"/>
      <c r="AK12" s="44" t="n"/>
      <c r="AL12" s="44" t="n"/>
      <c r="AM12" s="44" t="n"/>
      <c r="AN12" s="44" t="n"/>
      <c r="AO12" s="60" t="n"/>
      <c r="AP12" s="60">
        <f>"@B_"&amp;AP8</f>
        <v/>
      </c>
      <c r="AQ12" s="106" t="n"/>
      <c r="AR12" s="107" t="n"/>
      <c r="AS12" s="107" t="n"/>
      <c r="AT12" s="107" t="n"/>
      <c r="AU12" s="60" t="n"/>
      <c r="AV12" s="60">
        <f>"@B_"&amp;AV8</f>
        <v/>
      </c>
      <c r="AW12" s="60" t="n"/>
      <c r="AX12" s="60">
        <f>"@B_"&amp;AX8</f>
        <v/>
      </c>
      <c r="AY12" s="60" t="n"/>
      <c r="AZ12" s="60">
        <f>"@B_"&amp;AZ8</f>
        <v/>
      </c>
      <c r="BA12" s="62">
        <f>"@Remark"</f>
        <v/>
      </c>
      <c r="BB12" s="62" t="n"/>
      <c r="BC12" s="124" t="n"/>
      <c r="BD12" s="73" t="n"/>
      <c r="BG12" s="62" t="n"/>
      <c r="BH12" s="62" t="n"/>
      <c r="BI12" s="62" t="n"/>
      <c r="BJ12" s="62" t="n"/>
      <c r="BK12" s="62" t="n"/>
      <c r="BL12" s="44" t="n"/>
      <c r="BM12" s="44" t="n"/>
      <c r="BN12" s="44" t="n"/>
      <c r="BO12" s="44" t="n"/>
      <c r="BP12" s="44" t="n"/>
      <c r="BQ12" s="44" t="n"/>
      <c r="BR12" s="44" t="n"/>
      <c r="BS12" s="44" t="n"/>
      <c r="BT12" s="44" t="n"/>
      <c r="BU12" s="44" t="n"/>
      <c r="BV12" s="44" t="n"/>
      <c r="BW12" s="44" t="n"/>
      <c r="BX12" s="44" t="n"/>
      <c r="BY12" s="44" t="n"/>
      <c r="BZ12" s="44" t="n"/>
      <c r="CA12" s="44" t="n"/>
      <c r="CB12" s="44" t="n"/>
      <c r="CC12" s="44" t="n"/>
      <c r="CD12" s="44" t="n"/>
      <c r="CE12" s="44" t="n"/>
      <c r="CF12" s="44" t="n"/>
      <c r="CG12" s="61" t="n"/>
      <c r="CH12" s="61" t="n"/>
      <c r="CI12" s="74" t="n"/>
      <c r="CJ12" s="75" t="n"/>
      <c r="CK12" s="75" t="n"/>
      <c r="CL12" s="75" t="n"/>
      <c r="CM12" s="75" t="n"/>
      <c r="CN12" s="75" t="n"/>
      <c r="CO12" s="75" t="n"/>
      <c r="CP12" s="75" t="n"/>
      <c r="CQ12" s="75" t="n"/>
      <c r="CR12" s="75" t="n"/>
      <c r="CS12" s="75" t="n"/>
      <c r="CT12" s="75" t="n"/>
      <c r="CU12" s="75" t="n"/>
      <c r="CV12" s="75" t="n"/>
      <c r="CW12" s="75" t="n"/>
      <c r="CX12" s="75" t="n"/>
    </row>
    <row r="13" ht="63" customFormat="1" customHeight="1" s="42">
      <c r="A13" s="2" t="inlineStr">
        <is>
          <t>中英文名</t>
        </is>
      </c>
      <c r="B13" s="143" t="inlineStr">
        <is>
          <t>真实姓名</t>
        </is>
      </c>
      <c r="C13" s="65" t="inlineStr">
        <is>
          <t>员工ID</t>
        </is>
      </c>
      <c r="D13" s="65" t="inlineStr">
        <is>
          <t>部门</t>
        </is>
      </c>
      <c r="E13" s="2" t="inlineStr">
        <is>
          <t>部门下一级组织</t>
        </is>
      </c>
      <c r="F13" s="2" t="inlineStr">
        <is>
          <t>部门下二级组织</t>
        </is>
      </c>
      <c r="G13" s="65" t="inlineStr">
        <is>
          <t>组织全称</t>
        </is>
      </c>
      <c r="H13" s="2" t="inlineStr">
        <is>
          <t>入职日期</t>
        </is>
      </c>
      <c r="I13" s="65" t="inlineStr">
        <is>
          <t>应聘类别</t>
        </is>
      </c>
      <c r="J13" s="65" t="inlineStr">
        <is>
          <t>发展通道</t>
        </is>
      </c>
      <c r="K13" s="65" t="inlineStr">
        <is>
          <t>专业职位</t>
        </is>
      </c>
      <c r="L13" s="2" t="inlineStr">
        <is>
          <t>专业职级</t>
        </is>
      </c>
      <c r="M13" s="2" t="inlineStr">
        <is>
          <t>管理职级</t>
        </is>
      </c>
      <c r="N13" s="2" t="inlineStr">
        <is>
          <t>2025
人才梯队</t>
        </is>
      </c>
      <c r="O13" s="138" t="inlineStr">
        <is>
          <t>2024
人才梯队</t>
        </is>
      </c>
      <c r="P13" s="64" t="inlineStr">
        <is>
          <t>两年梯队变化</t>
        </is>
      </c>
      <c r="Q13" s="2" t="inlineStr">
        <is>
          <t>2025绩效
H1/H2</t>
        </is>
      </c>
      <c r="R13" s="160" t="inlineStr">
        <is>
          <t>2025自定义绩效
H1/H2</t>
        </is>
      </c>
      <c r="S13" s="144" t="inlineStr">
        <is>
          <t>2024绩效
H1/H2</t>
        </is>
      </c>
      <c r="T13" s="64" t="inlineStr">
        <is>
          <t>两年绩效变化</t>
        </is>
      </c>
      <c r="U13" s="2" t="inlineStr">
        <is>
          <t>目前月薪
(CNY)</t>
        </is>
      </c>
      <c r="V13" s="129" t="inlineStr">
        <is>
          <t>浮动比例</t>
        </is>
      </c>
      <c r="W13" s="2" t="inlineStr">
        <is>
          <t>发薪币种</t>
        </is>
      </c>
      <c r="X13" s="22" t="inlineStr">
        <is>
          <t>年终奖
时间系数</t>
        </is>
      </c>
      <c r="Y13" s="165" t="inlineStr">
        <is>
          <t>年终奖
基数
(CNY)</t>
        </is>
      </c>
      <c r="Z13" s="167" t="inlineStr">
        <is>
          <t>Target Bonus基数
(CNY)</t>
        </is>
      </c>
      <c r="AA13" s="171" t="inlineStr">
        <is>
          <t>绩效奖金
(T)
(CNY)</t>
        </is>
      </c>
      <c r="AB13" s="22" t="inlineStr">
        <is>
          <t>下发
Target Bonus
(CNY)</t>
        </is>
      </c>
      <c r="AC13" s="41" t="inlineStr">
        <is>
          <t>提交
Target Bonus
(CNY)</t>
        </is>
      </c>
      <c r="AD13" s="22">
        <f>"下发"&amp;CHAR(10)&amp;IF(ISBLANK(AE1),"预留Q",AE1)&amp;"(CNY)"</f>
        <v/>
      </c>
      <c r="AE13" s="41">
        <f>"提交"&amp;CHAR(10)&amp;IF(ISBLANK(AE1),"预留R",AE1)&amp;"(CNY)"</f>
        <v/>
      </c>
      <c r="AF13" s="22" t="inlineStr">
        <is>
          <t>项目奖金
合计
(CNY)</t>
        </is>
      </c>
      <c r="AG13" s="94" t="inlineStr">
        <is>
          <t>(T+T0)
金额
(CNY)</t>
        </is>
      </c>
      <c r="AH13" s="94" t="inlineStr">
        <is>
          <t>(T+T0)
系数</t>
        </is>
      </c>
      <c r="AI13" s="22" t="inlineStr">
        <is>
          <t>(Target Bonus+项目奖)金额
(CNY)</t>
        </is>
      </c>
      <c r="AJ13" s="170" t="inlineStr">
        <is>
          <t>(T+T0+项目奖)
系数</t>
        </is>
      </c>
      <c r="AK13" s="165" t="inlineStr">
        <is>
          <t>下发建议
(T+T0+项目奖)
系数</t>
        </is>
      </c>
      <c r="AL13" s="66" t="inlineStr">
        <is>
          <t>VS 2024
(T+T0+项目奖)
金额</t>
        </is>
      </c>
      <c r="AM13" s="167" t="inlineStr">
        <is>
          <t>(Target Bonus+项目奖)系数</t>
        </is>
      </c>
      <c r="AN13" s="167" t="inlineStr">
        <is>
          <t>下发建议
(Target Bonus+项目奖)系数</t>
        </is>
      </c>
      <c r="AO13" s="18">
        <f>"下发"&amp;CHAR(10)&amp;AP1&amp;"(CNY)"</f>
        <v/>
      </c>
      <c r="AP13" s="18">
        <f>"提交"&amp;CHAR(10)&amp;AP1&amp;"(CNY)"</f>
        <v/>
      </c>
      <c r="AQ13" s="159" t="inlineStr">
        <is>
          <t>合计金额
(CNY)</t>
        </is>
      </c>
      <c r="AR13" s="105" t="inlineStr">
        <is>
          <t>国内合计系数</t>
        </is>
      </c>
      <c r="AS13" s="105" t="inlineStr">
        <is>
          <t>VS 2024
合计金额</t>
        </is>
      </c>
      <c r="AT13" s="105" t="inlineStr">
        <is>
          <t>海外合计系数</t>
        </is>
      </c>
      <c r="AU13" s="18">
        <f>"下发"&amp;CHAR(10)&amp;AV1&amp;"(CNY)"</f>
        <v/>
      </c>
      <c r="AV13" s="18">
        <f>"提交"&amp;CHAR(10)&amp;AV1&amp;"(CNY)"</f>
        <v/>
      </c>
      <c r="AW13" s="18">
        <f>"下发"&amp;CHAR(10)&amp;AX1&amp;"(CNY)"</f>
        <v/>
      </c>
      <c r="AX13" s="18">
        <f>"提交"&amp;CHAR(10)&amp;AX1&amp;"(CNY)"</f>
        <v/>
      </c>
      <c r="AY13" s="18">
        <f>"下发"&amp;CHAR(10)&amp;AZ1&amp;"(CNY)"</f>
        <v/>
      </c>
      <c r="AZ13" s="18">
        <f>"提交"&amp;CHAR(10)&amp;AZ1&amp;"(CNY)"</f>
        <v/>
      </c>
      <c r="BA13" s="127" t="inlineStr">
        <is>
          <t>当前环节
分配备注</t>
        </is>
      </c>
      <c r="BB13" s="125" t="inlineStr">
        <is>
          <t>前序环节
分配备注</t>
        </is>
      </c>
      <c r="BC13" s="139" t="inlineStr">
        <is>
          <t>薪酬经理备注</t>
        </is>
      </c>
      <c r="BD13" s="6" t="inlineStr">
        <is>
          <t>BP备注</t>
        </is>
      </c>
      <c r="BE13" s="128" t="inlineStr">
        <is>
          <t>薪酬与评价
匹配度</t>
        </is>
      </c>
      <c r="BF13" s="6" t="inlineStr">
        <is>
          <t>分配规则
校验信息</t>
        </is>
      </c>
      <c r="BG13" s="68" t="inlineStr">
        <is>
          <t>承诺奖金
(CNY)</t>
        </is>
      </c>
      <c r="BH13" s="68" t="inlineStr">
        <is>
          <t>已发放奖金
(CNY)</t>
        </is>
      </c>
      <c r="BI13" s="68" t="inlineStr">
        <is>
          <t>已发放奖金备注</t>
        </is>
      </c>
      <c r="BJ13" s="68" t="inlineStr">
        <is>
          <t>长假期天数占比(未影响时间系数)</t>
        </is>
      </c>
      <c r="BK13" s="140" t="inlineStr">
        <is>
          <t>假期备注</t>
        </is>
      </c>
      <c r="BL13" s="69" t="inlineStr">
        <is>
          <t>2024
年终奖
时间系数</t>
        </is>
      </c>
      <c r="BM13" s="175" t="inlineStr">
        <is>
          <t>2024
年终奖
基数
(CNY)</t>
        </is>
      </c>
      <c r="BN13" s="173" t="inlineStr">
        <is>
          <t>2024
Target Bonus基数
(CNY)</t>
        </is>
      </c>
      <c r="BO13" s="71" t="inlineStr">
        <is>
          <t>2024月薪
(CNY)</t>
        </is>
      </c>
      <c r="BP13" s="69" t="inlineStr">
        <is>
          <t>2024绩效
H1/H2</t>
        </is>
      </c>
      <c r="BQ13" s="69" t="inlineStr">
        <is>
          <t>2024
人才梯队</t>
        </is>
      </c>
      <c r="BR13" s="69" t="inlineStr">
        <is>
          <t>2024
Target Bonus
金额
(CNY)</t>
        </is>
      </c>
      <c r="BS13" s="71" t="inlineStr">
        <is>
          <t>2024
(T+T0)
系数</t>
        </is>
      </c>
      <c r="BT13" s="69" t="inlineStr">
        <is>
          <t>2024
项目奖合计
(CNY)</t>
        </is>
      </c>
      <c r="BU13" s="70" t="inlineStr">
        <is>
          <t>2024
(Target Bonus+项目奖)金额(CNY)</t>
        </is>
      </c>
      <c r="BV13" s="176" t="inlineStr">
        <is>
          <t>2024
(T+T0+项目奖)
系数</t>
        </is>
      </c>
      <c r="BW13" s="177" t="inlineStr">
        <is>
          <t>2024
(Target Bonus+项目奖)系数</t>
        </is>
      </c>
      <c r="BX13" s="69" t="inlineStr">
        <is>
          <t>2024
增量激励
(如有)
(CNY)</t>
        </is>
      </c>
      <c r="BY13" s="146" t="inlineStr">
        <is>
          <t>2024
合计金额
(CNY)</t>
        </is>
      </c>
      <c r="BZ13" s="71" t="inlineStr">
        <is>
          <t>2024
国内合计系数</t>
        </is>
      </c>
      <c r="CA13" s="72" t="inlineStr">
        <is>
          <t>2024
海外合计系数</t>
        </is>
      </c>
      <c r="CB13" s="145" t="inlineStr">
        <is>
          <t>2024
服务奖(CNY)</t>
        </is>
      </c>
      <c r="CC13" s="147" t="inlineStr">
        <is>
          <t>2024增量项目激励
(如有)
(CNY)</t>
        </is>
      </c>
      <c r="CD13" s="95" t="inlineStr">
        <is>
          <t>2024年末特别授予(如有)
(CNY)</t>
        </is>
      </c>
      <c r="CE13" s="69" t="inlineStr">
        <is>
          <t>2024
长假期天数占比(未影响时间系数)</t>
        </is>
      </c>
      <c r="CF13" s="141" t="inlineStr">
        <is>
          <t>2024全年
薪酬结构
变化标识</t>
        </is>
      </c>
      <c r="CG13" s="11" t="inlineStr">
        <is>
          <t>包名称</t>
        </is>
      </c>
      <c r="CH13" s="11" t="inlineStr">
        <is>
          <t>包负责人</t>
        </is>
      </c>
      <c r="CI13" s="7" t="inlineStr">
        <is>
          <t>全年
薪酬结构
变化标识</t>
        </is>
      </c>
      <c r="CJ13" s="148" t="inlineStr">
        <is>
          <t>拆表标签</t>
        </is>
      </c>
      <c r="CK13" s="149" t="inlineStr">
        <is>
          <t>地区分类</t>
        </is>
      </c>
      <c r="CL13" s="149" t="inlineStr">
        <is>
          <t>国家/地区</t>
        </is>
      </c>
      <c r="CM13" s="149" t="inlineStr">
        <is>
          <t>区域</t>
        </is>
      </c>
      <c r="CN13" s="80" t="inlineStr">
        <is>
          <t>本币汇率</t>
        </is>
      </c>
      <c r="CO13" s="7" t="inlineStr">
        <is>
          <t>离职/调动
标签</t>
        </is>
      </c>
      <c r="CP13" s="80" t="inlineStr">
        <is>
          <t>组织标签</t>
        </is>
      </c>
      <c r="CQ13" s="80" t="inlineStr">
        <is>
          <t>绩效标签</t>
        </is>
      </c>
      <c r="CR13" s="80" t="inlineStr">
        <is>
          <t>职级标签</t>
        </is>
      </c>
      <c r="CS13" s="142" t="inlineStr">
        <is>
          <t>梯队标签</t>
        </is>
      </c>
      <c r="CT13" s="142" t="inlineStr">
        <is>
          <t>试点体系标签</t>
        </is>
      </c>
      <c r="CU13" s="151" t="inlineStr">
        <is>
          <t>是否阳光行为违规</t>
        </is>
      </c>
      <c r="CV13" s="152" t="inlineStr">
        <is>
          <t>绩效综合G且业绩/行为评级U</t>
        </is>
      </c>
      <c r="CW13" s="80" t="inlineStr">
        <is>
          <t>补充标签2</t>
        </is>
      </c>
      <c r="CX13" s="80" t="inlineStr">
        <is>
          <t>补充标签3</t>
        </is>
      </c>
      <c r="CY13" s="71" t="inlineStr">
        <is>
          <t>补充标签4</t>
        </is>
      </c>
      <c r="CZ13" s="71" t="inlineStr">
        <is>
          <t>补充标签5</t>
        </is>
      </c>
      <c r="DA13" s="71" t="inlineStr">
        <is>
          <t>补充标签6</t>
        </is>
      </c>
      <c r="DB13" s="71" t="inlineStr">
        <is>
          <t>补充标签7</t>
        </is>
      </c>
      <c r="DC13" s="71" t="inlineStr">
        <is>
          <t>补充标签8</t>
        </is>
      </c>
    </row>
    <row r="14" ht="15" customFormat="1" customHeight="1" s="42">
      <c r="A14" s="43" t="inlineStr">
        <is>
          <t>edwardXu(徐帆国)</t>
        </is>
      </c>
      <c r="B14" s="43" t="n"/>
      <c r="C14" s="43" t="n">
        <v>57792341</v>
      </c>
      <c r="D14" s="43" t="inlineStr">
        <is>
          <t>风险管理和内部控制</t>
        </is>
      </c>
      <c r="E14" s="43" t="inlineStr">
        <is>
          <t>WXG风控中心</t>
        </is>
      </c>
      <c r="F14" s="43" t="n"/>
      <c r="G14" s="44" t="inlineStr">
        <is>
          <t>S2职能系统－财经线/风险管理和内部控制/WXG风控中心</t>
        </is>
      </c>
      <c r="H14" s="179" t="n">
        <v>39707</v>
      </c>
      <c r="I14" s="43" t="inlineStr">
        <is>
          <t>社会招聘</t>
        </is>
      </c>
      <c r="J14" s="43" t="inlineStr">
        <is>
          <t>财经类－FN</t>
        </is>
      </c>
      <c r="K14" s="43" t="inlineStr">
        <is>
          <t>风险管理</t>
        </is>
      </c>
      <c r="L14" s="46" t="inlineStr">
        <is>
          <t>S9</t>
        </is>
      </c>
      <c r="M14" s="46" t="n"/>
      <c r="N14" s="43" t="inlineStr">
        <is>
          <t>T1#</t>
        </is>
      </c>
      <c r="O14" s="43" t="n"/>
      <c r="P14" s="180" t="n"/>
      <c r="Q14" s="44" t="inlineStr">
        <is>
          <t>U,G</t>
        </is>
      </c>
      <c r="R14" s="44" t="n"/>
      <c r="S14" s="43" t="n"/>
      <c r="T14" s="180" t="n"/>
      <c r="U14" s="1" t="n">
        <v>34220.45</v>
      </c>
      <c r="V14" s="108" t="n">
        <v>0.083333</v>
      </c>
      <c r="W14" s="46" t="inlineStr">
        <is>
          <t>CNY</t>
        </is>
      </c>
      <c r="X14" s="181" t="n">
        <v>1</v>
      </c>
      <c r="Y14" s="1" t="n">
        <v>32767.06</v>
      </c>
      <c r="Z14" s="1" t="n">
        <v>0</v>
      </c>
      <c r="AA14" s="1" t="n">
        <v>34220.45</v>
      </c>
      <c r="AB14" s="1" t="n"/>
      <c r="AC14" s="48" t="n"/>
      <c r="AD14" s="1" t="n"/>
      <c r="AE14" s="48" t="n"/>
      <c r="AF14" s="1" t="n">
        <v>0</v>
      </c>
      <c r="AG14" s="1" t="n">
        <v>147200.45</v>
      </c>
      <c r="AH14" s="182" t="n">
        <v>4.492330102242923</v>
      </c>
      <c r="AI14" s="1" t="n"/>
      <c r="AJ14" s="183" t="n">
        <v>4.492330102242923</v>
      </c>
      <c r="AK14" s="183" t="n">
        <v>4.492330102242923</v>
      </c>
      <c r="AL14" s="108" t="n"/>
      <c r="AM14" s="183" t="n"/>
      <c r="AN14" s="183" t="n"/>
      <c r="AO14" s="1" t="n"/>
      <c r="AP14" s="48" t="n"/>
      <c r="AQ14" s="1" t="n">
        <v>147200.45</v>
      </c>
      <c r="AR14" s="183" t="n">
        <v>4.492330102242923</v>
      </c>
      <c r="AS14" s="98" t="n">
        <v>0.6476042674879015</v>
      </c>
      <c r="AT14" s="183" t="n"/>
      <c r="AU14" s="1" t="n"/>
      <c r="AV14" s="48" t="n"/>
      <c r="AW14" s="1" t="n"/>
      <c r="AX14" s="48" t="n"/>
      <c r="AY14" s="1" t="n"/>
      <c r="AZ14" s="48" t="n"/>
      <c r="BA14" s="51" t="n"/>
      <c r="BB14" s="180" t="n"/>
      <c r="BC14" s="1" t="n"/>
      <c r="BD14" s="1" t="n"/>
      <c r="BE14" s="180" t="n"/>
      <c r="BF14" s="1" t="n"/>
      <c r="BG14" s="1" t="n"/>
      <c r="BH14" s="1" t="n"/>
      <c r="BI14" s="1" t="n"/>
      <c r="BJ14" s="52" t="n"/>
      <c r="BK14" s="52" t="n"/>
      <c r="BL14" s="184" t="n">
        <v>1</v>
      </c>
      <c r="BM14" s="1" t="n">
        <v>30610</v>
      </c>
      <c r="BN14" s="1" t="n">
        <v>0</v>
      </c>
      <c r="BO14" s="1" t="n">
        <v>33125</v>
      </c>
      <c r="BP14" s="43" t="inlineStr">
        <is>
          <t>G,G</t>
        </is>
      </c>
      <c r="BQ14" s="43" t="inlineStr">
        <is>
          <t>T1#</t>
        </is>
      </c>
      <c r="BR14" s="1" t="n"/>
      <c r="BS14" s="185" t="n">
        <v>5.927638026788631</v>
      </c>
      <c r="BT14" s="1" t="n">
        <v>45855</v>
      </c>
      <c r="BU14" s="1" t="n"/>
      <c r="BV14" s="54" t="n">
        <v>7.425677883044757</v>
      </c>
      <c r="BW14" s="54" t="n"/>
      <c r="BX14" s="1" t="n"/>
      <c r="BY14" s="1" t="n">
        <v>227300</v>
      </c>
      <c r="BZ14" s="54" t="n">
        <v>7.425677883044757</v>
      </c>
      <c r="CA14" s="54" t="n"/>
      <c r="CB14" s="186" t="n"/>
      <c r="CC14" s="186" t="n"/>
      <c r="CD14" s="186" t="n"/>
      <c r="CE14" s="52" t="n"/>
      <c r="CF14" s="52" t="n"/>
      <c r="CG14" s="43" t="n"/>
      <c r="CH14" s="43" t="n"/>
      <c r="CI14" s="43" t="n"/>
      <c r="CJ14" s="43" t="n"/>
      <c r="CK14" s="43" t="n"/>
      <c r="CL14" s="43" t="n"/>
      <c r="CM14" s="43" t="n"/>
      <c r="CN14" s="43" t="n"/>
      <c r="CO14" s="43" t="n"/>
      <c r="CP14" s="43" t="inlineStr">
        <is>
          <t>风险管理和内部控制</t>
        </is>
      </c>
      <c r="CQ14" s="43" t="inlineStr">
        <is>
          <t>3,1</t>
        </is>
      </c>
      <c r="CR14" s="43" t="n">
        <v>9</v>
      </c>
      <c r="CS14" s="43" t="inlineStr">
        <is>
          <t>T1#</t>
        </is>
      </c>
      <c r="CT14" s="187" t="inlineStr">
        <is>
          <t>N</t>
        </is>
      </c>
      <c r="CU14" s="187" t="n"/>
      <c r="CV14" s="187" t="n"/>
      <c r="CW14" s="1" t="n"/>
      <c r="CX14" s="1" t="n"/>
      <c r="CY14" s="1" t="n"/>
      <c r="CZ14" s="1" t="n"/>
      <c r="DA14" s="1" t="n"/>
      <c r="DB14" s="1" t="n"/>
      <c r="DC14" s="1" t="n"/>
    </row>
    <row r="15" ht="15" customFormat="1" customHeight="1" s="42">
      <c r="A15" s="43" t="inlineStr">
        <is>
          <t>savannahZhong(钟倩思)</t>
        </is>
      </c>
      <c r="B15" s="43" t="n"/>
      <c r="C15" s="43" t="n">
        <v>78647818</v>
      </c>
      <c r="D15" s="43" t="inlineStr">
        <is>
          <t>审计监察</t>
        </is>
      </c>
      <c r="E15" s="43" t="inlineStr">
        <is>
          <t>金融审计组</t>
        </is>
      </c>
      <c r="F15" s="43" t="n"/>
      <c r="G15" s="44" t="inlineStr">
        <is>
          <t>S2职能系统－财经线/审计监察/金融审计组</t>
        </is>
      </c>
      <c r="H15" s="179" t="n">
        <v>45139</v>
      </c>
      <c r="I15" s="43" t="inlineStr">
        <is>
          <t>高校招聘</t>
        </is>
      </c>
      <c r="J15" s="43" t="inlineStr">
        <is>
          <t>财经类－FN</t>
        </is>
      </c>
      <c r="K15" s="43" t="inlineStr">
        <is>
          <t>风险管理</t>
        </is>
      </c>
      <c r="L15" s="46" t="inlineStr">
        <is>
          <t>S5</t>
        </is>
      </c>
      <c r="M15" s="46" t="n"/>
      <c r="N15" s="43" t="inlineStr">
        <is>
          <t>T1#</t>
        </is>
      </c>
      <c r="O15" s="43" t="n"/>
      <c r="P15" s="180" t="n"/>
      <c r="Q15" s="44" t="inlineStr">
        <is>
          <t>G,U</t>
        </is>
      </c>
      <c r="R15" s="44" t="n"/>
      <c r="S15" s="43" t="n"/>
      <c r="T15" s="180" t="n"/>
      <c r="U15" s="1" t="n">
        <v>23014.25</v>
      </c>
      <c r="V15" s="108" t="n">
        <v>0.083333</v>
      </c>
      <c r="W15" s="46" t="inlineStr">
        <is>
          <t>CNY</t>
        </is>
      </c>
      <c r="X15" s="181" t="n">
        <v>1</v>
      </c>
      <c r="Y15" s="1" t="n">
        <v>21659.73</v>
      </c>
      <c r="Z15" s="1" t="n">
        <v>0</v>
      </c>
      <c r="AA15" s="1" t="n">
        <v>69042.75</v>
      </c>
      <c r="AB15" s="1" t="n"/>
      <c r="AC15" s="48" t="n"/>
      <c r="AD15" s="1" t="n"/>
      <c r="AE15" s="48" t="n"/>
      <c r="AF15" s="1" t="n">
        <v>0</v>
      </c>
      <c r="AG15" s="1" t="n">
        <v>169102.75</v>
      </c>
      <c r="AH15" s="182" t="n">
        <v>7.807241826190816</v>
      </c>
      <c r="AI15" s="1" t="n"/>
      <c r="AJ15" s="183" t="n">
        <v>7.807241826190816</v>
      </c>
      <c r="AK15" s="183" t="n">
        <v>6.657873851613109</v>
      </c>
      <c r="AL15" s="108" t="n"/>
      <c r="AM15" s="183" t="n"/>
      <c r="AN15" s="183" t="n"/>
      <c r="AO15" s="1" t="n"/>
      <c r="AP15" s="48" t="n"/>
      <c r="AQ15" s="1" t="n">
        <v>169102.75</v>
      </c>
      <c r="AR15" s="183" t="n">
        <v>7.807241826190816</v>
      </c>
      <c r="AS15" s="98" t="n">
        <v>21.65208066581306</v>
      </c>
      <c r="AT15" s="183" t="n"/>
      <c r="AU15" s="1" t="n"/>
      <c r="AV15" s="48" t="n"/>
      <c r="AW15" s="1" t="n"/>
      <c r="AX15" s="48" t="n"/>
      <c r="AY15" s="1" t="n"/>
      <c r="AZ15" s="48" t="n"/>
      <c r="BA15" s="51" t="n"/>
      <c r="BB15" s="180" t="n"/>
      <c r="BC15" s="1" t="n"/>
      <c r="BD15" s="1" t="n"/>
      <c r="BE15" s="180" t="n"/>
      <c r="BF15" s="1" t="n"/>
      <c r="BG15" s="1" t="n"/>
      <c r="BH15" s="1" t="n"/>
      <c r="BI15" s="1" t="n"/>
      <c r="BJ15" s="52" t="n"/>
      <c r="BK15" s="52" t="n"/>
      <c r="BL15" s="184" t="n">
        <v>0.416438356164383</v>
      </c>
      <c r="BM15" s="1" t="n">
        <v>18765</v>
      </c>
      <c r="BN15" s="1" t="n">
        <v>0</v>
      </c>
      <c r="BO15" s="1" t="n">
        <v>18765</v>
      </c>
      <c r="BP15" s="43" t="inlineStr">
        <is>
          <t>N,G</t>
        </is>
      </c>
      <c r="BQ15" s="43" t="inlineStr">
        <is>
          <t>T1#</t>
        </is>
      </c>
      <c r="BR15" s="1" t="n"/>
      <c r="BS15" s="185" t="n">
        <v>0.4162003730349054</v>
      </c>
      <c r="BT15" s="1" t="n">
        <v>0</v>
      </c>
      <c r="BU15" s="1" t="n"/>
      <c r="BV15" s="54" t="n">
        <v>0.4162003730349054</v>
      </c>
      <c r="BW15" s="54" t="n"/>
      <c r="BX15" s="1" t="n"/>
      <c r="BY15" s="1" t="n">
        <v>7810</v>
      </c>
      <c r="BZ15" s="54" t="n">
        <v>0.4162003730349054</v>
      </c>
      <c r="CA15" s="54" t="n"/>
      <c r="CB15" s="186" t="n"/>
      <c r="CC15" s="186" t="n"/>
      <c r="CD15" s="186" t="n"/>
      <c r="CE15" s="52" t="n"/>
      <c r="CF15" s="52" t="n"/>
      <c r="CG15" s="43" t="n"/>
      <c r="CH15" s="43" t="n"/>
      <c r="CI15" s="43" t="n"/>
      <c r="CJ15" s="43" t="n"/>
      <c r="CK15" s="43" t="n"/>
      <c r="CL15" s="43" t="n"/>
      <c r="CM15" s="43" t="n"/>
      <c r="CN15" s="43" t="n"/>
      <c r="CO15" s="43" t="n"/>
      <c r="CP15" s="43" t="inlineStr">
        <is>
          <t>审计监察</t>
        </is>
      </c>
      <c r="CQ15" s="43" t="inlineStr">
        <is>
          <t>5,3</t>
        </is>
      </c>
      <c r="CR15" s="43" t="n">
        <v>5</v>
      </c>
      <c r="CS15" s="43" t="inlineStr">
        <is>
          <t>T1#</t>
        </is>
      </c>
      <c r="CT15" s="187" t="inlineStr">
        <is>
          <t>N</t>
        </is>
      </c>
      <c r="CU15" s="187" t="n"/>
      <c r="CV15" s="187" t="n"/>
      <c r="CW15" s="1" t="n"/>
      <c r="CX15" s="1" t="n"/>
      <c r="CY15" s="1" t="n"/>
      <c r="CZ15" s="1" t="n"/>
      <c r="DA15" s="1" t="n"/>
      <c r="DB15" s="1" t="n"/>
      <c r="DC15" s="1" t="n"/>
    </row>
    <row r="16" ht="15" customFormat="1" customHeight="1" s="42">
      <c r="A16" s="43" t="inlineStr">
        <is>
          <t>emmaZheng(郑苑)</t>
        </is>
      </c>
      <c r="B16" s="43" t="n"/>
      <c r="C16" s="43" t="n">
        <v>37559092</v>
      </c>
      <c r="D16" s="43" t="inlineStr">
        <is>
          <t>财会及报告管理部</t>
        </is>
      </c>
      <c r="E16" s="43" t="inlineStr">
        <is>
          <t>应收管理中心</t>
        </is>
      </c>
      <c r="F16" s="43" t="n"/>
      <c r="G16" s="44" t="inlineStr">
        <is>
          <t>S2职能系统－财经线/财会及报告管理部/应收管理中心</t>
        </is>
      </c>
      <c r="H16" s="179" t="n">
        <v>41779</v>
      </c>
      <c r="I16" s="43" t="inlineStr">
        <is>
          <t>社会招聘</t>
        </is>
      </c>
      <c r="J16" s="43" t="inlineStr">
        <is>
          <t>财经类－FN</t>
        </is>
      </c>
      <c r="K16" s="43" t="inlineStr">
        <is>
          <t>会计</t>
        </is>
      </c>
      <c r="L16" s="46" t="inlineStr">
        <is>
          <t>S11</t>
        </is>
      </c>
      <c r="M16" s="46" t="n"/>
      <c r="N16" s="43" t="inlineStr">
        <is>
          <t>T1#</t>
        </is>
      </c>
      <c r="O16" s="43" t="n"/>
      <c r="P16" s="180" t="n"/>
      <c r="Q16" s="44" t="inlineStr">
        <is>
          <t>G,G</t>
        </is>
      </c>
      <c r="R16" s="44" t="n"/>
      <c r="S16" s="43" t="n"/>
      <c r="T16" s="180" t="n"/>
      <c r="U16" s="1" t="n">
        <v>53212.6</v>
      </c>
      <c r="V16" s="108" t="n">
        <v>0.083333</v>
      </c>
      <c r="W16" s="46" t="inlineStr">
        <is>
          <t>CNY</t>
        </is>
      </c>
      <c r="X16" s="181" t="n">
        <v>1</v>
      </c>
      <c r="Y16" s="1" t="n">
        <v>50216.55</v>
      </c>
      <c r="Z16" s="1" t="n">
        <v>0</v>
      </c>
      <c r="AA16" s="1" t="n">
        <v>106425.2</v>
      </c>
      <c r="AB16" s="1" t="n"/>
      <c r="AC16" s="48" t="n"/>
      <c r="AD16" s="1" t="n"/>
      <c r="AE16" s="48" t="n"/>
      <c r="AF16" s="1" t="n">
        <v>0</v>
      </c>
      <c r="AG16" s="1" t="n">
        <v>340800.2</v>
      </c>
      <c r="AH16" s="182" t="n">
        <v>6.786611186949322</v>
      </c>
      <c r="AI16" s="1" t="n"/>
      <c r="AJ16" s="183" t="n">
        <v>6.786611186949322</v>
      </c>
      <c r="AK16" s="183" t="n">
        <v>5.43715567875531</v>
      </c>
      <c r="AL16" s="108" t="n"/>
      <c r="AM16" s="183" t="n"/>
      <c r="AN16" s="183" t="n"/>
      <c r="AO16" s="1" t="n"/>
      <c r="AP16" s="48" t="n"/>
      <c r="AQ16" s="1" t="n">
        <v>340800.2</v>
      </c>
      <c r="AR16" s="183" t="n">
        <v>6.786611186949322</v>
      </c>
      <c r="AS16" s="98" t="n">
        <v>1.057367751543545</v>
      </c>
      <c r="AT16" s="183" t="n"/>
      <c r="AU16" s="1" t="n"/>
      <c r="AV16" s="48" t="n"/>
      <c r="AW16" s="1" t="n"/>
      <c r="AX16" s="48" t="n"/>
      <c r="AY16" s="1" t="n"/>
      <c r="AZ16" s="48" t="n"/>
      <c r="BA16" s="51" t="n"/>
      <c r="BB16" s="180" t="n"/>
      <c r="BC16" s="1" t="n"/>
      <c r="BD16" s="1" t="n"/>
      <c r="BE16" s="180" t="n"/>
      <c r="BF16" s="1" t="n"/>
      <c r="BG16" s="1" t="n"/>
      <c r="BH16" s="1" t="n"/>
      <c r="BI16" s="1" t="n"/>
      <c r="BJ16" s="52" t="n"/>
      <c r="BK16" s="52" t="n"/>
      <c r="BL16" s="184" t="n">
        <v>1</v>
      </c>
      <c r="BM16" s="1" t="n">
        <v>44240</v>
      </c>
      <c r="BN16" s="1" t="n">
        <v>0</v>
      </c>
      <c r="BO16" s="1" t="n">
        <v>46890</v>
      </c>
      <c r="BP16" s="43" t="inlineStr">
        <is>
          <t>G,G</t>
        </is>
      </c>
      <c r="BQ16" s="43" t="inlineStr">
        <is>
          <t>T1#</t>
        </is>
      </c>
      <c r="BR16" s="1" t="n"/>
      <c r="BS16" s="185" t="n">
        <v>5.326401446654611</v>
      </c>
      <c r="BT16" s="1" t="n">
        <v>86670</v>
      </c>
      <c r="BU16" s="1" t="n"/>
      <c r="BV16" s="54" t="n">
        <v>7.285488245931284</v>
      </c>
      <c r="BW16" s="54" t="n"/>
      <c r="BX16" s="1" t="n"/>
      <c r="BY16" s="1" t="n">
        <v>322310</v>
      </c>
      <c r="BZ16" s="54" t="n">
        <v>7.285488245931284</v>
      </c>
      <c r="CA16" s="54" t="n"/>
      <c r="CB16" s="186" t="n"/>
      <c r="CC16" s="186" t="n"/>
      <c r="CD16" s="186" t="n"/>
      <c r="CE16" s="52" t="n"/>
      <c r="CF16" s="52" t="n"/>
      <c r="CG16" s="43" t="n"/>
      <c r="CH16" s="43" t="n"/>
      <c r="CI16" s="43" t="n"/>
      <c r="CJ16" s="43" t="n"/>
      <c r="CK16" s="43" t="n"/>
      <c r="CL16" s="43" t="n"/>
      <c r="CM16" s="43" t="n"/>
      <c r="CN16" s="43" t="n"/>
      <c r="CO16" s="43" t="n"/>
      <c r="CP16" s="43" t="inlineStr">
        <is>
          <t>财会及报告管理部</t>
        </is>
      </c>
      <c r="CQ16" s="43" t="inlineStr">
        <is>
          <t>3,3</t>
        </is>
      </c>
      <c r="CR16" s="43" t="n">
        <v>11</v>
      </c>
      <c r="CS16" s="43" t="inlineStr">
        <is>
          <t>T1#</t>
        </is>
      </c>
      <c r="CT16" s="187" t="inlineStr">
        <is>
          <t>N</t>
        </is>
      </c>
      <c r="CU16" s="187" t="n"/>
      <c r="CV16" s="187" t="n"/>
      <c r="CW16" s="1" t="n"/>
      <c r="CX16" s="1" t="n"/>
      <c r="CY16" s="1" t="n"/>
      <c r="CZ16" s="1" t="n"/>
      <c r="DA16" s="1" t="n"/>
      <c r="DB16" s="1" t="n"/>
      <c r="DC16" s="1" t="n"/>
    </row>
    <row r="17" ht="15" customFormat="1" customHeight="1" s="42">
      <c r="A17" s="43" t="inlineStr">
        <is>
          <t>edwardJia(贾平华)</t>
        </is>
      </c>
      <c r="B17" s="43" t="n"/>
      <c r="C17" s="43" t="n">
        <v>14198066</v>
      </c>
      <c r="D17" s="43" t="inlineStr">
        <is>
          <t>FiT财务管理</t>
        </is>
      </c>
      <c r="E17" s="43" t="inlineStr">
        <is>
          <t>业务支持与分析中心</t>
        </is>
      </c>
      <c r="F17" s="43" t="n"/>
      <c r="G17" s="44" t="inlineStr">
        <is>
          <t>S2职能系统－财经线/FiT财务管理/业务支持与分析中心</t>
        </is>
      </c>
      <c r="H17" s="179" t="n">
        <v>37710</v>
      </c>
      <c r="I17" s="43" t="inlineStr">
        <is>
          <t>社会招聘</t>
        </is>
      </c>
      <c r="J17" s="43" t="inlineStr">
        <is>
          <t>财经类－FN</t>
        </is>
      </c>
      <c r="K17" s="43" t="inlineStr">
        <is>
          <t>财务管理</t>
        </is>
      </c>
      <c r="L17" s="46" t="inlineStr">
        <is>
          <t>S6</t>
        </is>
      </c>
      <c r="M17" s="46" t="n"/>
      <c r="N17" s="43" t="inlineStr">
        <is>
          <t>T1</t>
        </is>
      </c>
      <c r="O17" s="43" t="n"/>
      <c r="P17" s="180" t="n"/>
      <c r="Q17" s="44" t="inlineStr">
        <is>
          <t>O,G</t>
        </is>
      </c>
      <c r="R17" s="44" t="n"/>
      <c r="S17" s="43" t="n"/>
      <c r="T17" s="180" t="n"/>
      <c r="U17" s="1" t="n">
        <v>27937.2</v>
      </c>
      <c r="V17" s="108" t="n">
        <v>0.083333</v>
      </c>
      <c r="W17" s="46" t="inlineStr">
        <is>
          <t>CNY</t>
        </is>
      </c>
      <c r="X17" s="181" t="n">
        <v>1</v>
      </c>
      <c r="Y17" s="1" t="n">
        <v>26626.57</v>
      </c>
      <c r="Z17" s="1" t="n">
        <v>0</v>
      </c>
      <c r="AA17" s="1" t="n">
        <v>111748.8</v>
      </c>
      <c r="AB17" s="1" t="n"/>
      <c r="AC17" s="48" t="n"/>
      <c r="AD17" s="1" t="n"/>
      <c r="AE17" s="48" t="n"/>
      <c r="AF17" s="1" t="n">
        <v>0</v>
      </c>
      <c r="AG17" s="1" t="n">
        <v>222923.8</v>
      </c>
      <c r="AH17" s="182" t="n">
        <v>8.372231196132285</v>
      </c>
      <c r="AI17" s="1" t="n"/>
      <c r="AJ17" s="183" t="n">
        <v>8.372231196132285</v>
      </c>
      <c r="AK17" s="183" t="n">
        <v>6.774766708592207</v>
      </c>
      <c r="AL17" s="108" t="n"/>
      <c r="AM17" s="183" t="n"/>
      <c r="AN17" s="183" t="n"/>
      <c r="AO17" s="1" t="n"/>
      <c r="AP17" s="48" t="n"/>
      <c r="AQ17" s="1" t="n">
        <v>222923.8</v>
      </c>
      <c r="AR17" s="183" t="n">
        <v>8.372231196132285</v>
      </c>
      <c r="AS17" s="98" t="n">
        <v>1.688496875591744</v>
      </c>
      <c r="AT17" s="183" t="n"/>
      <c r="AU17" s="1" t="n"/>
      <c r="AV17" s="48" t="n"/>
      <c r="AW17" s="1" t="n"/>
      <c r="AX17" s="48" t="n"/>
      <c r="AY17" s="1" t="n"/>
      <c r="AZ17" s="48" t="n"/>
      <c r="BA17" s="51" t="n"/>
      <c r="BB17" s="180" t="n"/>
      <c r="BC17" s="1" t="n"/>
      <c r="BD17" s="1" t="n"/>
      <c r="BE17" s="180" t="n"/>
      <c r="BF17" s="1" t="n"/>
      <c r="BG17" s="1" t="n"/>
      <c r="BH17" s="1" t="n"/>
      <c r="BI17" s="1" t="n"/>
      <c r="BJ17" s="52" t="n"/>
      <c r="BK17" s="52" t="n"/>
      <c r="BL17" s="184" t="n">
        <v>1</v>
      </c>
      <c r="BM17" s="1" t="n">
        <v>23850</v>
      </c>
      <c r="BN17" s="1" t="n">
        <v>0</v>
      </c>
      <c r="BO17" s="1" t="n">
        <v>25715</v>
      </c>
      <c r="BP17" s="43" t="inlineStr">
        <is>
          <t>G,G</t>
        </is>
      </c>
      <c r="BQ17" s="43" t="inlineStr">
        <is>
          <t>T1</t>
        </is>
      </c>
      <c r="BR17" s="1" t="n"/>
      <c r="BS17" s="185" t="n">
        <v>3.388888888888889</v>
      </c>
      <c r="BT17" s="1" t="n">
        <v>51200</v>
      </c>
      <c r="BU17" s="1" t="n"/>
      <c r="BV17" s="54" t="n">
        <v>5.535639412997903</v>
      </c>
      <c r="BW17" s="54" t="n"/>
      <c r="BX17" s="1" t="n"/>
      <c r="BY17" s="1" t="n">
        <v>132025</v>
      </c>
      <c r="BZ17" s="54" t="n">
        <v>5.535639412997903</v>
      </c>
      <c r="CA17" s="54" t="n"/>
      <c r="CB17" s="186" t="n"/>
      <c r="CC17" s="186" t="n"/>
      <c r="CD17" s="186" t="n"/>
      <c r="CE17" s="52" t="n"/>
      <c r="CF17" s="52" t="n"/>
      <c r="CG17" s="43" t="n"/>
      <c r="CH17" s="43" t="n"/>
      <c r="CI17" s="43" t="n"/>
      <c r="CJ17" s="43" t="n"/>
      <c r="CK17" s="43" t="n"/>
      <c r="CL17" s="43" t="n"/>
      <c r="CM17" s="43" t="n"/>
      <c r="CN17" s="43" t="n"/>
      <c r="CO17" s="43" t="n"/>
      <c r="CP17" s="43" t="inlineStr">
        <is>
          <t>FiT财务管理</t>
        </is>
      </c>
      <c r="CQ17" s="43" t="inlineStr">
        <is>
          <t>5,5</t>
        </is>
      </c>
      <c r="CR17" s="43" t="n">
        <v>6</v>
      </c>
      <c r="CS17" s="43" t="inlineStr">
        <is>
          <t>T1</t>
        </is>
      </c>
      <c r="CT17" s="187" t="inlineStr">
        <is>
          <t>N</t>
        </is>
      </c>
      <c r="CU17" s="187" t="n"/>
      <c r="CV17" s="187" t="n"/>
      <c r="CW17" s="1" t="n"/>
      <c r="CX17" s="1" t="n"/>
      <c r="CY17" s="1" t="n"/>
      <c r="CZ17" s="1" t="n"/>
      <c r="DA17" s="1" t="n"/>
      <c r="DB17" s="1" t="n"/>
      <c r="DC17" s="1" t="n"/>
    </row>
    <row r="18" ht="15" customFormat="1" customHeight="1" s="42">
      <c r="A18" s="43" t="inlineStr">
        <is>
          <t>patrickJiang(姜彪国)</t>
        </is>
      </c>
      <c r="B18" s="43" t="n"/>
      <c r="C18" s="43" t="n">
        <v>1336290</v>
      </c>
      <c r="D18" s="43" t="inlineStr">
        <is>
          <t>风险管理和内部控制</t>
        </is>
      </c>
      <c r="E18" s="43" t="inlineStr">
        <is>
          <t>CSIG风控中心</t>
        </is>
      </c>
      <c r="F18" s="43" t="n"/>
      <c r="G18" s="44" t="inlineStr">
        <is>
          <t>S2职能系统－财经线/风险管理和内部控制/CSIG风控中心</t>
        </is>
      </c>
      <c r="H18" s="179" t="n">
        <v>42286</v>
      </c>
      <c r="I18" s="43" t="inlineStr">
        <is>
          <t>社会招聘</t>
        </is>
      </c>
      <c r="J18" s="43" t="inlineStr">
        <is>
          <t>财经类－FN</t>
        </is>
      </c>
      <c r="K18" s="43" t="inlineStr">
        <is>
          <t>风险管理</t>
        </is>
      </c>
      <c r="L18" s="46" t="inlineStr">
        <is>
          <t>S9</t>
        </is>
      </c>
      <c r="M18" s="46" t="n"/>
      <c r="N18" s="43" t="inlineStr">
        <is>
          <t>T1</t>
        </is>
      </c>
      <c r="O18" s="43" t="n"/>
      <c r="P18" s="180" t="n"/>
      <c r="Q18" s="44" t="inlineStr">
        <is>
          <t>O,G</t>
        </is>
      </c>
      <c r="R18" s="44" t="n"/>
      <c r="S18" s="43" t="n"/>
      <c r="T18" s="180" t="n"/>
      <c r="U18" s="1" t="n">
        <v>54594.65</v>
      </c>
      <c r="V18" s="108" t="n">
        <v>0.083333</v>
      </c>
      <c r="W18" s="46" t="inlineStr">
        <is>
          <t>CNY</t>
        </is>
      </c>
      <c r="X18" s="181" t="n">
        <v>1</v>
      </c>
      <c r="Y18" s="1" t="n">
        <v>53257.31</v>
      </c>
      <c r="Z18" s="1" t="n">
        <v>0</v>
      </c>
      <c r="AA18" s="1" t="n">
        <v>109189.3</v>
      </c>
      <c r="AB18" s="1" t="n"/>
      <c r="AC18" s="48" t="n"/>
      <c r="AD18" s="1" t="n"/>
      <c r="AE18" s="48" t="n"/>
      <c r="AF18" s="1" t="n">
        <v>0</v>
      </c>
      <c r="AG18" s="1" t="n">
        <v>315779.3</v>
      </c>
      <c r="AH18" s="182" t="n">
        <v>5.929313741155909</v>
      </c>
      <c r="AI18" s="1" t="n"/>
      <c r="AJ18" s="183" t="n">
        <v>5.929313741155909</v>
      </c>
      <c r="AK18" s="183" t="n">
        <v>4.495801609206323</v>
      </c>
      <c r="AL18" s="108" t="n"/>
      <c r="AM18" s="183" t="n"/>
      <c r="AN18" s="183" t="n"/>
      <c r="AO18" s="1" t="n"/>
      <c r="AP18" s="48" t="n"/>
      <c r="AQ18" s="1" t="n">
        <v>315779.3</v>
      </c>
      <c r="AR18" s="183" t="n">
        <v>5.929313741155909</v>
      </c>
      <c r="AS18" s="98" t="n">
        <v>1.389751342311416</v>
      </c>
      <c r="AT18" s="183" t="n"/>
      <c r="AU18" s="1" t="n"/>
      <c r="AV18" s="48" t="n"/>
      <c r="AW18" s="1" t="n"/>
      <c r="AX18" s="48" t="n"/>
      <c r="AY18" s="1" t="n"/>
      <c r="AZ18" s="48" t="n"/>
      <c r="BA18" s="51" t="n"/>
      <c r="BB18" s="180" t="n"/>
      <c r="BC18" s="1" t="n"/>
      <c r="BD18" s="1" t="n"/>
      <c r="BE18" s="180" t="n"/>
      <c r="BF18" s="1" t="n"/>
      <c r="BG18" s="1" t="n"/>
      <c r="BH18" s="1" t="n"/>
      <c r="BI18" s="1" t="n"/>
      <c r="BJ18" s="52" t="n"/>
      <c r="BK18" s="52" t="n"/>
      <c r="BL18" s="184" t="n">
        <v>1</v>
      </c>
      <c r="BM18" s="1" t="n">
        <v>45345</v>
      </c>
      <c r="BN18" s="1" t="n">
        <v>0</v>
      </c>
      <c r="BO18" s="1" t="n">
        <v>49295</v>
      </c>
      <c r="BP18" s="43" t="inlineStr">
        <is>
          <t>G,G</t>
        </is>
      </c>
      <c r="BQ18" s="43" t="inlineStr">
        <is>
          <t>T1</t>
        </is>
      </c>
      <c r="BR18" s="1" t="n"/>
      <c r="BS18" s="185" t="n">
        <v>3.435108611754328</v>
      </c>
      <c r="BT18" s="1" t="n">
        <v>71455</v>
      </c>
      <c r="BU18" s="1" t="n"/>
      <c r="BV18" s="54" t="n">
        <v>5.010916308303011</v>
      </c>
      <c r="BW18" s="54" t="n"/>
      <c r="BX18" s="1" t="n"/>
      <c r="BY18" s="1" t="n">
        <v>227220</v>
      </c>
      <c r="BZ18" s="54" t="n">
        <v>5.010916308303011</v>
      </c>
      <c r="CA18" s="54" t="n"/>
      <c r="CB18" s="186" t="n"/>
      <c r="CC18" s="186" t="n"/>
      <c r="CD18" s="186" t="n"/>
      <c r="CE18" s="52" t="n"/>
      <c r="CF18" s="52" t="n"/>
      <c r="CG18" s="43" t="n"/>
      <c r="CH18" s="43" t="n"/>
      <c r="CI18" s="43" t="n"/>
      <c r="CJ18" s="43" t="n"/>
      <c r="CK18" s="43" t="n"/>
      <c r="CL18" s="43" t="n"/>
      <c r="CM18" s="43" t="n"/>
      <c r="CN18" s="43" t="n"/>
      <c r="CO18" s="43" t="n"/>
      <c r="CP18" s="43" t="inlineStr">
        <is>
          <t>风险管理和内部控制</t>
        </is>
      </c>
      <c r="CQ18" s="43" t="inlineStr">
        <is>
          <t>3,3</t>
        </is>
      </c>
      <c r="CR18" s="43" t="n">
        <v>9</v>
      </c>
      <c r="CS18" s="43" t="inlineStr">
        <is>
          <t>T1</t>
        </is>
      </c>
      <c r="CT18" s="187" t="inlineStr">
        <is>
          <t>N</t>
        </is>
      </c>
      <c r="CU18" s="187" t="n"/>
      <c r="CV18" s="187" t="n"/>
      <c r="CW18" s="1" t="n"/>
      <c r="CX18" s="1" t="n"/>
      <c r="CY18" s="1" t="n"/>
      <c r="CZ18" s="1" t="n"/>
      <c r="DA18" s="1" t="n"/>
      <c r="DB18" s="1" t="n"/>
      <c r="DC18" s="1" t="n"/>
    </row>
    <row r="19" ht="15" customFormat="1" customHeight="1" s="42">
      <c r="A19" s="43" t="inlineStr">
        <is>
          <t>chloeLin(林琴悦)</t>
        </is>
      </c>
      <c r="B19" s="43" t="n"/>
      <c r="C19" s="43" t="n">
        <v>2185561</v>
      </c>
      <c r="D19" s="43" t="inlineStr">
        <is>
          <t>CSIG财务管理</t>
        </is>
      </c>
      <c r="E19" s="43" t="inlineStr">
        <is>
          <t>公线及费用财务管理中心</t>
        </is>
      </c>
      <c r="F19" s="43" t="n"/>
      <c r="G19" s="44" t="inlineStr">
        <is>
          <t>S2职能系统－财经线/CSIG财务管理/公线及费用财务管理中心</t>
        </is>
      </c>
      <c r="H19" s="179" t="n">
        <v>43514</v>
      </c>
      <c r="I19" s="43" t="inlineStr">
        <is>
          <t>社会招聘</t>
        </is>
      </c>
      <c r="J19" s="43" t="inlineStr">
        <is>
          <t>财经类－FN</t>
        </is>
      </c>
      <c r="K19" s="43" t="inlineStr">
        <is>
          <t>财务管理</t>
        </is>
      </c>
      <c r="L19" s="46" t="inlineStr">
        <is>
          <t>S8</t>
        </is>
      </c>
      <c r="M19" s="46" t="n"/>
      <c r="N19" s="43" t="inlineStr">
        <is>
          <t>T1</t>
        </is>
      </c>
      <c r="O19" s="43" t="n"/>
      <c r="P19" s="180" t="n"/>
      <c r="Q19" s="44" t="inlineStr">
        <is>
          <t>O,G</t>
        </is>
      </c>
      <c r="R19" s="44" t="n"/>
      <c r="S19" s="43" t="n"/>
      <c r="T19" s="180" t="n"/>
      <c r="U19" s="1" t="n">
        <v>46114.8</v>
      </c>
      <c r="V19" s="108" t="n">
        <v>0.083333</v>
      </c>
      <c r="W19" s="46" t="inlineStr">
        <is>
          <t>CNY</t>
        </is>
      </c>
      <c r="X19" s="181" t="n">
        <v>1</v>
      </c>
      <c r="Y19" s="1" t="n">
        <v>42227.05</v>
      </c>
      <c r="Z19" s="1" t="n">
        <v>0</v>
      </c>
      <c r="AA19" s="1" t="n">
        <v>138344.4</v>
      </c>
      <c r="AB19" s="1" t="n"/>
      <c r="AC19" s="48" t="n"/>
      <c r="AD19" s="1" t="n"/>
      <c r="AE19" s="48" t="n"/>
      <c r="AF19" s="1" t="n">
        <v>0</v>
      </c>
      <c r="AG19" s="1" t="n">
        <v>315254.4</v>
      </c>
      <c r="AH19" s="182" t="n">
        <v>7.465697935328184</v>
      </c>
      <c r="AI19" s="1" t="n"/>
      <c r="AJ19" s="183" t="n">
        <v>7.465697935328184</v>
      </c>
      <c r="AK19" s="183" t="n">
        <v>5.851211486476085</v>
      </c>
      <c r="AL19" s="108" t="n"/>
      <c r="AM19" s="183" t="n"/>
      <c r="AN19" s="183" t="n"/>
      <c r="AO19" s="1" t="n"/>
      <c r="AP19" s="48" t="n"/>
      <c r="AQ19" s="1" t="n">
        <v>315254.4</v>
      </c>
      <c r="AR19" s="183" t="n">
        <v>7.465697935328184</v>
      </c>
      <c r="AS19" s="98" t="n">
        <v>1.200740430394211</v>
      </c>
      <c r="AT19" s="183" t="n"/>
      <c r="AU19" s="1" t="n"/>
      <c r="AV19" s="48" t="n"/>
      <c r="AW19" s="1" t="n"/>
      <c r="AX19" s="48" t="n"/>
      <c r="AY19" s="1" t="n"/>
      <c r="AZ19" s="48" t="n"/>
      <c r="BA19" s="51" t="n"/>
      <c r="BB19" s="180" t="n"/>
      <c r="BC19" s="1" t="n"/>
      <c r="BD19" s="1" t="n"/>
      <c r="BE19" s="180" t="n"/>
      <c r="BF19" s="1" t="n"/>
      <c r="BG19" s="1" t="n"/>
      <c r="BH19" s="1" t="n"/>
      <c r="BI19" s="1" t="n"/>
      <c r="BJ19" s="52" t="n"/>
      <c r="BK19" s="52" t="n"/>
      <c r="BL19" s="184" t="n">
        <v>1</v>
      </c>
      <c r="BM19" s="1" t="n">
        <v>38825</v>
      </c>
      <c r="BN19" s="1" t="n">
        <v>0</v>
      </c>
      <c r="BO19" s="1" t="n">
        <v>40225</v>
      </c>
      <c r="BP19" s="43" t="inlineStr">
        <is>
          <t>G,G</t>
        </is>
      </c>
      <c r="BQ19" s="43" t="inlineStr">
        <is>
          <t>T1#</t>
        </is>
      </c>
      <c r="BR19" s="1" t="n"/>
      <c r="BS19" s="185" t="n">
        <v>5.626271732131358</v>
      </c>
      <c r="BT19" s="1" t="n">
        <v>44110</v>
      </c>
      <c r="BU19" s="1" t="n"/>
      <c r="BV19" s="54" t="n">
        <v>6.762395363811977</v>
      </c>
      <c r="BW19" s="54" t="n"/>
      <c r="BX19" s="1" t="n"/>
      <c r="BY19" s="1" t="n">
        <v>262550</v>
      </c>
      <c r="BZ19" s="54" t="n">
        <v>6.762395363811977</v>
      </c>
      <c r="CA19" s="54" t="n"/>
      <c r="CB19" s="186" t="n"/>
      <c r="CC19" s="186" t="n"/>
      <c r="CD19" s="186" t="n"/>
      <c r="CE19" s="52" t="n"/>
      <c r="CF19" s="52" t="n"/>
      <c r="CG19" s="43" t="n"/>
      <c r="CH19" s="43" t="n"/>
      <c r="CI19" s="43" t="n"/>
      <c r="CJ19" s="43" t="n"/>
      <c r="CK19" s="43" t="n"/>
      <c r="CL19" s="43" t="n"/>
      <c r="CM19" s="43" t="n"/>
      <c r="CN19" s="43" t="n"/>
      <c r="CO19" s="43" t="n"/>
      <c r="CP19" s="43" t="inlineStr">
        <is>
          <t>CSIG财务管理</t>
        </is>
      </c>
      <c r="CQ19" s="43" t="inlineStr">
        <is>
          <t>5,3</t>
        </is>
      </c>
      <c r="CR19" s="43" t="n">
        <v>8</v>
      </c>
      <c r="CS19" s="43" t="inlineStr">
        <is>
          <t>T1</t>
        </is>
      </c>
      <c r="CT19" s="187" t="inlineStr">
        <is>
          <t>N</t>
        </is>
      </c>
      <c r="CU19" s="187" t="n"/>
      <c r="CV19" s="187" t="n"/>
      <c r="CW19" s="1" t="n"/>
      <c r="CX19" s="1" t="n"/>
      <c r="CY19" s="1" t="n"/>
      <c r="CZ19" s="1" t="n"/>
      <c r="DA19" s="1" t="n"/>
      <c r="DB19" s="1" t="n"/>
      <c r="DC19" s="1" t="n"/>
    </row>
    <row r="20" ht="15" customFormat="1" customHeight="1" s="42">
      <c r="A20" s="43" t="inlineStr">
        <is>
          <t>abigailDong(董璐月)</t>
        </is>
      </c>
      <c r="B20" s="43" t="n"/>
      <c r="C20" s="43" t="n">
        <v>15958390</v>
      </c>
      <c r="D20" s="43" t="inlineStr">
        <is>
          <t>风险管理和内部控制</t>
        </is>
      </c>
      <c r="E20" s="43" t="inlineStr">
        <is>
          <t>IEG风控中心</t>
        </is>
      </c>
      <c r="F20" s="43" t="n"/>
      <c r="G20" s="44" t="inlineStr">
        <is>
          <t>S2职能系统－财经线/风险管理和内部控制/IEG风控中心</t>
        </is>
      </c>
      <c r="H20" s="179" t="n">
        <v>37998</v>
      </c>
      <c r="I20" s="43" t="inlineStr">
        <is>
          <t>高校招聘</t>
        </is>
      </c>
      <c r="J20" s="43" t="inlineStr">
        <is>
          <t>财经类－FN</t>
        </is>
      </c>
      <c r="K20" s="43" t="inlineStr">
        <is>
          <t>风险管理</t>
        </is>
      </c>
      <c r="L20" s="46" t="inlineStr">
        <is>
          <t>S11</t>
        </is>
      </c>
      <c r="M20" s="46" t="n"/>
      <c r="N20" s="43" t="inlineStr">
        <is>
          <t>T1</t>
        </is>
      </c>
      <c r="O20" s="43" t="n"/>
      <c r="P20" s="180" t="n"/>
      <c r="Q20" s="44" t="inlineStr">
        <is>
          <t>G,O</t>
        </is>
      </c>
      <c r="R20" s="44" t="n"/>
      <c r="S20" s="43" t="n"/>
      <c r="T20" s="180" t="n"/>
      <c r="U20" s="1" t="n">
        <v>42014.3</v>
      </c>
      <c r="V20" s="108" t="n">
        <v>0.083333</v>
      </c>
      <c r="W20" s="46" t="inlineStr">
        <is>
          <t>CNY</t>
        </is>
      </c>
      <c r="X20" s="181" t="n">
        <v>1</v>
      </c>
      <c r="Y20" s="1" t="n">
        <v>40908.92</v>
      </c>
      <c r="Z20" s="1" t="n">
        <v>0</v>
      </c>
      <c r="AA20" s="1" t="n">
        <v>42014.3</v>
      </c>
      <c r="AB20" s="1" t="n"/>
      <c r="AC20" s="48" t="n"/>
      <c r="AD20" s="1" t="n"/>
      <c r="AE20" s="48" t="n"/>
      <c r="AF20" s="1" t="n">
        <v>0</v>
      </c>
      <c r="AG20" s="1" t="n">
        <v>146364.3</v>
      </c>
      <c r="AH20" s="182" t="n">
        <v>3.577808947290713</v>
      </c>
      <c r="AI20" s="1" t="n"/>
      <c r="AJ20" s="183" t="n">
        <v>3.577808947290713</v>
      </c>
      <c r="AK20" s="183" t="n">
        <v>3.577808947290713</v>
      </c>
      <c r="AL20" s="108" t="n"/>
      <c r="AM20" s="183" t="n"/>
      <c r="AN20" s="183" t="n"/>
      <c r="AO20" s="1" t="n"/>
      <c r="AP20" s="48" t="n"/>
      <c r="AQ20" s="1" t="n">
        <v>146364.3</v>
      </c>
      <c r="AR20" s="183" t="n">
        <v>3.577808947290713</v>
      </c>
      <c r="AS20" s="98" t="n">
        <v>0.5545992952142775</v>
      </c>
      <c r="AT20" s="183" t="n"/>
      <c r="AU20" s="1" t="n"/>
      <c r="AV20" s="48" t="n"/>
      <c r="AW20" s="1" t="n"/>
      <c r="AX20" s="48" t="n"/>
      <c r="AY20" s="1" t="n"/>
      <c r="AZ20" s="48" t="n"/>
      <c r="BA20" s="51" t="n"/>
      <c r="BB20" s="180" t="n"/>
      <c r="BC20" s="1" t="n"/>
      <c r="BD20" s="1" t="n"/>
      <c r="BE20" s="180" t="n"/>
      <c r="BF20" s="1" t="n"/>
      <c r="BG20" s="1" t="n"/>
      <c r="BH20" s="1" t="n"/>
      <c r="BI20" s="1" t="n"/>
      <c r="BJ20" s="52" t="n"/>
      <c r="BK20" s="52" t="n"/>
      <c r="BL20" s="184" t="n">
        <v>1</v>
      </c>
      <c r="BM20" s="1" t="n">
        <v>35120</v>
      </c>
      <c r="BN20" s="1" t="n">
        <v>0</v>
      </c>
      <c r="BO20" s="1" t="n">
        <v>37910</v>
      </c>
      <c r="BP20" s="43" t="inlineStr">
        <is>
          <t>G,G</t>
        </is>
      </c>
      <c r="BQ20" s="43" t="inlineStr">
        <is>
          <t>T1#</t>
        </is>
      </c>
      <c r="BR20" s="1" t="n"/>
      <c r="BS20" s="185" t="n">
        <v>5.92126993166287</v>
      </c>
      <c r="BT20" s="1" t="n">
        <v>55955</v>
      </c>
      <c r="BU20" s="1" t="n"/>
      <c r="BV20" s="54" t="n">
        <v>7.514521640091116</v>
      </c>
      <c r="BW20" s="54" t="n"/>
      <c r="BX20" s="1" t="n"/>
      <c r="BY20" s="1" t="n">
        <v>263910</v>
      </c>
      <c r="BZ20" s="54" t="n">
        <v>7.514521640091116</v>
      </c>
      <c r="CA20" s="54" t="n"/>
      <c r="CB20" s="186" t="n"/>
      <c r="CC20" s="186" t="n"/>
      <c r="CD20" s="186" t="n"/>
      <c r="CE20" s="52" t="n"/>
      <c r="CF20" s="52" t="n"/>
      <c r="CG20" s="43" t="n"/>
      <c r="CH20" s="43" t="n"/>
      <c r="CI20" s="43" t="n"/>
      <c r="CJ20" s="43" t="n"/>
      <c r="CK20" s="43" t="n"/>
      <c r="CL20" s="43" t="n"/>
      <c r="CM20" s="43" t="n"/>
      <c r="CN20" s="43" t="n"/>
      <c r="CO20" s="43" t="n"/>
      <c r="CP20" s="43" t="inlineStr">
        <is>
          <t>风险管理和内部控制</t>
        </is>
      </c>
      <c r="CQ20" s="43" t="inlineStr">
        <is>
          <t>3,1</t>
        </is>
      </c>
      <c r="CR20" s="43" t="n">
        <v>11</v>
      </c>
      <c r="CS20" s="43" t="inlineStr">
        <is>
          <t>T1</t>
        </is>
      </c>
      <c r="CT20" s="187" t="inlineStr">
        <is>
          <t>N</t>
        </is>
      </c>
      <c r="CU20" s="187" t="n"/>
      <c r="CV20" s="187" t="n"/>
      <c r="CW20" s="1" t="n"/>
      <c r="CX20" s="1" t="n"/>
      <c r="CY20" s="1" t="n"/>
      <c r="CZ20" s="1" t="n"/>
      <c r="DA20" s="1" t="n"/>
      <c r="DB20" s="1" t="n"/>
      <c r="DC20" s="1" t="n"/>
    </row>
    <row r="21">
      <c r="A21" t="inlineStr">
        <is>
          <t>nicholasQiu(邱强)</t>
        </is>
      </c>
      <c r="C21" t="n">
        <v>19081982</v>
      </c>
      <c r="D21" t="inlineStr">
        <is>
          <t>风险管理和内部控制</t>
        </is>
      </c>
      <c r="E21" t="inlineStr">
        <is>
          <t>IEG风控中心</t>
        </is>
      </c>
      <c r="G21" t="inlineStr">
        <is>
          <t>S2职能系统－财经线/风险管理和内部控制/IEG风控中心</t>
        </is>
      </c>
      <c r="H21" s="188" t="n">
        <v>42461</v>
      </c>
      <c r="I21" t="inlineStr">
        <is>
          <t>高校招聘</t>
        </is>
      </c>
      <c r="J21" t="inlineStr">
        <is>
          <t>财经类－FN</t>
        </is>
      </c>
      <c r="K21" t="inlineStr">
        <is>
          <t>风险管理</t>
        </is>
      </c>
      <c r="L21" t="inlineStr">
        <is>
          <t>S8</t>
        </is>
      </c>
      <c r="N21" t="inlineStr">
        <is>
          <t>T2</t>
        </is>
      </c>
      <c r="P21" s="158" t="n"/>
      <c r="Q21" t="inlineStr">
        <is>
          <t>G,G</t>
        </is>
      </c>
      <c r="T21" s="158" t="n"/>
      <c r="U21" t="n">
        <v>44043.7</v>
      </c>
      <c r="V21" t="n">
        <v>0.083333</v>
      </c>
      <c r="W21" s="158" t="inlineStr">
        <is>
          <t>CNY</t>
        </is>
      </c>
      <c r="X21" t="n">
        <v>1</v>
      </c>
      <c r="Y21" s="26" t="n">
        <v>41123.76</v>
      </c>
      <c r="Z21" s="26" t="n">
        <v>0</v>
      </c>
      <c r="AA21" t="n">
        <v>132131.1</v>
      </c>
      <c r="AF21" t="n">
        <v>0</v>
      </c>
      <c r="AG21" t="n">
        <v>183786.1</v>
      </c>
      <c r="AH21" t="n">
        <v>4.469097670057407</v>
      </c>
      <c r="AI21" s="26" t="n"/>
      <c r="AJ21" s="26" t="n">
        <v>4.469097670057407</v>
      </c>
      <c r="AK21" s="26" t="n">
        <v>4.469097670057407</v>
      </c>
      <c r="AO21" s="25" t="n"/>
      <c r="AQ21" t="n">
        <v>183786.1</v>
      </c>
      <c r="AR21" t="n">
        <v>4.469097670057407</v>
      </c>
      <c r="AS21" s="26" t="n">
        <v>1.129531682133858</v>
      </c>
      <c r="AU21" s="25" t="n"/>
      <c r="AV21" s="24" t="n"/>
      <c r="AW21" s="25" t="n"/>
      <c r="AX21" s="24" t="n"/>
      <c r="AY21" s="25" t="n"/>
      <c r="AZ21" s="24" t="n"/>
      <c r="BL21" t="n">
        <v>1</v>
      </c>
      <c r="BM21" s="26" t="n">
        <v>35815</v>
      </c>
      <c r="BN21" t="n">
        <v>0</v>
      </c>
      <c r="BO21" t="n">
        <v>38760</v>
      </c>
      <c r="BP21" t="inlineStr">
        <is>
          <t>G,O</t>
        </is>
      </c>
      <c r="BQ21" t="inlineStr">
        <is>
          <t>T2</t>
        </is>
      </c>
      <c r="BS21" t="n">
        <v>4.543068546698311</v>
      </c>
      <c r="BT21" t="n">
        <v>0</v>
      </c>
      <c r="BV21" s="26" t="n">
        <v>4.543068546698311</v>
      </c>
      <c r="BW21" s="26" t="n"/>
      <c r="BY21" t="n">
        <v>162710</v>
      </c>
      <c r="BZ21" t="n">
        <v>4.543068546698311</v>
      </c>
      <c r="CP21" t="inlineStr">
        <is>
          <t>风险管理和内部控制</t>
        </is>
      </c>
      <c r="CQ21" t="inlineStr">
        <is>
          <t>5,3</t>
        </is>
      </c>
      <c r="CR21" t="n">
        <v>8</v>
      </c>
      <c r="CS21" t="inlineStr">
        <is>
          <t>T2</t>
        </is>
      </c>
      <c r="CT21" s="24" t="inlineStr">
        <is>
          <t>N</t>
        </is>
      </c>
      <c r="CU21" s="24" t="n"/>
      <c r="CV21" s="24" t="n"/>
    </row>
    <row r="22">
      <c r="A22" t="inlineStr">
        <is>
          <t>matthewHou(侯勋宏)</t>
        </is>
      </c>
      <c r="C22" t="n">
        <v>81154958</v>
      </c>
      <c r="D22" t="inlineStr">
        <is>
          <t>海外财经中心</t>
        </is>
      </c>
      <c r="E22" t="inlineStr">
        <is>
          <t>海外本地财务</t>
        </is>
      </c>
      <c r="G22" t="inlineStr">
        <is>
          <t>S2职能系统－财经线/海外财经中心/海外本地财务</t>
        </is>
      </c>
      <c r="H22" s="188" t="n">
        <v>41263</v>
      </c>
      <c r="I22" t="inlineStr">
        <is>
          <t>社会招聘</t>
        </is>
      </c>
      <c r="J22" t="inlineStr">
        <is>
          <t>财经类－FN</t>
        </is>
      </c>
      <c r="K22" t="inlineStr">
        <is>
          <t>财务管理</t>
        </is>
      </c>
      <c r="L22" t="inlineStr">
        <is>
          <t>S11</t>
        </is>
      </c>
      <c r="N22" t="inlineStr">
        <is>
          <t>T1</t>
        </is>
      </c>
      <c r="Q22" t="inlineStr">
        <is>
          <t>G,G</t>
        </is>
      </c>
      <c r="U22" t="n">
        <v>51306.95</v>
      </c>
      <c r="V22" t="n">
        <v>0.083333</v>
      </c>
      <c r="W22" t="inlineStr">
        <is>
          <t>CNY</t>
        </is>
      </c>
      <c r="X22" t="n">
        <v>1</v>
      </c>
      <c r="Y22" s="26" t="n">
        <v>46207.44</v>
      </c>
      <c r="Z22" t="n">
        <v>0</v>
      </c>
      <c r="AA22" t="n">
        <v>102613.9</v>
      </c>
      <c r="AF22" t="n">
        <v>0</v>
      </c>
      <c r="AG22" t="n">
        <v>308873.9</v>
      </c>
      <c r="AH22" t="n">
        <v>6.684505785215541</v>
      </c>
      <c r="AJ22" s="26" t="n">
        <v>6.684505785215541</v>
      </c>
      <c r="AK22" s="26" t="n">
        <v>4.561579260828991</v>
      </c>
      <c r="AQ22" t="n">
        <v>308873.9</v>
      </c>
      <c r="AR22" t="n">
        <v>6.684505785215541</v>
      </c>
      <c r="AS22" t="n">
        <v>2.271048123230764</v>
      </c>
      <c r="AU22" s="24" t="n"/>
      <c r="AV22" s="24" t="n"/>
      <c r="AW22" s="24" t="n"/>
      <c r="AX22" s="24" t="n"/>
      <c r="AY22" s="24" t="n"/>
      <c r="AZ22" s="24" t="n"/>
      <c r="BL22" t="n">
        <v>1</v>
      </c>
      <c r="BM22" s="26" t="n">
        <v>42530</v>
      </c>
      <c r="BN22" t="n">
        <v>0</v>
      </c>
      <c r="BO22" t="n">
        <v>44415</v>
      </c>
      <c r="BP22" t="inlineStr">
        <is>
          <t>U,O</t>
        </is>
      </c>
      <c r="BQ22" t="inlineStr">
        <is>
          <t>T1</t>
        </is>
      </c>
      <c r="BS22" s="26" t="n">
        <v>3.197860333881966</v>
      </c>
      <c r="BT22" t="n">
        <v>0</v>
      </c>
      <c r="BV22" s="26" t="n">
        <v>3.197860333881966</v>
      </c>
      <c r="BY22" t="n">
        <v>136005</v>
      </c>
      <c r="BZ22" t="n">
        <v>3.197860333881966</v>
      </c>
      <c r="CP22" t="inlineStr">
        <is>
          <t>海外财经中心</t>
        </is>
      </c>
      <c r="CQ22" t="inlineStr">
        <is>
          <t>3,3</t>
        </is>
      </c>
      <c r="CR22" t="n">
        <v>11</v>
      </c>
      <c r="CS22" t="inlineStr">
        <is>
          <t>T1</t>
        </is>
      </c>
      <c r="CT22" s="24" t="inlineStr">
        <is>
          <t>N</t>
        </is>
      </c>
      <c r="CU22" s="24" t="n"/>
      <c r="CV22" s="24" t="n"/>
    </row>
    <row r="23">
      <c r="A23" t="inlineStr">
        <is>
          <t>lillianTian(田青)</t>
        </is>
      </c>
      <c r="C23" t="n">
        <v>21911153</v>
      </c>
      <c r="D23" t="inlineStr">
        <is>
          <t>财经IT管理部</t>
        </is>
      </c>
      <c r="E23" t="inlineStr">
        <is>
          <t>平台建设中心</t>
        </is>
      </c>
      <c r="G23" t="inlineStr">
        <is>
          <t>S2职能系统－财经线/财经IT管理部/平台建设中心</t>
        </is>
      </c>
      <c r="H23" s="188" t="n">
        <v>43026</v>
      </c>
      <c r="I23" t="inlineStr">
        <is>
          <t>高校招聘</t>
        </is>
      </c>
      <c r="J23" t="inlineStr">
        <is>
          <t>技术研发类－TRD</t>
        </is>
      </c>
      <c r="K23" t="inlineStr">
        <is>
          <t>应用开发</t>
        </is>
      </c>
      <c r="L23" t="inlineStr">
        <is>
          <t>T9</t>
        </is>
      </c>
      <c r="N23" t="inlineStr">
        <is>
          <t>T1</t>
        </is>
      </c>
      <c r="Q23" t="inlineStr">
        <is>
          <t>G,U</t>
        </is>
      </c>
      <c r="U23" t="n">
        <v>51577.2</v>
      </c>
      <c r="V23" t="n">
        <v>0.083333</v>
      </c>
      <c r="W23" t="inlineStr">
        <is>
          <t>CNY</t>
        </is>
      </c>
      <c r="X23" t="n">
        <v>1</v>
      </c>
      <c r="Y23" t="n">
        <v>47257.05</v>
      </c>
      <c r="Z23" t="n">
        <v>0</v>
      </c>
      <c r="AA23" t="n">
        <v>103154.4</v>
      </c>
      <c r="AF23" t="n">
        <v>0</v>
      </c>
      <c r="AG23" t="n">
        <v>292014.4</v>
      </c>
      <c r="AH23" t="n">
        <v>6.179276954443835</v>
      </c>
      <c r="AJ23" t="n">
        <v>6.179276954443835</v>
      </c>
      <c r="AK23" t="n">
        <v>4.898409866887586</v>
      </c>
      <c r="AM23" s="24" t="n"/>
      <c r="AN23" s="24" t="n"/>
      <c r="AQ23" t="n">
        <v>292014.4</v>
      </c>
      <c r="AR23" t="n">
        <v>6.179276954443835</v>
      </c>
      <c r="AS23" s="26" t="n">
        <v>1.439026241222126</v>
      </c>
      <c r="BL23" t="n">
        <v>1</v>
      </c>
      <c r="BM23" t="n">
        <v>43545</v>
      </c>
      <c r="BN23" s="24" t="n">
        <v>0</v>
      </c>
      <c r="BO23" t="n">
        <v>46510</v>
      </c>
      <c r="BP23" t="inlineStr">
        <is>
          <t>G,G</t>
        </is>
      </c>
      <c r="BQ23" t="inlineStr">
        <is>
          <t>T1</t>
        </is>
      </c>
      <c r="BS23" t="n">
        <v>3.26524285222184</v>
      </c>
      <c r="BT23" t="n">
        <v>60740</v>
      </c>
      <c r="BV23" t="n">
        <v>4.660121713170284</v>
      </c>
      <c r="BY23" t="n">
        <v>202925</v>
      </c>
      <c r="BZ23" t="n">
        <v>4.660121713170284</v>
      </c>
      <c r="CP23" t="inlineStr">
        <is>
          <t>财经IT管理部</t>
        </is>
      </c>
      <c r="CQ23" t="inlineStr">
        <is>
          <t>3,3</t>
        </is>
      </c>
      <c r="CR23" t="n">
        <v>9</v>
      </c>
      <c r="CS23" t="inlineStr">
        <is>
          <t>T1</t>
        </is>
      </c>
      <c r="CT23" s="24" t="inlineStr">
        <is>
          <t>N</t>
        </is>
      </c>
      <c r="CU23" s="24" t="n"/>
      <c r="CV23" s="24" t="n"/>
    </row>
    <row r="24">
      <c r="A24" t="inlineStr">
        <is>
          <t>louisYu(于梓)</t>
        </is>
      </c>
      <c r="C24" t="n">
        <v>60316002</v>
      </c>
      <c r="D24" t="inlineStr">
        <is>
          <t>预算及职能系统财务管理部</t>
        </is>
      </c>
      <c r="E24" t="inlineStr">
        <is>
          <t>预算及职能系统财务管理部</t>
        </is>
      </c>
      <c r="G24" t="inlineStr">
        <is>
          <t>S2职能系统－财经线/预算及职能系统财务管理部</t>
        </is>
      </c>
      <c r="H24" s="188" t="n">
        <v>39619</v>
      </c>
      <c r="I24" t="inlineStr">
        <is>
          <t>社会招聘</t>
        </is>
      </c>
      <c r="J24" t="inlineStr">
        <is>
          <t>财经类－FN</t>
        </is>
      </c>
      <c r="K24" t="inlineStr">
        <is>
          <t>预算管理</t>
        </is>
      </c>
      <c r="L24" t="inlineStr">
        <is>
          <t>S6</t>
        </is>
      </c>
      <c r="N24" t="inlineStr">
        <is>
          <t>T1#</t>
        </is>
      </c>
      <c r="Q24" t="inlineStr">
        <is>
          <t>O,G</t>
        </is>
      </c>
      <c r="U24" t="n">
        <v>24152.75</v>
      </c>
      <c r="V24" t="n">
        <v>0.083333</v>
      </c>
      <c r="W24" t="inlineStr">
        <is>
          <t>CNY</t>
        </is>
      </c>
      <c r="X24" t="n">
        <v>1</v>
      </c>
      <c r="Y24" t="n">
        <v>22085.21</v>
      </c>
      <c r="Z24" t="n">
        <v>0</v>
      </c>
      <c r="AA24" t="n">
        <v>48305.5</v>
      </c>
      <c r="AF24" t="n">
        <v>0</v>
      </c>
      <c r="AG24" t="n">
        <v>171465.5</v>
      </c>
      <c r="AH24" t="n">
        <v>7.763815693851225</v>
      </c>
      <c r="AJ24" t="n">
        <v>7.763815693851225</v>
      </c>
      <c r="AK24" t="n">
        <v>5.868882387806138</v>
      </c>
      <c r="AQ24" t="n">
        <v>171465.5</v>
      </c>
      <c r="AR24" t="n">
        <v>7.763815693851225</v>
      </c>
      <c r="AS24" s="26" t="n">
        <v>1.080437933207309</v>
      </c>
      <c r="BL24" t="n">
        <v>1</v>
      </c>
      <c r="BM24" t="n">
        <v>21715</v>
      </c>
      <c r="BN24" t="n">
        <v>0</v>
      </c>
      <c r="BO24" t="n">
        <v>23560</v>
      </c>
      <c r="BP24" t="inlineStr">
        <is>
          <t>G,G</t>
        </is>
      </c>
      <c r="BQ24" t="inlineStr">
        <is>
          <t>T1#</t>
        </is>
      </c>
      <c r="BS24" t="n">
        <v>5.566428735896846</v>
      </c>
      <c r="BT24" t="n">
        <v>37825</v>
      </c>
      <c r="BV24" t="n">
        <v>7.308312226571494</v>
      </c>
      <c r="BY24" t="n">
        <v>158700</v>
      </c>
      <c r="BZ24" t="n">
        <v>7.308312226571494</v>
      </c>
      <c r="CP24" t="inlineStr">
        <is>
          <t>预算及职能系统财务管理部</t>
        </is>
      </c>
      <c r="CQ24" t="inlineStr">
        <is>
          <t>3,3</t>
        </is>
      </c>
      <c r="CR24" t="n">
        <v>6</v>
      </c>
      <c r="CS24" t="inlineStr">
        <is>
          <t>T1#</t>
        </is>
      </c>
      <c r="CT24" s="24" t="inlineStr">
        <is>
          <t>N</t>
        </is>
      </c>
      <c r="CU24" s="24" t="n"/>
      <c r="CV24" s="24" t="n"/>
    </row>
    <row r="25" ht="14" customHeight="1" s="178">
      <c r="A25" t="inlineStr">
        <is>
          <t>ameliaNiu(牛佳娜)</t>
        </is>
      </c>
      <c r="B25" s="150" t="n"/>
      <c r="C25" t="n">
        <v>82693967</v>
      </c>
      <c r="D25" t="inlineStr">
        <is>
          <t>预算及职能系统财务管理部</t>
        </is>
      </c>
      <c r="E25" t="inlineStr">
        <is>
          <t>预算管理中心</t>
        </is>
      </c>
      <c r="G25" t="inlineStr">
        <is>
          <t>S2职能系统－财经线/预算及职能系统财务管理部/预算管理中心</t>
        </is>
      </c>
      <c r="H25" s="188" t="n">
        <v>43762</v>
      </c>
      <c r="I25" t="inlineStr">
        <is>
          <t>社会招聘</t>
        </is>
      </c>
      <c r="J25" t="inlineStr">
        <is>
          <t>财经类－FN</t>
        </is>
      </c>
      <c r="K25" t="inlineStr">
        <is>
          <t>预算管理</t>
        </is>
      </c>
      <c r="L25" t="inlineStr">
        <is>
          <t>S6</t>
        </is>
      </c>
      <c r="N25" t="inlineStr">
        <is>
          <t>T1#</t>
        </is>
      </c>
      <c r="Q25" t="inlineStr">
        <is>
          <t>U,G</t>
        </is>
      </c>
      <c r="U25" t="n">
        <v>30766.2</v>
      </c>
      <c r="V25" t="n">
        <v>0.083333</v>
      </c>
      <c r="W25" t="inlineStr">
        <is>
          <t>CNY</t>
        </is>
      </c>
      <c r="X25" t="n">
        <v>1</v>
      </c>
      <c r="Y25" t="n">
        <v>30214.76</v>
      </c>
      <c r="Z25" t="n">
        <v>0</v>
      </c>
      <c r="AA25" t="n">
        <v>92298.60000000001</v>
      </c>
      <c r="AF25" t="n">
        <v>0</v>
      </c>
      <c r="AG25" t="n">
        <v>232853.6</v>
      </c>
      <c r="AH25" t="n">
        <v>7.706617560424111</v>
      </c>
      <c r="AJ25" t="n">
        <v>7.706617560424111</v>
      </c>
      <c r="AK25" t="n">
        <v>6.317064904702206</v>
      </c>
      <c r="AQ25" t="n">
        <v>232853.6</v>
      </c>
      <c r="AR25" t="n">
        <v>7.706617560424111</v>
      </c>
      <c r="AS25" t="n">
        <v>0.9245725630335517</v>
      </c>
      <c r="BL25" t="n">
        <v>1</v>
      </c>
      <c r="BM25" t="n">
        <v>27535</v>
      </c>
      <c r="BN25" t="n">
        <v>0</v>
      </c>
      <c r="BO25" t="n">
        <v>29840</v>
      </c>
      <c r="BP25" t="inlineStr">
        <is>
          <t>O,G</t>
        </is>
      </c>
      <c r="BQ25" t="inlineStr">
        <is>
          <t>T1#</t>
        </is>
      </c>
      <c r="BS25" t="n">
        <v>6.983838750680952</v>
      </c>
      <c r="BT25" t="n">
        <v>59550</v>
      </c>
      <c r="BV25" t="n">
        <v>9.14654076629744</v>
      </c>
      <c r="BY25" t="n">
        <v>251850</v>
      </c>
      <c r="BZ25" t="n">
        <v>9.14654076629744</v>
      </c>
      <c r="CK25" s="92" t="n"/>
      <c r="CL25" s="92" t="n"/>
      <c r="CM25" s="92" t="n"/>
      <c r="CP25" t="inlineStr">
        <is>
          <t>预算及职能系统财务管理部</t>
        </is>
      </c>
      <c r="CQ25" t="inlineStr">
        <is>
          <t>5,3</t>
        </is>
      </c>
      <c r="CR25" t="n">
        <v>6</v>
      </c>
      <c r="CS25" t="inlineStr">
        <is>
          <t>T1#</t>
        </is>
      </c>
      <c r="CT25" t="inlineStr">
        <is>
          <t>N</t>
        </is>
      </c>
    </row>
    <row r="26" ht="15" customHeight="1" s="178" thickBot="1">
      <c r="A26" t="inlineStr">
        <is>
          <t>loganQian(钱军坚)</t>
        </is>
      </c>
      <c r="B26" s="150" t="n"/>
      <c r="C26" t="n">
        <v>65233261</v>
      </c>
      <c r="D26" t="inlineStr">
        <is>
          <t>IEG财务管理</t>
        </is>
      </c>
      <c r="E26" t="inlineStr">
        <is>
          <t>自研财务管理组</t>
        </is>
      </c>
      <c r="G26" t="inlineStr">
        <is>
          <t>S2职能系统－财经线/IEG财务管理/自研财务管理组</t>
        </is>
      </c>
      <c r="H26" s="188" t="n">
        <v>38894</v>
      </c>
      <c r="I26" t="inlineStr">
        <is>
          <t>高校招聘</t>
        </is>
      </c>
      <c r="J26" t="inlineStr">
        <is>
          <t>财经类－FN</t>
        </is>
      </c>
      <c r="K26" t="inlineStr">
        <is>
          <t>财务管理</t>
        </is>
      </c>
      <c r="L26" t="inlineStr">
        <is>
          <t>S10</t>
        </is>
      </c>
      <c r="N26" t="inlineStr">
        <is>
          <t>Others</t>
        </is>
      </c>
      <c r="Q26" t="inlineStr">
        <is>
          <t>O,U</t>
        </is>
      </c>
      <c r="U26" t="n">
        <v>37313.75</v>
      </c>
      <c r="V26" t="n">
        <v>0.083333</v>
      </c>
      <c r="W26" t="inlineStr">
        <is>
          <t>CNY</t>
        </is>
      </c>
      <c r="X26" t="n">
        <v>1</v>
      </c>
      <c r="Y26" t="n">
        <v>35376</v>
      </c>
      <c r="Z26" t="n">
        <v>0</v>
      </c>
      <c r="AA26" t="n">
        <v>74627.5</v>
      </c>
      <c r="AF26" t="n">
        <v>0</v>
      </c>
      <c r="AG26" t="n">
        <v>95277.5</v>
      </c>
      <c r="AH26" t="n">
        <v>2.693280755314337</v>
      </c>
      <c r="AJ26" t="n">
        <v>2.693280755314337</v>
      </c>
      <c r="AK26" t="n">
        <v>2.693280755314337</v>
      </c>
      <c r="AQ26" t="n">
        <v>95277.5</v>
      </c>
      <c r="AR26" t="n">
        <v>2.693280755314337</v>
      </c>
      <c r="AS26" t="n">
        <v>0.8208977727997243</v>
      </c>
      <c r="AY26" s="92" t="n"/>
      <c r="AZ26" s="92" t="n"/>
      <c r="BL26" t="n">
        <v>1</v>
      </c>
      <c r="BM26" t="n">
        <v>32895</v>
      </c>
      <c r="BN26" t="n">
        <v>0</v>
      </c>
      <c r="BO26" t="n">
        <v>33930</v>
      </c>
      <c r="BP26" t="inlineStr">
        <is>
          <t>G,G</t>
        </is>
      </c>
      <c r="BQ26" t="inlineStr">
        <is>
          <t>Others</t>
        </is>
      </c>
      <c r="BS26" t="n">
        <v>3.528347773217814</v>
      </c>
      <c r="BT26" t="n">
        <v>0</v>
      </c>
      <c r="BV26" t="n">
        <v>3.528347773217814</v>
      </c>
      <c r="BY26" t="n">
        <v>116065</v>
      </c>
      <c r="BZ26" t="n">
        <v>3.528347773217814</v>
      </c>
      <c r="CC26" s="92" t="n"/>
      <c r="CP26" t="inlineStr">
        <is>
          <t>IEG财务管理</t>
        </is>
      </c>
      <c r="CQ26" t="inlineStr">
        <is>
          <t>5,1</t>
        </is>
      </c>
      <c r="CR26" t="n">
        <v>10</v>
      </c>
      <c r="CS26" t="inlineStr">
        <is>
          <t>Others</t>
        </is>
      </c>
      <c r="CT26" t="inlineStr">
        <is>
          <t>N</t>
        </is>
      </c>
      <c r="CU26" s="150" t="n"/>
      <c r="CV26" s="150" t="n"/>
    </row>
    <row r="27">
      <c r="A27" t="inlineStr">
        <is>
          <t>rubyLu(卢慧怀)</t>
        </is>
      </c>
      <c r="C27" t="n">
        <v>93113381</v>
      </c>
      <c r="D27" t="inlineStr">
        <is>
          <t>风险管理和内部控制</t>
        </is>
      </c>
      <c r="E27" t="inlineStr">
        <is>
          <t>CSIG风控中心</t>
        </is>
      </c>
      <c r="G27" t="inlineStr">
        <is>
          <t>S2职能系统－财经线/风险管理和内部控制/CSIG风控中心</t>
        </is>
      </c>
      <c r="H27" s="188" t="n">
        <v>44057</v>
      </c>
      <c r="I27" t="inlineStr">
        <is>
          <t>社会招聘</t>
        </is>
      </c>
      <c r="J27" t="inlineStr">
        <is>
          <t>财经类－FN</t>
        </is>
      </c>
      <c r="K27" t="inlineStr">
        <is>
          <t>风险管理</t>
        </is>
      </c>
      <c r="L27" t="inlineStr">
        <is>
          <t>S10</t>
        </is>
      </c>
      <c r="N27" t="inlineStr">
        <is>
          <t>T2</t>
        </is>
      </c>
      <c r="Q27" t="inlineStr">
        <is>
          <t>O,U</t>
        </is>
      </c>
      <c r="U27" t="n">
        <v>54564.95</v>
      </c>
      <c r="V27" t="n">
        <v>0.083333</v>
      </c>
      <c r="W27" t="inlineStr">
        <is>
          <t>CNY</t>
        </is>
      </c>
      <c r="X27" t="n">
        <v>1</v>
      </c>
      <c r="Y27" t="n">
        <v>50018.19</v>
      </c>
      <c r="Z27" t="n">
        <v>0</v>
      </c>
      <c r="AA27" t="n">
        <v>109129.9</v>
      </c>
      <c r="AF27" t="n">
        <v>0</v>
      </c>
      <c r="AG27" t="n">
        <v>169834.9</v>
      </c>
      <c r="AH27" t="n">
        <v>3.395462730658586</v>
      </c>
      <c r="AJ27" t="n">
        <v>3.395462730658586</v>
      </c>
      <c r="AK27" t="n">
        <v>3.395462730658586</v>
      </c>
      <c r="AQ27" t="n">
        <v>169834.9</v>
      </c>
      <c r="AR27" t="n">
        <v>3.395462730658586</v>
      </c>
      <c r="AS27" t="n">
        <v>1.114950927293616</v>
      </c>
      <c r="BL27" t="n">
        <v>1</v>
      </c>
      <c r="BM27" t="n">
        <v>47110</v>
      </c>
      <c r="BN27" t="n">
        <v>0</v>
      </c>
      <c r="BO27" t="n">
        <v>48895</v>
      </c>
      <c r="BP27" t="inlineStr">
        <is>
          <t>G,G</t>
        </is>
      </c>
      <c r="BQ27" t="inlineStr">
        <is>
          <t>T2</t>
        </is>
      </c>
      <c r="BS27" t="n">
        <v>3.233389938441944</v>
      </c>
      <c r="BT27" t="n">
        <v>0</v>
      </c>
      <c r="BV27" t="n">
        <v>3.233389938441944</v>
      </c>
      <c r="BY27" t="n">
        <v>152325</v>
      </c>
      <c r="BZ27" t="n">
        <v>3.233389938441944</v>
      </c>
      <c r="CP27" t="inlineStr">
        <is>
          <t>风险管理和内部控制</t>
        </is>
      </c>
      <c r="CQ27" t="inlineStr">
        <is>
          <t>5,1</t>
        </is>
      </c>
      <c r="CR27" t="n">
        <v>10</v>
      </c>
      <c r="CS27" t="inlineStr">
        <is>
          <t>T2</t>
        </is>
      </c>
      <c r="CT27" t="inlineStr">
        <is>
          <t>N</t>
        </is>
      </c>
    </row>
    <row r="28">
      <c r="A28" t="inlineStr">
        <is>
          <t>danielLu(卢超)</t>
        </is>
      </c>
      <c r="C28" t="n">
        <v>61458899</v>
      </c>
      <c r="D28" t="inlineStr">
        <is>
          <t>CSIG财务管理</t>
        </is>
      </c>
      <c r="E28" t="inlineStr">
        <is>
          <t>应收账款管理中心</t>
        </is>
      </c>
      <c r="G28" t="inlineStr">
        <is>
          <t>S2职能系统－财经线/CSIG财务管理/应收账款管理中心</t>
        </is>
      </c>
      <c r="H28" s="188" t="n">
        <v>43874</v>
      </c>
      <c r="I28" t="inlineStr">
        <is>
          <t>社会招聘</t>
        </is>
      </c>
      <c r="J28" t="inlineStr">
        <is>
          <t>财经类－FN</t>
        </is>
      </c>
      <c r="K28" t="inlineStr">
        <is>
          <t>财务管理</t>
        </is>
      </c>
      <c r="L28" t="inlineStr">
        <is>
          <t>S7</t>
        </is>
      </c>
      <c r="N28" t="inlineStr">
        <is>
          <t>T2</t>
        </is>
      </c>
      <c r="Q28" t="inlineStr">
        <is>
          <t>G,G</t>
        </is>
      </c>
      <c r="U28" t="n">
        <v>31154</v>
      </c>
      <c r="V28" t="n">
        <v>0.083333</v>
      </c>
      <c r="W28" t="inlineStr">
        <is>
          <t>CNY</t>
        </is>
      </c>
      <c r="X28" t="n">
        <v>1</v>
      </c>
      <c r="Y28" t="n">
        <v>28417.74</v>
      </c>
      <c r="Z28" t="n">
        <v>0</v>
      </c>
      <c r="AA28" t="n">
        <v>62308</v>
      </c>
      <c r="AF28" t="n">
        <v>0</v>
      </c>
      <c r="AG28" t="n">
        <v>100233</v>
      </c>
      <c r="AH28" t="n">
        <v>3.527127773003764</v>
      </c>
      <c r="AJ28" t="n">
        <v>3.527127773003764</v>
      </c>
      <c r="AK28" t="n">
        <v>3.527127773003764</v>
      </c>
      <c r="AQ28" t="n">
        <v>100233</v>
      </c>
      <c r="AR28" t="n">
        <v>3.527127773003764</v>
      </c>
      <c r="AS28" t="n">
        <v>1.136428571428571</v>
      </c>
      <c r="BL28" t="n">
        <v>1</v>
      </c>
      <c r="BM28" t="n">
        <v>26550</v>
      </c>
      <c r="BN28" t="n">
        <v>0</v>
      </c>
      <c r="BO28" t="n">
        <v>26915</v>
      </c>
      <c r="BP28" t="inlineStr">
        <is>
          <t>G,G</t>
        </is>
      </c>
      <c r="BQ28" t="inlineStr">
        <is>
          <t>T2</t>
        </is>
      </c>
      <c r="BS28" t="n">
        <v>3.322033898305085</v>
      </c>
      <c r="BT28" t="n">
        <v>0</v>
      </c>
      <c r="BV28" t="n">
        <v>3.322033898305085</v>
      </c>
      <c r="BY28" t="n">
        <v>88200</v>
      </c>
      <c r="BZ28" t="n">
        <v>3.322033898305085</v>
      </c>
      <c r="CP28" t="inlineStr">
        <is>
          <t>CSIG财务管理</t>
        </is>
      </c>
      <c r="CQ28" t="inlineStr">
        <is>
          <t>3,3</t>
        </is>
      </c>
      <c r="CR28" t="n">
        <v>7</v>
      </c>
      <c r="CS28" t="inlineStr">
        <is>
          <t>T2</t>
        </is>
      </c>
      <c r="CT28" t="inlineStr">
        <is>
          <t>N</t>
        </is>
      </c>
    </row>
    <row r="29">
      <c r="A29" t="inlineStr">
        <is>
          <t>samanthaHu(胡霞)</t>
        </is>
      </c>
      <c r="C29" t="n">
        <v>96053569</v>
      </c>
      <c r="D29" t="inlineStr">
        <is>
          <t>预算及职能系统财务管理部</t>
        </is>
      </c>
      <c r="E29" t="inlineStr">
        <is>
          <t>预算及职能系统财务管理部</t>
        </is>
      </c>
      <c r="G29" t="inlineStr">
        <is>
          <t>S2职能系统－财经线/预算及职能系统财务管理部</t>
        </is>
      </c>
      <c r="H29" s="188" t="n">
        <v>42709</v>
      </c>
      <c r="I29" t="inlineStr">
        <is>
          <t>社会招聘</t>
        </is>
      </c>
      <c r="J29" t="inlineStr">
        <is>
          <t>财经类－FN</t>
        </is>
      </c>
      <c r="K29" t="inlineStr">
        <is>
          <t>预算管理</t>
        </is>
      </c>
      <c r="L29" t="inlineStr">
        <is>
          <t>S6</t>
        </is>
      </c>
      <c r="N29" t="inlineStr">
        <is>
          <t>T2</t>
        </is>
      </c>
      <c r="Q29" t="inlineStr">
        <is>
          <t>G,U</t>
        </is>
      </c>
      <c r="U29" t="n">
        <v>29168.4</v>
      </c>
      <c r="V29" t="n">
        <v>0.083333</v>
      </c>
      <c r="W29" t="inlineStr">
        <is>
          <t>CNY</t>
        </is>
      </c>
      <c r="X29" t="n">
        <v>1</v>
      </c>
      <c r="Y29" t="n">
        <v>28001.15</v>
      </c>
      <c r="Z29" t="n">
        <v>0</v>
      </c>
      <c r="AA29" t="n">
        <v>29168.4</v>
      </c>
      <c r="AF29" t="n">
        <v>0</v>
      </c>
      <c r="AG29" t="n">
        <v>62983.4</v>
      </c>
      <c r="AH29" t="n">
        <v>2.249314760286631</v>
      </c>
      <c r="AJ29" t="n">
        <v>2.249314760286631</v>
      </c>
      <c r="AK29" t="n">
        <v>2.249314760286631</v>
      </c>
      <c r="AQ29" t="n">
        <v>62983.4</v>
      </c>
      <c r="AR29" t="n">
        <v>2.249314760286631</v>
      </c>
      <c r="AS29" t="n">
        <v>1.123900785153462</v>
      </c>
      <c r="BL29" t="n">
        <v>1</v>
      </c>
      <c r="BM29" t="n">
        <v>23830</v>
      </c>
      <c r="BN29" t="n">
        <v>0</v>
      </c>
      <c r="BO29" t="n">
        <v>24750</v>
      </c>
      <c r="BP29" t="inlineStr">
        <is>
          <t>G,U</t>
        </is>
      </c>
      <c r="BQ29" t="inlineStr">
        <is>
          <t>T2</t>
        </is>
      </c>
      <c r="BS29" t="n">
        <v>2.351657574485942</v>
      </c>
      <c r="BT29" t="n">
        <v>0</v>
      </c>
      <c r="BV29" t="n">
        <v>2.351657574485942</v>
      </c>
      <c r="BY29" t="n">
        <v>56040</v>
      </c>
      <c r="BZ29" t="n">
        <v>2.351657574485942</v>
      </c>
      <c r="CP29" t="inlineStr">
        <is>
          <t>预算及职能系统财务管理部</t>
        </is>
      </c>
      <c r="CQ29" t="inlineStr">
        <is>
          <t>3,1</t>
        </is>
      </c>
      <c r="CR29" t="n">
        <v>6</v>
      </c>
      <c r="CS29" t="inlineStr">
        <is>
          <t>T2</t>
        </is>
      </c>
      <c r="CT29" t="inlineStr">
        <is>
          <t>N</t>
        </is>
      </c>
    </row>
    <row r="30">
      <c r="A30" t="inlineStr">
        <is>
          <t>tylerHan(韩晨)</t>
        </is>
      </c>
      <c r="C30" t="n">
        <v>77875636</v>
      </c>
      <c r="D30" t="inlineStr">
        <is>
          <t>财会及报告管理部</t>
        </is>
      </c>
      <c r="E30" t="inlineStr">
        <is>
          <t>财报中心</t>
        </is>
      </c>
      <c r="G30" t="inlineStr">
        <is>
          <t>S2职能系统－财经线/财会及报告管理部/财报中心</t>
        </is>
      </c>
      <c r="H30" s="188" t="n">
        <v>40349</v>
      </c>
      <c r="I30" t="inlineStr">
        <is>
          <t>社会招聘</t>
        </is>
      </c>
      <c r="J30" t="inlineStr">
        <is>
          <t>财经类－FN</t>
        </is>
      </c>
      <c r="K30" t="inlineStr">
        <is>
          <t>会计</t>
        </is>
      </c>
      <c r="L30" t="inlineStr">
        <is>
          <t>S8</t>
        </is>
      </c>
      <c r="N30" t="inlineStr">
        <is>
          <t>T2</t>
        </is>
      </c>
      <c r="Q30" t="inlineStr">
        <is>
          <t>G,G</t>
        </is>
      </c>
      <c r="U30" t="n">
        <v>46449.4</v>
      </c>
      <c r="V30" t="n">
        <v>0.083333</v>
      </c>
      <c r="W30" t="inlineStr">
        <is>
          <t>CNY</t>
        </is>
      </c>
      <c r="X30" t="n">
        <v>1</v>
      </c>
      <c r="Y30" t="n">
        <v>43060.89</v>
      </c>
      <c r="Z30" t="n">
        <v>0</v>
      </c>
      <c r="AA30" t="n">
        <v>92898.8</v>
      </c>
      <c r="AF30" t="n">
        <v>0</v>
      </c>
      <c r="AG30" t="n">
        <v>152883.8</v>
      </c>
      <c r="AH30" t="n">
        <v>3.550409664082651</v>
      </c>
      <c r="AJ30" t="n">
        <v>3.550409664082651</v>
      </c>
      <c r="AK30" t="n">
        <v>3.550409664082651</v>
      </c>
      <c r="AQ30" t="n">
        <v>152883.8</v>
      </c>
      <c r="AR30" t="n">
        <v>3.550409664082651</v>
      </c>
      <c r="AS30" t="n">
        <v>1.622109283819628</v>
      </c>
      <c r="BL30" t="n">
        <v>1</v>
      </c>
      <c r="BM30" t="n">
        <v>39580</v>
      </c>
      <c r="BN30" t="n">
        <v>0</v>
      </c>
      <c r="BO30" t="n">
        <v>41045</v>
      </c>
      <c r="BP30" t="inlineStr">
        <is>
          <t>U,G</t>
        </is>
      </c>
      <c r="BQ30" t="inlineStr">
        <is>
          <t>T2</t>
        </is>
      </c>
      <c r="BS30" t="n">
        <v>2.381253158160687</v>
      </c>
      <c r="BT30" t="n">
        <v>0</v>
      </c>
      <c r="BV30" t="n">
        <v>2.381253158160687</v>
      </c>
      <c r="BY30" t="n">
        <v>94250</v>
      </c>
      <c r="BZ30" t="n">
        <v>2.381253158160687</v>
      </c>
      <c r="CP30" t="inlineStr">
        <is>
          <t>财会及报告管理部</t>
        </is>
      </c>
      <c r="CQ30" t="inlineStr">
        <is>
          <t>3,3</t>
        </is>
      </c>
      <c r="CR30" t="n">
        <v>8</v>
      </c>
      <c r="CS30" t="inlineStr">
        <is>
          <t>T2</t>
        </is>
      </c>
      <c r="CT30" t="inlineStr">
        <is>
          <t>N</t>
        </is>
      </c>
    </row>
    <row r="31">
      <c r="A31" t="inlineStr">
        <is>
          <t>eugeneCheng(程彤)</t>
        </is>
      </c>
      <c r="C31" t="n">
        <v>43039997</v>
      </c>
      <c r="D31" t="inlineStr">
        <is>
          <t>S2公共编制</t>
        </is>
      </c>
      <c r="E31" t="inlineStr">
        <is>
          <t>S2公共编制</t>
        </is>
      </c>
      <c r="G31" t="inlineStr">
        <is>
          <t>S2职能系统－财经线/S2公共编制</t>
        </is>
      </c>
      <c r="H31" s="188" t="n">
        <v>44744</v>
      </c>
      <c r="I31" t="inlineStr">
        <is>
          <t>社会招聘</t>
        </is>
      </c>
      <c r="J31" t="inlineStr">
        <is>
          <t>财经类－FN</t>
        </is>
      </c>
      <c r="K31" t="inlineStr">
        <is>
          <t>财务管理</t>
        </is>
      </c>
      <c r="L31" t="inlineStr">
        <is>
          <t>S5</t>
        </is>
      </c>
      <c r="N31" t="inlineStr">
        <is>
          <t>T2</t>
        </is>
      </c>
      <c r="Q31" t="inlineStr">
        <is>
          <t>O,G</t>
        </is>
      </c>
      <c r="U31" t="n">
        <v>24176.85</v>
      </c>
      <c r="V31" t="n">
        <v>0.083333</v>
      </c>
      <c r="W31" t="inlineStr">
        <is>
          <t>CNY</t>
        </is>
      </c>
      <c r="X31" t="n">
        <v>1</v>
      </c>
      <c r="Y31" t="n">
        <v>23358.16</v>
      </c>
      <c r="Z31" t="n">
        <v>0</v>
      </c>
      <c r="AA31" t="n">
        <v>72530.55</v>
      </c>
      <c r="AF31" t="n">
        <v>0</v>
      </c>
      <c r="AG31" t="n">
        <v>99370.55</v>
      </c>
      <c r="AH31" t="n">
        <v>4.25421137623854</v>
      </c>
      <c r="AJ31" t="n">
        <v>4.25421137623854</v>
      </c>
      <c r="AK31" t="n">
        <v>4.25421137623854</v>
      </c>
      <c r="AQ31" t="n">
        <v>99370.55</v>
      </c>
      <c r="AR31" t="n">
        <v>4.25421137623854</v>
      </c>
      <c r="AS31" t="n">
        <v>1.368174996557896</v>
      </c>
      <c r="BL31" t="n">
        <v>1</v>
      </c>
      <c r="BM31" t="n">
        <v>20740</v>
      </c>
      <c r="BN31" t="n">
        <v>0</v>
      </c>
      <c r="BO31" t="n">
        <v>21095</v>
      </c>
      <c r="BP31" t="inlineStr">
        <is>
          <t>G,G</t>
        </is>
      </c>
      <c r="BQ31" t="inlineStr">
        <is>
          <t>T2</t>
        </is>
      </c>
      <c r="BS31" t="n">
        <v>3.501928640308583</v>
      </c>
      <c r="BT31" t="n">
        <v>0</v>
      </c>
      <c r="BV31" t="n">
        <v>3.501928640308583</v>
      </c>
      <c r="BY31" t="n">
        <v>72630</v>
      </c>
      <c r="BZ31" t="n">
        <v>3.501928640308583</v>
      </c>
      <c r="CP31" t="inlineStr">
        <is>
          <t>S2公共编制</t>
        </is>
      </c>
      <c r="CQ31" t="inlineStr">
        <is>
          <t>5,3</t>
        </is>
      </c>
      <c r="CR31" t="n">
        <v>5</v>
      </c>
      <c r="CS31" t="inlineStr">
        <is>
          <t>T2</t>
        </is>
      </c>
      <c r="CT31" t="inlineStr">
        <is>
          <t>N</t>
        </is>
      </c>
    </row>
    <row r="32">
      <c r="A32" t="inlineStr">
        <is>
          <t>bradleyWang(王锋)</t>
        </is>
      </c>
      <c r="C32" t="n">
        <v>6140046</v>
      </c>
      <c r="D32" t="inlineStr">
        <is>
          <t>财经投资并购及管理部</t>
        </is>
      </c>
      <c r="E32" t="inlineStr">
        <is>
          <t>行业及项目管理中心</t>
        </is>
      </c>
      <c r="G32" t="inlineStr">
        <is>
          <t>S2职能系统－财经线/财经投资并购及管理部/行业及项目管理中心</t>
        </is>
      </c>
      <c r="H32" s="188" t="n">
        <v>38508</v>
      </c>
      <c r="I32" t="inlineStr">
        <is>
          <t>社会招聘</t>
        </is>
      </c>
      <c r="J32" t="inlineStr">
        <is>
          <t>财经类－FN</t>
        </is>
      </c>
      <c r="K32" t="inlineStr">
        <is>
          <t>投资并购</t>
        </is>
      </c>
      <c r="L32" t="inlineStr">
        <is>
          <t>S9</t>
        </is>
      </c>
      <c r="N32" t="inlineStr">
        <is>
          <t>T2</t>
        </is>
      </c>
      <c r="Q32" t="inlineStr">
        <is>
          <t>O,G</t>
        </is>
      </c>
      <c r="U32" t="n">
        <v>51669.4</v>
      </c>
      <c r="V32" t="n">
        <v>0.083333</v>
      </c>
      <c r="W32" t="inlineStr">
        <is>
          <t>CNY</t>
        </is>
      </c>
      <c r="X32" t="n">
        <v>1</v>
      </c>
      <c r="Y32" t="n">
        <v>47228.38</v>
      </c>
      <c r="Z32" t="n">
        <v>0</v>
      </c>
      <c r="AA32" t="n">
        <v>155008.2</v>
      </c>
      <c r="AF32" t="n">
        <v>0</v>
      </c>
      <c r="AG32" t="n">
        <v>225833.2</v>
      </c>
      <c r="AH32" t="n">
        <v>4.781726580500962</v>
      </c>
      <c r="AJ32" t="n">
        <v>4.781726580500962</v>
      </c>
      <c r="AK32" t="n">
        <v>4.781726580500962</v>
      </c>
      <c r="AQ32" t="n">
        <v>225833.2</v>
      </c>
      <c r="AR32" t="n">
        <v>4.781726580500962</v>
      </c>
      <c r="AS32" t="n">
        <v>1.157347409419361</v>
      </c>
      <c r="BL32" t="n">
        <v>1</v>
      </c>
      <c r="BM32" t="n">
        <v>44560</v>
      </c>
      <c r="BN32" t="n">
        <v>0</v>
      </c>
      <c r="BO32" t="n">
        <v>46020</v>
      </c>
      <c r="BP32" t="inlineStr">
        <is>
          <t>G,O</t>
        </is>
      </c>
      <c r="BQ32" t="inlineStr">
        <is>
          <t>T2</t>
        </is>
      </c>
      <c r="BS32" t="n">
        <v>4.379039497307001</v>
      </c>
      <c r="BT32" t="n">
        <v>0</v>
      </c>
      <c r="BV32" t="n">
        <v>4.379039497307001</v>
      </c>
      <c r="BY32" t="n">
        <v>195130</v>
      </c>
      <c r="BZ32" t="n">
        <v>4.379039497307001</v>
      </c>
      <c r="CP32" t="inlineStr">
        <is>
          <t>财经投资并购及管理部</t>
        </is>
      </c>
      <c r="CQ32" t="inlineStr">
        <is>
          <t>5,3</t>
        </is>
      </c>
      <c r="CR32" t="n">
        <v>9</v>
      </c>
      <c r="CS32" t="inlineStr">
        <is>
          <t>T2</t>
        </is>
      </c>
      <c r="CT32" t="inlineStr">
        <is>
          <t>N</t>
        </is>
      </c>
    </row>
    <row r="33">
      <c r="A33" t="inlineStr">
        <is>
          <t>raymondRen(任建)</t>
        </is>
      </c>
      <c r="C33" t="n">
        <v>63817610</v>
      </c>
      <c r="D33" t="inlineStr">
        <is>
          <t>审计监察</t>
        </is>
      </c>
      <c r="E33" t="inlineStr">
        <is>
          <t>常规审计组</t>
        </is>
      </c>
      <c r="G33" t="inlineStr">
        <is>
          <t>S2职能系统－财经线/审计监察/常规审计组</t>
        </is>
      </c>
      <c r="H33" s="188" t="n">
        <v>44823</v>
      </c>
      <c r="I33" t="inlineStr">
        <is>
          <t>高校招聘</t>
        </is>
      </c>
      <c r="J33" t="inlineStr">
        <is>
          <t>财经类－FN</t>
        </is>
      </c>
      <c r="K33" t="inlineStr">
        <is>
          <t>风险管理</t>
        </is>
      </c>
      <c r="L33" t="inlineStr">
        <is>
          <t>S8</t>
        </is>
      </c>
      <c r="N33" t="inlineStr">
        <is>
          <t>T2</t>
        </is>
      </c>
      <c r="Q33" t="inlineStr">
        <is>
          <t>O,G</t>
        </is>
      </c>
      <c r="U33" t="n">
        <v>45684.9</v>
      </c>
      <c r="V33" t="n">
        <v>0.083333</v>
      </c>
      <c r="W33" t="inlineStr">
        <is>
          <t>CNY</t>
        </is>
      </c>
      <c r="X33" t="n">
        <v>1</v>
      </c>
      <c r="Y33" t="n">
        <v>44164.01</v>
      </c>
      <c r="Z33" t="n">
        <v>0</v>
      </c>
      <c r="AA33" t="n">
        <v>137054.7</v>
      </c>
      <c r="AF33" t="n">
        <v>0</v>
      </c>
      <c r="AG33" t="n">
        <v>187904.7</v>
      </c>
      <c r="AH33" t="n">
        <v>4.254701962072738</v>
      </c>
      <c r="AJ33" t="n">
        <v>4.254701962072738</v>
      </c>
      <c r="AK33" t="n">
        <v>4.254701962072738</v>
      </c>
      <c r="AQ33" t="n">
        <v>187904.7</v>
      </c>
      <c r="AR33" t="n">
        <v>4.254701962072738</v>
      </c>
      <c r="AS33" t="n">
        <v>2.112713064987632</v>
      </c>
      <c r="BL33" t="n">
        <v>1</v>
      </c>
      <c r="BM33" t="n">
        <v>36860</v>
      </c>
      <c r="BN33" t="n">
        <v>0</v>
      </c>
      <c r="BO33" t="n">
        <v>37780</v>
      </c>
      <c r="BP33" t="inlineStr">
        <is>
          <t>U,G</t>
        </is>
      </c>
      <c r="BQ33" t="inlineStr">
        <is>
          <t>T2</t>
        </is>
      </c>
      <c r="BS33" t="n">
        <v>2.412913727618014</v>
      </c>
      <c r="BT33" t="n">
        <v>0</v>
      </c>
      <c r="BV33" t="n">
        <v>2.412913727618014</v>
      </c>
      <c r="BY33" t="n">
        <v>88940</v>
      </c>
      <c r="BZ33" t="n">
        <v>2.412913727618014</v>
      </c>
      <c r="CP33" t="inlineStr">
        <is>
          <t>审计监察</t>
        </is>
      </c>
      <c r="CQ33" t="inlineStr">
        <is>
          <t>5,3</t>
        </is>
      </c>
      <c r="CR33" t="n">
        <v>8</v>
      </c>
      <c r="CS33" t="inlineStr">
        <is>
          <t>T2</t>
        </is>
      </c>
      <c r="CT33" t="inlineStr">
        <is>
          <t>N</t>
        </is>
      </c>
    </row>
    <row r="34">
      <c r="A34" t="inlineStr">
        <is>
          <t>kathrynLu(卢柔晴)</t>
        </is>
      </c>
      <c r="C34" t="n">
        <v>50156370</v>
      </c>
      <c r="D34" t="inlineStr">
        <is>
          <t>PCG财务管理</t>
        </is>
      </c>
      <c r="E34" t="inlineStr">
        <is>
          <t>新闻财务管理组</t>
        </is>
      </c>
      <c r="G34" t="inlineStr">
        <is>
          <t>S2职能系统－财经线/PCG财务管理/新闻财务管理组</t>
        </is>
      </c>
      <c r="H34" s="188" t="n">
        <v>40062</v>
      </c>
      <c r="I34" t="inlineStr">
        <is>
          <t>高校招聘</t>
        </is>
      </c>
      <c r="J34" t="inlineStr">
        <is>
          <t>财经类－FN</t>
        </is>
      </c>
      <c r="K34" t="inlineStr">
        <is>
          <t>财务管理</t>
        </is>
      </c>
      <c r="L34" t="inlineStr">
        <is>
          <t>S10</t>
        </is>
      </c>
      <c r="N34" t="inlineStr">
        <is>
          <t>Others</t>
        </is>
      </c>
      <c r="Q34" t="inlineStr">
        <is>
          <t>G,O</t>
        </is>
      </c>
      <c r="U34" t="n">
        <v>45882.35</v>
      </c>
      <c r="V34" t="n">
        <v>0.083333</v>
      </c>
      <c r="W34" t="inlineStr">
        <is>
          <t>CNY</t>
        </is>
      </c>
      <c r="X34" t="n">
        <v>1</v>
      </c>
      <c r="Y34" t="n">
        <v>42313.88</v>
      </c>
      <c r="Z34" t="n">
        <v>0</v>
      </c>
      <c r="AA34" t="n">
        <v>137647.05</v>
      </c>
      <c r="AF34" t="n">
        <v>0</v>
      </c>
      <c r="AG34" t="n">
        <v>174197.05</v>
      </c>
      <c r="AH34" t="n">
        <v>4.11678271999637</v>
      </c>
      <c r="AJ34" t="n">
        <v>4.11678271999637</v>
      </c>
      <c r="AK34" t="n">
        <v>4.11678271999637</v>
      </c>
      <c r="AQ34" t="n">
        <v>174197.05</v>
      </c>
      <c r="AR34" t="n">
        <v>4.11678271999637</v>
      </c>
      <c r="AS34" t="n">
        <v>0.9436971125196381</v>
      </c>
      <c r="BL34" t="n">
        <v>1</v>
      </c>
      <c r="BM34" t="n">
        <v>40370</v>
      </c>
      <c r="BN34" t="n">
        <v>0</v>
      </c>
      <c r="BO34" t="n">
        <v>41780</v>
      </c>
      <c r="BP34" t="inlineStr">
        <is>
          <t>O,G</t>
        </is>
      </c>
      <c r="BQ34" t="inlineStr">
        <is>
          <t>Others</t>
        </is>
      </c>
      <c r="BS34" t="n">
        <v>4.57245479316324</v>
      </c>
      <c r="BT34" t="n">
        <v>0</v>
      </c>
      <c r="BV34" t="n">
        <v>4.57245479316324</v>
      </c>
      <c r="BY34" t="n">
        <v>184590</v>
      </c>
      <c r="BZ34" t="n">
        <v>4.57245479316324</v>
      </c>
      <c r="CP34" t="inlineStr">
        <is>
          <t>PCG财务管理</t>
        </is>
      </c>
      <c r="CQ34" t="inlineStr">
        <is>
          <t>5,3</t>
        </is>
      </c>
      <c r="CR34" t="n">
        <v>10</v>
      </c>
      <c r="CS34" t="inlineStr">
        <is>
          <t>Others</t>
        </is>
      </c>
      <c r="CT34" t="inlineStr">
        <is>
          <t>N</t>
        </is>
      </c>
    </row>
    <row r="35">
      <c r="A35" t="inlineStr">
        <is>
          <t>russellTang(唐龙杰)</t>
        </is>
      </c>
      <c r="C35" t="n">
        <v>30708606</v>
      </c>
      <c r="D35" t="inlineStr">
        <is>
          <t>风险管理和内部控制</t>
        </is>
      </c>
      <c r="E35" t="inlineStr">
        <is>
          <t>CDG-AMS风控组</t>
        </is>
      </c>
      <c r="G35" t="inlineStr">
        <is>
          <t>S2职能系统－财经线/风险管理和内部控制/CDG-AMS风控组</t>
        </is>
      </c>
      <c r="H35" s="188" t="n">
        <v>36265</v>
      </c>
      <c r="I35" t="inlineStr">
        <is>
          <t>社会招聘</t>
        </is>
      </c>
      <c r="J35" t="inlineStr">
        <is>
          <t>财经类－FN</t>
        </is>
      </c>
      <c r="K35" t="inlineStr">
        <is>
          <t>风险管理</t>
        </is>
      </c>
      <c r="L35" t="inlineStr">
        <is>
          <t>S12</t>
        </is>
      </c>
      <c r="N35" t="inlineStr">
        <is>
          <t>T2</t>
        </is>
      </c>
      <c r="Q35" t="inlineStr">
        <is>
          <t>G,G</t>
        </is>
      </c>
      <c r="U35" t="n">
        <v>58284.8</v>
      </c>
      <c r="V35" t="n">
        <v>0.083333</v>
      </c>
      <c r="W35" t="inlineStr">
        <is>
          <t>CNY</t>
        </is>
      </c>
      <c r="X35" t="n">
        <v>1</v>
      </c>
      <c r="Y35" t="n">
        <v>56092.82</v>
      </c>
      <c r="Z35" t="n">
        <v>0</v>
      </c>
      <c r="AA35" t="n">
        <v>116569.6</v>
      </c>
      <c r="AF35" t="n">
        <v>0</v>
      </c>
      <c r="AG35" t="n">
        <v>177854.6</v>
      </c>
      <c r="AH35" t="n">
        <v>3.170719532375089</v>
      </c>
      <c r="AJ35" t="n">
        <v>3.170719532375089</v>
      </c>
      <c r="AK35" t="n">
        <v>3.170719532375089</v>
      </c>
      <c r="AQ35" t="n">
        <v>177854.6</v>
      </c>
      <c r="AR35" t="n">
        <v>3.170719532375089</v>
      </c>
      <c r="AS35" t="n">
        <v>0.9739587098187394</v>
      </c>
      <c r="BL35" t="n">
        <v>1</v>
      </c>
      <c r="BM35" t="n">
        <v>51765</v>
      </c>
      <c r="BN35" t="n">
        <v>0</v>
      </c>
      <c r="BO35" t="n">
        <v>53870</v>
      </c>
      <c r="BP35" t="inlineStr">
        <is>
          <t>G,G</t>
        </is>
      </c>
      <c r="BQ35" t="inlineStr">
        <is>
          <t>T2</t>
        </is>
      </c>
      <c r="BS35" t="n">
        <v>3.527673138220806</v>
      </c>
      <c r="BT35" t="n">
        <v>0</v>
      </c>
      <c r="BV35" t="n">
        <v>3.527673138220806</v>
      </c>
      <c r="BY35" t="n">
        <v>182610</v>
      </c>
      <c r="BZ35" t="n">
        <v>3.527673138220806</v>
      </c>
      <c r="CP35" t="inlineStr">
        <is>
          <t>风险管理和内部控制</t>
        </is>
      </c>
      <c r="CQ35" t="inlineStr">
        <is>
          <t>3,3</t>
        </is>
      </c>
      <c r="CR35" t="n">
        <v>12</v>
      </c>
      <c r="CS35" t="inlineStr">
        <is>
          <t>T2</t>
        </is>
      </c>
      <c r="CT35" t="inlineStr">
        <is>
          <t>N</t>
        </is>
      </c>
    </row>
    <row r="36">
      <c r="A36" t="inlineStr">
        <is>
          <t>charlotteDong(董娇露)</t>
        </is>
      </c>
      <c r="C36" t="n">
        <v>11495799</v>
      </c>
      <c r="D36" t="inlineStr">
        <is>
          <t>风险管理和内部控制</t>
        </is>
      </c>
      <c r="E36" t="inlineStr">
        <is>
          <t>WXG风控中心</t>
        </is>
      </c>
      <c r="G36" t="inlineStr">
        <is>
          <t>S2职能系统－财经线/风险管理和内部控制/WXG风控中心</t>
        </is>
      </c>
      <c r="H36" s="188" t="n">
        <v>38111</v>
      </c>
      <c r="I36" t="inlineStr">
        <is>
          <t>社会招聘</t>
        </is>
      </c>
      <c r="J36" t="inlineStr">
        <is>
          <t>财经类－FN</t>
        </is>
      </c>
      <c r="K36" t="inlineStr">
        <is>
          <t>风险管理</t>
        </is>
      </c>
      <c r="L36" t="inlineStr">
        <is>
          <t>S8</t>
        </is>
      </c>
      <c r="N36" t="inlineStr">
        <is>
          <t>T1</t>
        </is>
      </c>
      <c r="Q36" t="inlineStr">
        <is>
          <t>G,G</t>
        </is>
      </c>
      <c r="U36" t="n">
        <v>32854.85</v>
      </c>
      <c r="V36" t="n">
        <v>0.083333</v>
      </c>
      <c r="W36" t="inlineStr">
        <is>
          <t>CNY</t>
        </is>
      </c>
      <c r="X36" t="n">
        <v>1</v>
      </c>
      <c r="Y36" t="n">
        <v>31083.59</v>
      </c>
      <c r="Z36" t="n">
        <v>0</v>
      </c>
      <c r="AA36" t="n">
        <v>65709.7</v>
      </c>
      <c r="AF36" t="n">
        <v>0</v>
      </c>
      <c r="AG36" t="n">
        <v>195459.7</v>
      </c>
      <c r="AH36" t="n">
        <v>6.288195797203605</v>
      </c>
      <c r="AJ36" t="n">
        <v>6.288195797203605</v>
      </c>
      <c r="AK36" t="n">
        <v>4.544832176720901</v>
      </c>
      <c r="AQ36" t="n">
        <v>195459.7</v>
      </c>
      <c r="AR36" t="n">
        <v>6.288195797203605</v>
      </c>
      <c r="AS36" t="n">
        <v>1.186473837562219</v>
      </c>
      <c r="BL36" t="n">
        <v>1</v>
      </c>
      <c r="BM36" t="n">
        <v>27300</v>
      </c>
      <c r="BN36" t="n">
        <v>0</v>
      </c>
      <c r="BO36" t="n">
        <v>29675</v>
      </c>
      <c r="BP36" t="inlineStr">
        <is>
          <t>G,O</t>
        </is>
      </c>
      <c r="BQ36" t="inlineStr">
        <is>
          <t>T1</t>
        </is>
      </c>
      <c r="BS36" t="n">
        <v>4.56996336996337</v>
      </c>
      <c r="BT36" t="n">
        <v>39980</v>
      </c>
      <c r="BV36" t="n">
        <v>6.034432234432234</v>
      </c>
      <c r="BY36" t="n">
        <v>164740</v>
      </c>
      <c r="BZ36" t="n">
        <v>6.034432234432234</v>
      </c>
      <c r="CP36" t="inlineStr">
        <is>
          <t>风险管理和内部控制</t>
        </is>
      </c>
      <c r="CQ36" t="inlineStr">
        <is>
          <t>3,3</t>
        </is>
      </c>
      <c r="CR36" t="n">
        <v>8</v>
      </c>
      <c r="CS36" t="inlineStr">
        <is>
          <t>T1</t>
        </is>
      </c>
      <c r="CT36" t="inlineStr">
        <is>
          <t>N</t>
        </is>
      </c>
    </row>
    <row r="37">
      <c r="A37" t="inlineStr">
        <is>
          <t>walterNiu(牛超)</t>
        </is>
      </c>
      <c r="C37" t="n">
        <v>3811253</v>
      </c>
      <c r="D37" t="inlineStr">
        <is>
          <t>CDG财务管理</t>
        </is>
      </c>
      <c r="E37" t="inlineStr">
        <is>
          <t>AMS收入支持中心</t>
        </is>
      </c>
      <c r="G37" t="inlineStr">
        <is>
          <t>S2职能系统－财经线/CDG财务管理/AMS收入支持中心</t>
        </is>
      </c>
      <c r="H37" s="188" t="n">
        <v>41945</v>
      </c>
      <c r="I37" t="inlineStr">
        <is>
          <t>高校招聘</t>
        </is>
      </c>
      <c r="J37" t="inlineStr">
        <is>
          <t>财经类－FN</t>
        </is>
      </c>
      <c r="K37" t="inlineStr">
        <is>
          <t>财务管理</t>
        </is>
      </c>
      <c r="L37" t="inlineStr">
        <is>
          <t>S8</t>
        </is>
      </c>
      <c r="N37" t="inlineStr">
        <is>
          <t>T2</t>
        </is>
      </c>
      <c r="Q37" t="inlineStr">
        <is>
          <t>G,U</t>
        </is>
      </c>
      <c r="U37" t="n">
        <v>42665.75</v>
      </c>
      <c r="V37" t="n">
        <v>0.083333</v>
      </c>
      <c r="W37" t="inlineStr">
        <is>
          <t>CNY</t>
        </is>
      </c>
      <c r="X37" t="n">
        <v>1</v>
      </c>
      <c r="Y37" t="n">
        <v>40977.16</v>
      </c>
      <c r="Z37" t="n">
        <v>0</v>
      </c>
      <c r="AA37" t="n">
        <v>42665.75</v>
      </c>
      <c r="AF37" t="n">
        <v>0</v>
      </c>
      <c r="AG37" t="n">
        <v>100835.75</v>
      </c>
      <c r="AH37" t="n">
        <v>2.460779370751902</v>
      </c>
      <c r="AJ37" t="n">
        <v>2.460779370751902</v>
      </c>
      <c r="AK37" t="n">
        <v>2.460779370751902</v>
      </c>
      <c r="AQ37" t="n">
        <v>100835.75</v>
      </c>
      <c r="AR37" t="n">
        <v>2.460779370751902</v>
      </c>
      <c r="AS37" t="n">
        <v>0.359184818423068</v>
      </c>
      <c r="BL37" t="n">
        <v>1</v>
      </c>
      <c r="BM37" t="n">
        <v>35680</v>
      </c>
      <c r="BN37" t="n">
        <v>0</v>
      </c>
      <c r="BO37" t="n">
        <v>38620</v>
      </c>
      <c r="BP37" t="inlineStr">
        <is>
          <t>G,O</t>
        </is>
      </c>
      <c r="BQ37" t="inlineStr">
        <is>
          <t>T1#</t>
        </is>
      </c>
      <c r="BS37" t="n">
        <v>6.551149103139013</v>
      </c>
      <c r="BT37" t="n">
        <v>46990</v>
      </c>
      <c r="BV37" t="n">
        <v>7.868133408071749</v>
      </c>
      <c r="BY37" t="n">
        <v>280735</v>
      </c>
      <c r="BZ37" t="n">
        <v>7.868133408071749</v>
      </c>
      <c r="CP37" t="inlineStr">
        <is>
          <t>CDG财务管理</t>
        </is>
      </c>
      <c r="CQ37" t="inlineStr">
        <is>
          <t>3,1</t>
        </is>
      </c>
      <c r="CR37" t="n">
        <v>8</v>
      </c>
      <c r="CS37" t="inlineStr">
        <is>
          <t>T2</t>
        </is>
      </c>
      <c r="CT37" t="inlineStr">
        <is>
          <t>N</t>
        </is>
      </c>
    </row>
    <row r="38">
      <c r="A38" t="inlineStr">
        <is>
          <t>sharonShi(史媛)</t>
        </is>
      </c>
      <c r="C38" t="n">
        <v>46212609</v>
      </c>
      <c r="D38" t="inlineStr">
        <is>
          <t>财会及报告管理部</t>
        </is>
      </c>
      <c r="E38" t="inlineStr">
        <is>
          <t>供应商支付管理中心</t>
        </is>
      </c>
      <c r="G38" t="inlineStr">
        <is>
          <t>S2职能系统－财经线/财会及报告管理部/供应商支付管理中心</t>
        </is>
      </c>
      <c r="H38" s="188" t="n">
        <v>38878</v>
      </c>
      <c r="I38" t="inlineStr">
        <is>
          <t>社会招聘</t>
        </is>
      </c>
      <c r="J38" t="inlineStr">
        <is>
          <t>财经类－FN</t>
        </is>
      </c>
      <c r="K38" t="inlineStr">
        <is>
          <t>会计</t>
        </is>
      </c>
      <c r="L38" t="inlineStr">
        <is>
          <t>S5</t>
        </is>
      </c>
      <c r="N38" t="inlineStr">
        <is>
          <t>T1</t>
        </is>
      </c>
      <c r="Q38" t="inlineStr">
        <is>
          <t>O,G</t>
        </is>
      </c>
      <c r="U38" t="n">
        <v>29222.4</v>
      </c>
      <c r="V38" t="n">
        <v>0.083333</v>
      </c>
      <c r="W38" t="inlineStr">
        <is>
          <t>CNY</t>
        </is>
      </c>
      <c r="X38" t="n">
        <v>1</v>
      </c>
      <c r="Y38" t="n">
        <v>28181.58</v>
      </c>
      <c r="Z38" t="n">
        <v>0</v>
      </c>
      <c r="AA38" t="n">
        <v>87667.2</v>
      </c>
      <c r="AF38" t="n">
        <v>0</v>
      </c>
      <c r="AG38" t="n">
        <v>206377.2</v>
      </c>
      <c r="AH38" t="n">
        <v>7.323123827691705</v>
      </c>
      <c r="AJ38" t="n">
        <v>7.323123827691705</v>
      </c>
      <c r="AK38" t="n">
        <v>5.611899687668328</v>
      </c>
      <c r="AQ38" t="n">
        <v>206377.2</v>
      </c>
      <c r="AR38" t="n">
        <v>7.323123827691705</v>
      </c>
      <c r="AS38" t="n">
        <v>3.759147540983607</v>
      </c>
      <c r="BL38" t="n">
        <v>1</v>
      </c>
      <c r="BM38" t="n">
        <v>23780</v>
      </c>
      <c r="BN38" t="n">
        <v>0</v>
      </c>
      <c r="BO38" t="n">
        <v>24285</v>
      </c>
      <c r="BP38" t="inlineStr">
        <is>
          <t>U,G</t>
        </is>
      </c>
      <c r="BQ38" t="inlineStr">
        <is>
          <t>T1</t>
        </is>
      </c>
      <c r="BS38" t="n">
        <v>2.308662741799832</v>
      </c>
      <c r="BT38" t="n">
        <v>0</v>
      </c>
      <c r="BV38" t="n">
        <v>2.308662741799832</v>
      </c>
      <c r="BY38" t="n">
        <v>54900</v>
      </c>
      <c r="BZ38" t="n">
        <v>2.308662741799832</v>
      </c>
      <c r="CP38" t="inlineStr">
        <is>
          <t>财会及报告管理部</t>
        </is>
      </c>
      <c r="CQ38" t="inlineStr">
        <is>
          <t>5,3</t>
        </is>
      </c>
      <c r="CR38" t="n">
        <v>5</v>
      </c>
      <c r="CS38" t="inlineStr">
        <is>
          <t>T1</t>
        </is>
      </c>
      <c r="CT38" t="inlineStr">
        <is>
          <t>N</t>
        </is>
      </c>
    </row>
    <row r="39">
      <c r="A39" t="inlineStr">
        <is>
          <t>wayneChang(常阳)</t>
        </is>
      </c>
      <c r="C39" t="n">
        <v>74666760</v>
      </c>
      <c r="D39" t="inlineStr">
        <is>
          <t>预算及职能系统财务管理部</t>
        </is>
      </c>
      <c r="E39" t="inlineStr">
        <is>
          <t>预算管理中心</t>
        </is>
      </c>
      <c r="G39" t="inlineStr">
        <is>
          <t>S2职能系统－财经线/预算及职能系统财务管理部/预算管理中心</t>
        </is>
      </c>
      <c r="H39" s="188" t="n">
        <v>43256</v>
      </c>
      <c r="I39" t="inlineStr">
        <is>
          <t>社会招聘</t>
        </is>
      </c>
      <c r="J39" t="inlineStr">
        <is>
          <t>财经类－FN</t>
        </is>
      </c>
      <c r="K39" t="inlineStr">
        <is>
          <t>预算管理</t>
        </is>
      </c>
      <c r="L39" t="inlineStr">
        <is>
          <t>S10</t>
        </is>
      </c>
      <c r="N39" t="inlineStr">
        <is>
          <t>T1</t>
        </is>
      </c>
      <c r="Q39" t="inlineStr">
        <is>
          <t>U,G</t>
        </is>
      </c>
      <c r="U39" t="n">
        <v>35677.4</v>
      </c>
      <c r="V39" t="n">
        <v>0.083333</v>
      </c>
      <c r="W39" t="inlineStr">
        <is>
          <t>CNY</t>
        </is>
      </c>
      <c r="X39" t="n">
        <v>1</v>
      </c>
      <c r="Y39" t="n">
        <v>34145.86</v>
      </c>
      <c r="Z39" t="n">
        <v>0</v>
      </c>
      <c r="AA39" t="n">
        <v>35677.4</v>
      </c>
      <c r="AF39" t="n">
        <v>0</v>
      </c>
      <c r="AG39" t="n">
        <v>122502.4</v>
      </c>
      <c r="AH39" t="n">
        <v>3.587620871168569</v>
      </c>
      <c r="AJ39" t="n">
        <v>3.587620871168569</v>
      </c>
      <c r="AK39" t="n">
        <v>3.587620871168569</v>
      </c>
      <c r="AQ39" t="n">
        <v>122502.4</v>
      </c>
      <c r="AR39" t="n">
        <v>3.587620871168569</v>
      </c>
      <c r="AS39" t="n">
        <v>0.9608785002745313</v>
      </c>
      <c r="BL39" t="n">
        <v>1</v>
      </c>
      <c r="BM39" t="n">
        <v>28695</v>
      </c>
      <c r="BN39" t="n">
        <v>0</v>
      </c>
      <c r="BO39" t="n">
        <v>29060</v>
      </c>
      <c r="BP39" t="inlineStr">
        <is>
          <t>G,G</t>
        </is>
      </c>
      <c r="BQ39" t="inlineStr">
        <is>
          <t>T1</t>
        </is>
      </c>
      <c r="BS39" t="n">
        <v>3.089911134343962</v>
      </c>
      <c r="BT39" t="n">
        <v>38825</v>
      </c>
      <c r="BV39" t="n">
        <v>4.442934309113086</v>
      </c>
      <c r="BY39" t="n">
        <v>127490</v>
      </c>
      <c r="BZ39" t="n">
        <v>4.442934309113086</v>
      </c>
      <c r="CP39" t="inlineStr">
        <is>
          <t>预算及职能系统财务管理部</t>
        </is>
      </c>
      <c r="CQ39" t="inlineStr">
        <is>
          <t>3,1</t>
        </is>
      </c>
      <c r="CR39" t="n">
        <v>10</v>
      </c>
      <c r="CS39" t="inlineStr">
        <is>
          <t>T1</t>
        </is>
      </c>
      <c r="CT39" t="inlineStr">
        <is>
          <t>N</t>
        </is>
      </c>
    </row>
    <row r="40">
      <c r="A40" t="inlineStr">
        <is>
          <t>kevinQian(钱峰阳)</t>
        </is>
      </c>
      <c r="C40" t="n">
        <v>91424281</v>
      </c>
      <c r="D40" t="inlineStr">
        <is>
          <t>风险管理和内部控制</t>
        </is>
      </c>
      <c r="E40" t="inlineStr">
        <is>
          <t>WXG风控中心</t>
        </is>
      </c>
      <c r="G40" t="inlineStr">
        <is>
          <t>S2职能系统－财经线/风险管理和内部控制/WXG风控中心</t>
        </is>
      </c>
      <c r="H40" s="188" t="n">
        <v>45377</v>
      </c>
      <c r="I40" t="inlineStr">
        <is>
          <t>社会招聘</t>
        </is>
      </c>
      <c r="J40" t="inlineStr">
        <is>
          <t>财经类－FN</t>
        </is>
      </c>
      <c r="K40" t="inlineStr">
        <is>
          <t>风险管理</t>
        </is>
      </c>
      <c r="L40" t="inlineStr">
        <is>
          <t>S8</t>
        </is>
      </c>
      <c r="N40" t="inlineStr">
        <is>
          <t>T2</t>
        </is>
      </c>
      <c r="Q40" t="inlineStr">
        <is>
          <t>G,O</t>
        </is>
      </c>
      <c r="U40" t="n">
        <v>46653.7</v>
      </c>
      <c r="V40" t="n">
        <v>0.083333</v>
      </c>
      <c r="W40" t="inlineStr">
        <is>
          <t>CNY</t>
        </is>
      </c>
      <c r="X40" t="n">
        <v>0.767123</v>
      </c>
      <c r="Y40" t="n">
        <v>44279.38</v>
      </c>
      <c r="Z40" t="n">
        <v>0</v>
      </c>
      <c r="AA40" t="n">
        <v>35789.13</v>
      </c>
      <c r="AF40" t="n">
        <v>0</v>
      </c>
      <c r="AG40" t="n">
        <v>35789.13</v>
      </c>
      <c r="AH40" t="n">
        <v>0.808257252021144</v>
      </c>
      <c r="AJ40" t="n">
        <v>0.808257252021144</v>
      </c>
      <c r="AK40" t="n">
        <v>0.808257252021144</v>
      </c>
      <c r="AQ40" t="n">
        <v>35789.13</v>
      </c>
      <c r="AR40" t="n">
        <v>0.808257252021144</v>
      </c>
      <c r="BM40" t="n">
        <v>0</v>
      </c>
      <c r="BN40" t="n">
        <v>0</v>
      </c>
      <c r="BO40" t="n">
        <v>0</v>
      </c>
      <c r="BT40" t="n">
        <v>0</v>
      </c>
      <c r="BY40" t="n">
        <v>0</v>
      </c>
      <c r="CP40" t="inlineStr">
        <is>
          <t>风险管理和内部控制</t>
        </is>
      </c>
      <c r="CQ40" t="inlineStr">
        <is>
          <t>5,3</t>
        </is>
      </c>
      <c r="CR40" t="n">
        <v>8</v>
      </c>
      <c r="CS40" t="inlineStr">
        <is>
          <t>T2</t>
        </is>
      </c>
      <c r="CT40" t="inlineStr">
        <is>
          <t>N</t>
        </is>
      </c>
    </row>
    <row r="41">
      <c r="A41" t="inlineStr">
        <is>
          <t>ariaZeng(曾璐莉)</t>
        </is>
      </c>
      <c r="C41" t="n">
        <v>88685121</v>
      </c>
      <c r="D41" t="inlineStr">
        <is>
          <t>财经IT管理部</t>
        </is>
      </c>
      <c r="E41" t="inlineStr">
        <is>
          <t>业务开发中心</t>
        </is>
      </c>
      <c r="G41" t="inlineStr">
        <is>
          <t>S2职能系统－财经线/财经IT管理部/业务开发中心</t>
        </is>
      </c>
      <c r="H41" s="188" t="n">
        <v>36550</v>
      </c>
      <c r="I41" t="inlineStr">
        <is>
          <t>社会招聘</t>
        </is>
      </c>
      <c r="J41" t="inlineStr">
        <is>
          <t>技术研发类－TRD</t>
        </is>
      </c>
      <c r="K41" t="inlineStr">
        <is>
          <t>应用开发</t>
        </is>
      </c>
      <c r="L41" t="inlineStr">
        <is>
          <t>T11</t>
        </is>
      </c>
      <c r="N41" t="inlineStr">
        <is>
          <t>T1</t>
        </is>
      </c>
      <c r="Q41" t="inlineStr">
        <is>
          <t>G,G</t>
        </is>
      </c>
      <c r="U41" t="n">
        <v>54850.25</v>
      </c>
      <c r="V41" t="n">
        <v>0.083333</v>
      </c>
      <c r="W41" t="inlineStr">
        <is>
          <t>CNY</t>
        </is>
      </c>
      <c r="X41" t="n">
        <v>1</v>
      </c>
      <c r="Y41" t="n">
        <v>50436.78</v>
      </c>
      <c r="Z41" t="n">
        <v>0</v>
      </c>
      <c r="AA41" t="n">
        <v>109700.5</v>
      </c>
      <c r="AF41" t="n">
        <v>0</v>
      </c>
      <c r="AG41" t="n">
        <v>315960.5</v>
      </c>
      <c r="AH41" t="n">
        <v>6.264485956478586</v>
      </c>
      <c r="AJ41" t="n">
        <v>6.264485956478586</v>
      </c>
      <c r="AK41" t="n">
        <v>4.624115575974517</v>
      </c>
      <c r="AQ41" t="n">
        <v>315960.5</v>
      </c>
      <c r="AR41" t="n">
        <v>6.264485956478586</v>
      </c>
      <c r="AS41" t="n">
        <v>0.9478198917070391</v>
      </c>
      <c r="BL41" t="n">
        <v>1</v>
      </c>
      <c r="BM41" t="n">
        <v>46005</v>
      </c>
      <c r="BN41" t="n">
        <v>0</v>
      </c>
      <c r="BO41" t="n">
        <v>47660</v>
      </c>
      <c r="BP41" t="inlineStr">
        <is>
          <t>O,O</t>
        </is>
      </c>
      <c r="BQ41" t="inlineStr">
        <is>
          <t>T1</t>
        </is>
      </c>
      <c r="BS41" t="n">
        <v>5.560047820889034</v>
      </c>
      <c r="BT41" t="n">
        <v>77565</v>
      </c>
      <c r="BV41" t="n">
        <v>7.246060210846647</v>
      </c>
      <c r="BY41" t="n">
        <v>333355</v>
      </c>
      <c r="BZ41" t="n">
        <v>7.246060210846647</v>
      </c>
      <c r="CP41" t="inlineStr">
        <is>
          <t>财经IT管理部</t>
        </is>
      </c>
      <c r="CQ41" t="inlineStr">
        <is>
          <t>3,3</t>
        </is>
      </c>
      <c r="CR41" t="n">
        <v>11</v>
      </c>
      <c r="CS41" t="inlineStr">
        <is>
          <t>T1</t>
        </is>
      </c>
      <c r="CT41" t="inlineStr">
        <is>
          <t>N</t>
        </is>
      </c>
    </row>
    <row r="42">
      <c r="A42" t="inlineStr">
        <is>
          <t>seanShi(施博力)</t>
        </is>
      </c>
      <c r="C42" t="n">
        <v>13692542</v>
      </c>
      <c r="D42" t="inlineStr">
        <is>
          <t>财会及报告管理部</t>
        </is>
      </c>
      <c r="E42" t="inlineStr">
        <is>
          <t>账务中心</t>
        </is>
      </c>
      <c r="G42" t="inlineStr">
        <is>
          <t>S2职能系统－财经线/财会及报告管理部/账务中心</t>
        </is>
      </c>
      <c r="H42" s="188" t="n">
        <v>43674</v>
      </c>
      <c r="I42" t="inlineStr">
        <is>
          <t>社会招聘</t>
        </is>
      </c>
      <c r="J42" t="inlineStr">
        <is>
          <t>财经类－FN</t>
        </is>
      </c>
      <c r="K42" t="inlineStr">
        <is>
          <t>会计</t>
        </is>
      </c>
      <c r="L42" t="inlineStr">
        <is>
          <t>S6</t>
        </is>
      </c>
      <c r="N42" t="inlineStr">
        <is>
          <t>T1#</t>
        </is>
      </c>
      <c r="Q42" t="inlineStr">
        <is>
          <t>G,G</t>
        </is>
      </c>
      <c r="U42" t="n">
        <v>23356.65</v>
      </c>
      <c r="V42" t="n">
        <v>0.083333</v>
      </c>
      <c r="W42" t="inlineStr">
        <is>
          <t>CNY</t>
        </is>
      </c>
      <c r="X42" t="n">
        <v>1</v>
      </c>
      <c r="Y42" t="n">
        <v>21832.3</v>
      </c>
      <c r="Z42" t="n">
        <v>0</v>
      </c>
      <c r="AA42" t="n">
        <v>46713.3</v>
      </c>
      <c r="AF42" t="n">
        <v>0</v>
      </c>
      <c r="AG42" t="n">
        <v>146943.3</v>
      </c>
      <c r="AH42" t="n">
        <v>6.730546025842444</v>
      </c>
      <c r="AJ42" t="n">
        <v>6.730546025842444</v>
      </c>
      <c r="AK42" t="n">
        <v>5.396971459717941</v>
      </c>
      <c r="AQ42" t="n">
        <v>146943.3</v>
      </c>
      <c r="AR42" t="n">
        <v>6.730546025842444</v>
      </c>
      <c r="AS42" t="n">
        <v>1.122090030926654</v>
      </c>
      <c r="BL42" t="n">
        <v>1</v>
      </c>
      <c r="BM42" t="n">
        <v>19835</v>
      </c>
      <c r="BN42" t="n">
        <v>0</v>
      </c>
      <c r="BO42" t="n">
        <v>20055</v>
      </c>
      <c r="BP42" t="inlineStr">
        <is>
          <t>G,G</t>
        </is>
      </c>
      <c r="BQ42" t="inlineStr">
        <is>
          <t>T1#</t>
        </is>
      </c>
      <c r="BS42" t="n">
        <v>5.251323418200151</v>
      </c>
      <c r="BT42" t="n">
        <v>26795</v>
      </c>
      <c r="BV42" t="n">
        <v>6.602218300983111</v>
      </c>
      <c r="BY42" t="n">
        <v>130955</v>
      </c>
      <c r="BZ42" t="n">
        <v>6.602218300983111</v>
      </c>
      <c r="CP42" t="inlineStr">
        <is>
          <t>财会及报告管理部</t>
        </is>
      </c>
      <c r="CQ42" t="inlineStr">
        <is>
          <t>3,3</t>
        </is>
      </c>
      <c r="CR42" t="n">
        <v>6</v>
      </c>
      <c r="CS42" t="inlineStr">
        <is>
          <t>T1#</t>
        </is>
      </c>
      <c r="CT42" t="inlineStr">
        <is>
          <t>N</t>
        </is>
      </c>
    </row>
    <row r="43">
      <c r="A43" t="inlineStr">
        <is>
          <t>kennethShi(施彪志)</t>
        </is>
      </c>
      <c r="C43" t="n">
        <v>83510684</v>
      </c>
      <c r="D43" t="inlineStr">
        <is>
          <t>FiT财务管理</t>
        </is>
      </c>
      <c r="E43" t="inlineStr">
        <is>
          <t>业务支持与分析中心</t>
        </is>
      </c>
      <c r="G43" t="inlineStr">
        <is>
          <t>S2职能系统－财经线/FiT财务管理/业务支持与分析中心</t>
        </is>
      </c>
      <c r="H43" s="188" t="n">
        <v>37145</v>
      </c>
      <c r="I43" t="inlineStr">
        <is>
          <t>社会招聘</t>
        </is>
      </c>
      <c r="J43" t="inlineStr">
        <is>
          <t>财经类－FN</t>
        </is>
      </c>
      <c r="K43" t="inlineStr">
        <is>
          <t>财务管理</t>
        </is>
      </c>
      <c r="L43" t="inlineStr">
        <is>
          <t>S6</t>
        </is>
      </c>
      <c r="N43" t="inlineStr">
        <is>
          <t>T1#</t>
        </is>
      </c>
      <c r="Q43" t="inlineStr">
        <is>
          <t>G,G</t>
        </is>
      </c>
      <c r="U43" t="n">
        <v>37008.1</v>
      </c>
      <c r="V43" t="n">
        <v>0.083333</v>
      </c>
      <c r="W43" t="inlineStr">
        <is>
          <t>CNY</t>
        </is>
      </c>
      <c r="X43" t="n">
        <v>1</v>
      </c>
      <c r="Y43" t="n">
        <v>34065.36</v>
      </c>
      <c r="Z43" t="n">
        <v>0</v>
      </c>
      <c r="AA43" t="n">
        <v>74016.2</v>
      </c>
      <c r="AF43" t="n">
        <v>0</v>
      </c>
      <c r="AG43" t="n">
        <v>257046.2</v>
      </c>
      <c r="AH43" t="n">
        <v>7.545676898761675</v>
      </c>
      <c r="AJ43" t="n">
        <v>7.545676898761675</v>
      </c>
      <c r="AK43" t="n">
        <v>5.458953024421289</v>
      </c>
      <c r="AQ43" t="n">
        <v>257046.2</v>
      </c>
      <c r="AR43" t="n">
        <v>7.545676898761675</v>
      </c>
      <c r="AS43" t="n">
        <v>1.067290317223053</v>
      </c>
      <c r="BL43" t="n">
        <v>1</v>
      </c>
      <c r="BM43" t="n">
        <v>32010</v>
      </c>
      <c r="BN43" t="n">
        <v>0</v>
      </c>
      <c r="BO43" t="n">
        <v>32285</v>
      </c>
      <c r="BP43" t="inlineStr">
        <is>
          <t>O,G</t>
        </is>
      </c>
      <c r="BQ43" t="inlineStr">
        <is>
          <t>T1#</t>
        </is>
      </c>
      <c r="BS43" t="n">
        <v>6.154170571696345</v>
      </c>
      <c r="BT43" t="n">
        <v>43845</v>
      </c>
      <c r="BV43" t="n">
        <v>7.523898781630741</v>
      </c>
      <c r="BY43" t="n">
        <v>240840</v>
      </c>
      <c r="BZ43" t="n">
        <v>7.523898781630741</v>
      </c>
      <c r="CP43" t="inlineStr">
        <is>
          <t>FiT财务管理</t>
        </is>
      </c>
      <c r="CQ43" t="inlineStr">
        <is>
          <t>3,3</t>
        </is>
      </c>
      <c r="CR43" t="n">
        <v>6</v>
      </c>
      <c r="CS43" t="inlineStr">
        <is>
          <t>T1#</t>
        </is>
      </c>
      <c r="CT43" t="inlineStr">
        <is>
          <t>N</t>
        </is>
      </c>
    </row>
    <row r="44">
      <c r="A44" t="inlineStr">
        <is>
          <t>dianeGuo(郭怡)</t>
        </is>
      </c>
      <c r="C44" t="n">
        <v>34945004</v>
      </c>
      <c r="D44" t="inlineStr">
        <is>
          <t>CSIG财务管理</t>
        </is>
      </c>
      <c r="E44" t="inlineStr">
        <is>
          <t>产品财务管理中心</t>
        </is>
      </c>
      <c r="G44" t="inlineStr">
        <is>
          <t>S2职能系统－财经线/CSIG财务管理/产品财务管理中心</t>
        </is>
      </c>
      <c r="H44" s="188" t="n">
        <v>40737</v>
      </c>
      <c r="I44" t="inlineStr">
        <is>
          <t>社会招聘</t>
        </is>
      </c>
      <c r="J44" t="inlineStr">
        <is>
          <t>财经类－FN</t>
        </is>
      </c>
      <c r="K44" t="inlineStr">
        <is>
          <t>财务管理</t>
        </is>
      </c>
      <c r="L44" t="inlineStr">
        <is>
          <t>S5</t>
        </is>
      </c>
      <c r="N44" t="inlineStr">
        <is>
          <t>T2</t>
        </is>
      </c>
      <c r="Q44" t="inlineStr">
        <is>
          <t>G,G</t>
        </is>
      </c>
      <c r="U44" t="n">
        <v>19312.85</v>
      </c>
      <c r="V44" t="n">
        <v>0.083333</v>
      </c>
      <c r="W44" t="inlineStr">
        <is>
          <t>CNY</t>
        </is>
      </c>
      <c r="X44" t="n">
        <v>1</v>
      </c>
      <c r="Y44" t="n">
        <v>18658.16</v>
      </c>
      <c r="Z44" t="n">
        <v>0</v>
      </c>
      <c r="AA44" t="n">
        <v>38625.7</v>
      </c>
      <c r="AF44" t="n">
        <v>0</v>
      </c>
      <c r="AG44" t="n">
        <v>66420.7</v>
      </c>
      <c r="AH44" t="n">
        <v>3.559874071183868</v>
      </c>
      <c r="AJ44" t="n">
        <v>3.559874071183868</v>
      </c>
      <c r="AK44" t="n">
        <v>3.559874071183868</v>
      </c>
      <c r="AQ44" t="n">
        <v>66420.7</v>
      </c>
      <c r="AR44" t="n">
        <v>3.559874071183868</v>
      </c>
      <c r="AS44" t="n">
        <v>1.144395244658856</v>
      </c>
      <c r="BL44" t="n">
        <v>1</v>
      </c>
      <c r="BM44" t="n">
        <v>15915</v>
      </c>
      <c r="BN44" t="n">
        <v>0</v>
      </c>
      <c r="BO44" t="n">
        <v>17085</v>
      </c>
      <c r="BP44" t="inlineStr">
        <is>
          <t>G,G</t>
        </is>
      </c>
      <c r="BQ44" t="inlineStr">
        <is>
          <t>T2</t>
        </is>
      </c>
      <c r="BS44" t="n">
        <v>3.646874018221803</v>
      </c>
      <c r="BT44" t="n">
        <v>0</v>
      </c>
      <c r="BV44" t="n">
        <v>3.646874018221803</v>
      </c>
      <c r="BY44" t="n">
        <v>58040</v>
      </c>
      <c r="BZ44" t="n">
        <v>3.646874018221803</v>
      </c>
      <c r="CP44" t="inlineStr">
        <is>
          <t>CSIG财务管理</t>
        </is>
      </c>
      <c r="CQ44" t="inlineStr">
        <is>
          <t>3,3</t>
        </is>
      </c>
      <c r="CR44" t="n">
        <v>5</v>
      </c>
      <c r="CS44" t="inlineStr">
        <is>
          <t>T2</t>
        </is>
      </c>
      <c r="CT44" t="inlineStr">
        <is>
          <t>N</t>
        </is>
      </c>
    </row>
    <row r="45">
      <c r="A45" t="inlineStr">
        <is>
          <t>geraldJiang(江立)</t>
        </is>
      </c>
      <c r="C45" t="n">
        <v>47476377</v>
      </c>
      <c r="D45" t="inlineStr">
        <is>
          <t>财经投资并购及管理部</t>
        </is>
      </c>
      <c r="E45" t="inlineStr">
        <is>
          <t>财经投资并购及管理部</t>
        </is>
      </c>
      <c r="G45" t="inlineStr">
        <is>
          <t>S2职能系统－财经线/财经投资并购及管理部</t>
        </is>
      </c>
      <c r="H45" s="188" t="n">
        <v>39276</v>
      </c>
      <c r="I45" t="inlineStr">
        <is>
          <t>高校招聘</t>
        </is>
      </c>
      <c r="J45" t="inlineStr">
        <is>
          <t>财经类－FN</t>
        </is>
      </c>
      <c r="K45" t="inlineStr">
        <is>
          <t>投资并购</t>
        </is>
      </c>
      <c r="L45" t="inlineStr">
        <is>
          <t>S9</t>
        </is>
      </c>
      <c r="N45" t="inlineStr">
        <is>
          <t>T2</t>
        </is>
      </c>
      <c r="Q45" t="inlineStr">
        <is>
          <t>G,G</t>
        </is>
      </c>
      <c r="U45" t="n">
        <v>42167.25</v>
      </c>
      <c r="V45" t="n">
        <v>0.083333</v>
      </c>
      <c r="W45" t="inlineStr">
        <is>
          <t>CNY</t>
        </is>
      </c>
      <c r="X45" t="n">
        <v>1</v>
      </c>
      <c r="Y45" t="n">
        <v>41478.02</v>
      </c>
      <c r="Z45" t="n">
        <v>0</v>
      </c>
      <c r="AA45" t="n">
        <v>84334.5</v>
      </c>
      <c r="AF45" t="n">
        <v>0</v>
      </c>
      <c r="AG45" t="n">
        <v>136569.5</v>
      </c>
      <c r="AH45" t="n">
        <v>3.292575200069821</v>
      </c>
      <c r="AJ45" t="n">
        <v>3.292575200069821</v>
      </c>
      <c r="AK45" t="n">
        <v>3.292575200069821</v>
      </c>
      <c r="AQ45" t="n">
        <v>136569.5</v>
      </c>
      <c r="AR45" t="n">
        <v>3.292575200069821</v>
      </c>
      <c r="AS45" t="n">
        <v>0.9049131990458521</v>
      </c>
      <c r="BL45" t="n">
        <v>1</v>
      </c>
      <c r="BM45" t="n">
        <v>36430</v>
      </c>
      <c r="BN45" t="n">
        <v>0</v>
      </c>
      <c r="BO45" t="n">
        <v>36930</v>
      </c>
      <c r="BP45" t="inlineStr">
        <is>
          <t>G,O</t>
        </is>
      </c>
      <c r="BQ45" t="inlineStr">
        <is>
          <t>T2</t>
        </is>
      </c>
      <c r="BS45" t="n">
        <v>4.142739500411748</v>
      </c>
      <c r="BT45" t="n">
        <v>0</v>
      </c>
      <c r="BV45" t="n">
        <v>4.142739500411748</v>
      </c>
      <c r="BY45" t="n">
        <v>150920</v>
      </c>
      <c r="BZ45" t="n">
        <v>4.142739500411748</v>
      </c>
      <c r="CP45" t="inlineStr">
        <is>
          <t>财经投资并购及管理部</t>
        </is>
      </c>
      <c r="CQ45" t="inlineStr">
        <is>
          <t>3,3</t>
        </is>
      </c>
      <c r="CR45" t="n">
        <v>9</v>
      </c>
      <c r="CS45" t="inlineStr">
        <is>
          <t>T2</t>
        </is>
      </c>
      <c r="CT45" t="inlineStr">
        <is>
          <t>N</t>
        </is>
      </c>
    </row>
    <row r="46">
      <c r="A46" t="inlineStr">
        <is>
          <t>samanthaLu(卢娇)</t>
        </is>
      </c>
      <c r="C46" t="n">
        <v>16699560</v>
      </c>
      <c r="D46" t="inlineStr">
        <is>
          <t>CDG财务管理</t>
        </is>
      </c>
      <c r="E46" t="inlineStr">
        <is>
          <t>综合财务管理中心</t>
        </is>
      </c>
      <c r="G46" t="inlineStr">
        <is>
          <t>S2职能系统－财经线/CDG财务管理/综合财务管理中心</t>
        </is>
      </c>
      <c r="H46" s="188" t="n">
        <v>40499</v>
      </c>
      <c r="I46" t="inlineStr">
        <is>
          <t>社会招聘</t>
        </is>
      </c>
      <c r="J46" t="inlineStr">
        <is>
          <t>财经类－FN</t>
        </is>
      </c>
      <c r="K46" t="inlineStr">
        <is>
          <t>财务管理</t>
        </is>
      </c>
      <c r="L46" t="inlineStr">
        <is>
          <t>S9</t>
        </is>
      </c>
      <c r="N46" t="inlineStr">
        <is>
          <t>T2</t>
        </is>
      </c>
      <c r="Q46" t="inlineStr">
        <is>
          <t>G,G</t>
        </is>
      </c>
      <c r="U46" t="n">
        <v>52890.75</v>
      </c>
      <c r="V46" t="n">
        <v>0.083333</v>
      </c>
      <c r="W46" t="inlineStr">
        <is>
          <t>CNY</t>
        </is>
      </c>
      <c r="X46" t="n">
        <v>1</v>
      </c>
      <c r="Y46" t="n">
        <v>52143.33</v>
      </c>
      <c r="Z46" t="n">
        <v>0</v>
      </c>
      <c r="AA46" t="n">
        <v>105781.5</v>
      </c>
      <c r="AF46" t="n">
        <v>0</v>
      </c>
      <c r="AG46" t="n">
        <v>177021.5</v>
      </c>
      <c r="AH46" t="n">
        <v>3.394902090065977</v>
      </c>
      <c r="AJ46" t="n">
        <v>3.394902090065977</v>
      </c>
      <c r="AK46" t="n">
        <v>3.394902090065977</v>
      </c>
      <c r="AQ46" t="n">
        <v>177021.5</v>
      </c>
      <c r="AR46" t="n">
        <v>3.394902090065977</v>
      </c>
      <c r="AS46" t="n">
        <v>0.8877485519420275</v>
      </c>
      <c r="BL46" t="n">
        <v>1</v>
      </c>
      <c r="BM46" t="n">
        <v>47065</v>
      </c>
      <c r="BN46" t="n">
        <v>0</v>
      </c>
      <c r="BO46" t="n">
        <v>47475</v>
      </c>
      <c r="BP46" t="inlineStr">
        <is>
          <t>O,G</t>
        </is>
      </c>
      <c r="BQ46" t="inlineStr">
        <is>
          <t>T2</t>
        </is>
      </c>
      <c r="BS46" t="n">
        <v>4.23680016997769</v>
      </c>
      <c r="BT46" t="n">
        <v>0</v>
      </c>
      <c r="BV46" t="n">
        <v>4.23680016997769</v>
      </c>
      <c r="BY46" t="n">
        <v>199405</v>
      </c>
      <c r="BZ46" t="n">
        <v>4.23680016997769</v>
      </c>
      <c r="CP46" t="inlineStr">
        <is>
          <t>CDG财务管理</t>
        </is>
      </c>
      <c r="CQ46" t="inlineStr">
        <is>
          <t>3,3</t>
        </is>
      </c>
      <c r="CR46" t="n">
        <v>9</v>
      </c>
      <c r="CS46" t="inlineStr">
        <is>
          <t>T2</t>
        </is>
      </c>
      <c r="CT46" t="inlineStr">
        <is>
          <t>N</t>
        </is>
      </c>
    </row>
    <row r="47">
      <c r="A47" t="inlineStr">
        <is>
          <t>amandaHuang(黄琪)</t>
        </is>
      </c>
      <c r="C47" t="n">
        <v>53009758</v>
      </c>
      <c r="D47" t="inlineStr">
        <is>
          <t>应收账款管理中心</t>
        </is>
      </c>
      <c r="E47" t="inlineStr">
        <is>
          <t>应收管理1组</t>
        </is>
      </c>
      <c r="G47" t="inlineStr">
        <is>
          <t>S2职能系统－财经线/应收账款管理中心/应收管理1组</t>
        </is>
      </c>
      <c r="H47" s="188" t="n">
        <v>42236</v>
      </c>
      <c r="I47" t="inlineStr">
        <is>
          <t>社会招聘</t>
        </is>
      </c>
      <c r="J47" t="inlineStr">
        <is>
          <t>财经类－FN</t>
        </is>
      </c>
      <c r="K47" t="inlineStr">
        <is>
          <t>会计</t>
        </is>
      </c>
      <c r="L47" t="inlineStr">
        <is>
          <t>S9</t>
        </is>
      </c>
      <c r="N47" t="inlineStr">
        <is>
          <t>T2</t>
        </is>
      </c>
      <c r="Q47" t="inlineStr">
        <is>
          <t>G,G</t>
        </is>
      </c>
      <c r="U47" t="n">
        <v>40910.55</v>
      </c>
      <c r="V47" t="n">
        <v>0.083333</v>
      </c>
      <c r="W47" t="inlineStr">
        <is>
          <t>CNY</t>
        </is>
      </c>
      <c r="X47" t="n">
        <v>1</v>
      </c>
      <c r="Y47" t="n">
        <v>38691.58</v>
      </c>
      <c r="Z47" t="n">
        <v>0</v>
      </c>
      <c r="AA47" t="n">
        <v>81821.10000000001</v>
      </c>
      <c r="AF47" t="n">
        <v>0</v>
      </c>
      <c r="AG47" t="n">
        <v>126201.1</v>
      </c>
      <c r="AH47" t="n">
        <v>3.261719991791496</v>
      </c>
      <c r="AJ47" t="n">
        <v>3.261719991791496</v>
      </c>
      <c r="AK47" t="n">
        <v>3.261719991791496</v>
      </c>
      <c r="AQ47" t="n">
        <v>126201.1</v>
      </c>
      <c r="AR47" t="n">
        <v>3.261719991791496</v>
      </c>
      <c r="AS47" t="n">
        <v>1.020219078415521</v>
      </c>
      <c r="BL47" t="n">
        <v>1</v>
      </c>
      <c r="BM47" t="n">
        <v>36280</v>
      </c>
      <c r="BN47" t="n">
        <v>0</v>
      </c>
      <c r="BO47" t="n">
        <v>39725</v>
      </c>
      <c r="BP47" t="inlineStr">
        <is>
          <t>G,G</t>
        </is>
      </c>
      <c r="BQ47" t="inlineStr">
        <is>
          <t>T2</t>
        </is>
      </c>
      <c r="BS47" t="n">
        <v>3.409592061742007</v>
      </c>
      <c r="BT47" t="n">
        <v>0</v>
      </c>
      <c r="BV47" t="n">
        <v>3.409592061742007</v>
      </c>
      <c r="BY47" t="n">
        <v>123700</v>
      </c>
      <c r="BZ47" t="n">
        <v>3.409592061742007</v>
      </c>
      <c r="CP47" t="inlineStr">
        <is>
          <t>应收账款管理中心</t>
        </is>
      </c>
      <c r="CQ47" t="inlineStr">
        <is>
          <t>3,3</t>
        </is>
      </c>
      <c r="CR47" t="n">
        <v>9</v>
      </c>
      <c r="CS47" t="inlineStr">
        <is>
          <t>T2</t>
        </is>
      </c>
      <c r="CT47" t="inlineStr">
        <is>
          <t>N</t>
        </is>
      </c>
    </row>
    <row r="48">
      <c r="A48" t="inlineStr">
        <is>
          <t>rebeccaQin(秦娟茜)</t>
        </is>
      </c>
      <c r="C48" t="n">
        <v>73675670</v>
      </c>
      <c r="D48" t="inlineStr">
        <is>
          <t>可持续社会价值事业部财务管理</t>
        </is>
      </c>
      <c r="E48" t="inlineStr">
        <is>
          <t>可持续社会价值事业部财务管理</t>
        </is>
      </c>
      <c r="G48" t="inlineStr">
        <is>
          <t>S2职能系统－财经线/可持续社会价值事业部财务管理</t>
        </is>
      </c>
      <c r="H48" s="188" t="n">
        <v>42222</v>
      </c>
      <c r="I48" t="inlineStr">
        <is>
          <t>高校招聘</t>
        </is>
      </c>
      <c r="J48" t="inlineStr">
        <is>
          <t>财经类－FN</t>
        </is>
      </c>
      <c r="K48" t="inlineStr">
        <is>
          <t>财务管理</t>
        </is>
      </c>
      <c r="L48" t="inlineStr">
        <is>
          <t>S12</t>
        </is>
      </c>
      <c r="M48" t="inlineStr">
        <is>
          <t>L1-2</t>
        </is>
      </c>
      <c r="N48" t="inlineStr">
        <is>
          <t>T1#</t>
        </is>
      </c>
      <c r="Q48" t="inlineStr">
        <is>
          <t>G,O</t>
        </is>
      </c>
      <c r="U48" t="n">
        <v>74713.14999999999</v>
      </c>
      <c r="V48" t="n">
        <v>0.083333</v>
      </c>
      <c r="W48" t="inlineStr">
        <is>
          <t>CNY</t>
        </is>
      </c>
      <c r="X48" t="n">
        <v>1</v>
      </c>
      <c r="Y48" t="n">
        <v>73759.27</v>
      </c>
      <c r="Z48" t="n">
        <v>0</v>
      </c>
      <c r="AA48" t="n">
        <v>224139.45</v>
      </c>
      <c r="AF48" t="n">
        <v>15650</v>
      </c>
      <c r="AG48" t="n">
        <v>555739.45</v>
      </c>
      <c r="AH48" t="n">
        <v>7.534503120760277</v>
      </c>
      <c r="AJ48" t="n">
        <v>7.74667984105591</v>
      </c>
      <c r="AK48" t="n">
        <v>6.312080501881323</v>
      </c>
      <c r="AQ48" t="n">
        <v>571389.45</v>
      </c>
      <c r="AR48" t="n">
        <v>7.74667984105591</v>
      </c>
      <c r="AS48" t="n">
        <v>1.090708477293985</v>
      </c>
      <c r="BL48" t="n">
        <v>1</v>
      </c>
      <c r="BM48" t="n">
        <v>66850</v>
      </c>
      <c r="BN48" t="n">
        <v>0</v>
      </c>
      <c r="BO48" t="n">
        <v>70875</v>
      </c>
      <c r="BP48" t="inlineStr">
        <is>
          <t>O,G</t>
        </is>
      </c>
      <c r="BQ48" t="inlineStr">
        <is>
          <t>T1#</t>
        </is>
      </c>
      <c r="BS48" t="n">
        <v>6.428571428571429</v>
      </c>
      <c r="BT48" t="n">
        <v>94120</v>
      </c>
      <c r="BV48" t="n">
        <v>7.836499626028422</v>
      </c>
      <c r="BY48" t="n">
        <v>523870</v>
      </c>
      <c r="BZ48" t="n">
        <v>7.836499626028422</v>
      </c>
      <c r="CP48" t="inlineStr">
        <is>
          <t>可持续社会价值事业部财务管理</t>
        </is>
      </c>
      <c r="CQ48" t="inlineStr">
        <is>
          <t>5,3</t>
        </is>
      </c>
      <c r="CR48" t="n">
        <v>12</v>
      </c>
      <c r="CS48" t="inlineStr">
        <is>
          <t>T1#</t>
        </is>
      </c>
      <c r="CT48" t="inlineStr">
        <is>
          <t>N</t>
        </is>
      </c>
    </row>
    <row r="49">
      <c r="A49" t="inlineStr">
        <is>
          <t>stephenGao(高霖)</t>
        </is>
      </c>
      <c r="C49" t="n">
        <v>90270227</v>
      </c>
      <c r="D49" t="inlineStr">
        <is>
          <t>董事会办公室</t>
        </is>
      </c>
      <c r="E49" t="inlineStr">
        <is>
          <t>董事会办公室</t>
        </is>
      </c>
      <c r="G49" t="inlineStr">
        <is>
          <t>S2职能系统－财经线/董事会办公室</t>
        </is>
      </c>
      <c r="H49" s="188" t="n">
        <v>37912</v>
      </c>
      <c r="I49" t="inlineStr">
        <is>
          <t>社会招聘</t>
        </is>
      </c>
      <c r="J49" t="inlineStr">
        <is>
          <t>财经类－FN</t>
        </is>
      </c>
      <c r="K49" t="inlineStr">
        <is>
          <t>公司秘书</t>
        </is>
      </c>
      <c r="L49" t="inlineStr">
        <is>
          <t>S10</t>
        </is>
      </c>
      <c r="N49" t="inlineStr">
        <is>
          <t>T1#</t>
        </is>
      </c>
      <c r="Q49" t="inlineStr">
        <is>
          <t>G,G</t>
        </is>
      </c>
      <c r="U49" t="n">
        <v>57296.75</v>
      </c>
      <c r="V49" t="n">
        <v>0.083333</v>
      </c>
      <c r="W49" t="inlineStr">
        <is>
          <t>CNY</t>
        </is>
      </c>
      <c r="X49" t="n">
        <v>1</v>
      </c>
      <c r="Y49" t="n">
        <v>52389.44</v>
      </c>
      <c r="Z49" t="n">
        <v>0</v>
      </c>
      <c r="AA49" t="n">
        <v>114593.5</v>
      </c>
      <c r="AF49" t="n">
        <v>0</v>
      </c>
      <c r="AG49" t="n">
        <v>375818.5</v>
      </c>
      <c r="AH49" t="n">
        <v>7.173554441505769</v>
      </c>
      <c r="AJ49" t="n">
        <v>7.173554441505769</v>
      </c>
      <c r="AK49" t="n">
        <v>5.543073184214223</v>
      </c>
      <c r="AQ49" t="n">
        <v>375818.5</v>
      </c>
      <c r="AR49" t="n">
        <v>7.173554441505769</v>
      </c>
      <c r="AS49" t="n">
        <v>1.103385152889711</v>
      </c>
      <c r="BL49" t="n">
        <v>1</v>
      </c>
      <c r="BM49" t="n">
        <v>46200</v>
      </c>
      <c r="BN49" t="n">
        <v>0</v>
      </c>
      <c r="BO49" t="n">
        <v>49720</v>
      </c>
      <c r="BP49" t="inlineStr">
        <is>
          <t>G,G</t>
        </is>
      </c>
      <c r="BQ49" t="inlineStr">
        <is>
          <t>T1#</t>
        </is>
      </c>
      <c r="BS49" t="n">
        <v>5.806493506493506</v>
      </c>
      <c r="BT49" t="n">
        <v>72345</v>
      </c>
      <c r="BV49" t="n">
        <v>7.372402597402598</v>
      </c>
      <c r="BY49" t="n">
        <v>340605</v>
      </c>
      <c r="BZ49" t="n">
        <v>7.372402597402598</v>
      </c>
      <c r="CP49" t="inlineStr">
        <is>
          <t>董事会办公室</t>
        </is>
      </c>
      <c r="CQ49" t="inlineStr">
        <is>
          <t>3,3</t>
        </is>
      </c>
      <c r="CR49" t="n">
        <v>10</v>
      </c>
      <c r="CS49" t="inlineStr">
        <is>
          <t>T1#</t>
        </is>
      </c>
      <c r="CT49" t="inlineStr">
        <is>
          <t>N</t>
        </is>
      </c>
    </row>
    <row r="50">
      <c r="A50" t="inlineStr">
        <is>
          <t>aaliyahZheng(郑英红)</t>
        </is>
      </c>
      <c r="C50" t="n">
        <v>22423058</v>
      </c>
      <c r="D50" t="inlineStr">
        <is>
          <t>IEG财务管理</t>
        </is>
      </c>
      <c r="E50" t="inlineStr">
        <is>
          <t>IEG Global Finance</t>
        </is>
      </c>
      <c r="G50" t="inlineStr">
        <is>
          <t>S2职能系统－财经线/IEG财务管理/IEG Global Finance</t>
        </is>
      </c>
      <c r="H50" s="188" t="n">
        <v>37919</v>
      </c>
      <c r="I50" t="inlineStr">
        <is>
          <t>社会招聘</t>
        </is>
      </c>
      <c r="J50" t="inlineStr">
        <is>
          <t>财经类－FN</t>
        </is>
      </c>
      <c r="K50" t="inlineStr">
        <is>
          <t>财务管理</t>
        </is>
      </c>
      <c r="M50" t="inlineStr">
        <is>
          <t>L3-2</t>
        </is>
      </c>
      <c r="N50" t="inlineStr">
        <is>
          <t>T1#</t>
        </is>
      </c>
      <c r="Q50" t="inlineStr">
        <is>
          <t>G,G</t>
        </is>
      </c>
      <c r="U50" t="n">
        <v>69269.75</v>
      </c>
      <c r="V50" t="n">
        <v>0.083333</v>
      </c>
      <c r="W50" t="inlineStr">
        <is>
          <t>CNY</t>
        </is>
      </c>
      <c r="X50" t="n">
        <v>1</v>
      </c>
      <c r="Y50" t="n">
        <v>66474.84</v>
      </c>
      <c r="Z50" t="n">
        <v>0</v>
      </c>
      <c r="AA50" t="n">
        <v>138539.5</v>
      </c>
      <c r="AF50" t="n">
        <v>35580</v>
      </c>
      <c r="AG50" t="n">
        <v>470534.5</v>
      </c>
      <c r="AH50" t="n">
        <v>7.078384844551714</v>
      </c>
      <c r="AJ50" t="n">
        <v>7.613624944415061</v>
      </c>
      <c r="AK50" t="n">
        <v>5.793387392884285</v>
      </c>
      <c r="AQ50" t="n">
        <v>506114.5</v>
      </c>
      <c r="AR50" t="n">
        <v>7.613624944415061</v>
      </c>
      <c r="AS50" t="n">
        <v>0.9996533607221157</v>
      </c>
      <c r="BL50" t="n">
        <v>1</v>
      </c>
      <c r="BM50" t="n">
        <v>61615</v>
      </c>
      <c r="BN50" t="n">
        <v>0</v>
      </c>
      <c r="BO50" t="n">
        <v>64965</v>
      </c>
      <c r="BP50" t="inlineStr">
        <is>
          <t>G,O</t>
        </is>
      </c>
      <c r="BQ50" t="inlineStr">
        <is>
          <t>T1#</t>
        </is>
      </c>
      <c r="BS50" t="n">
        <v>6.540533960886147</v>
      </c>
      <c r="BT50" t="n">
        <v>103295</v>
      </c>
      <c r="BV50" t="n">
        <v>8.216992615434553</v>
      </c>
      <c r="BY50" t="n">
        <v>506290</v>
      </c>
      <c r="BZ50" t="n">
        <v>8.216992615434553</v>
      </c>
      <c r="CP50" t="inlineStr">
        <is>
          <t>IEG财务管理</t>
        </is>
      </c>
      <c r="CQ50" t="inlineStr">
        <is>
          <t>3,3</t>
        </is>
      </c>
      <c r="CR50" t="inlineStr">
        <is>
          <t>L3-2</t>
        </is>
      </c>
      <c r="CS50" t="inlineStr">
        <is>
          <t>T1#</t>
        </is>
      </c>
      <c r="CT50" t="inlineStr">
        <is>
          <t>N</t>
        </is>
      </c>
    </row>
    <row r="51">
      <c r="A51" t="inlineStr">
        <is>
          <t>walterQian(钱豪彤)</t>
        </is>
      </c>
      <c r="C51" t="n">
        <v>64672773</v>
      </c>
      <c r="D51" t="inlineStr">
        <is>
          <t>预算及职能系统财务管理部</t>
        </is>
      </c>
      <c r="E51" t="inlineStr">
        <is>
          <t>S系统财务管理组</t>
        </is>
      </c>
      <c r="G51" t="inlineStr">
        <is>
          <t>S2职能系统－财经线/预算及职能系统财务管理部/S系统财务管理组</t>
        </is>
      </c>
      <c r="H51" s="188" t="n">
        <v>39998</v>
      </c>
      <c r="I51" t="inlineStr">
        <is>
          <t>高校招聘</t>
        </is>
      </c>
      <c r="J51" t="inlineStr">
        <is>
          <t>财经类－FN</t>
        </is>
      </c>
      <c r="K51" t="inlineStr">
        <is>
          <t>预算管理</t>
        </is>
      </c>
      <c r="L51" t="inlineStr">
        <is>
          <t>S9</t>
        </is>
      </c>
      <c r="N51" t="inlineStr">
        <is>
          <t>T1#</t>
        </is>
      </c>
      <c r="Q51" t="inlineStr">
        <is>
          <t>G,O</t>
        </is>
      </c>
      <c r="U51" t="n">
        <v>56008.55</v>
      </c>
      <c r="V51" t="n">
        <v>0.083333</v>
      </c>
      <c r="W51" t="inlineStr">
        <is>
          <t>CNY</t>
        </is>
      </c>
      <c r="X51" t="n">
        <v>1</v>
      </c>
      <c r="Y51" t="n">
        <v>53386.03</v>
      </c>
      <c r="Z51" t="n">
        <v>0</v>
      </c>
      <c r="AA51" t="n">
        <v>168025.65</v>
      </c>
      <c r="AF51" t="n">
        <v>0</v>
      </c>
      <c r="AG51" t="n">
        <v>405490.65</v>
      </c>
      <c r="AH51" t="n">
        <v>7.595444913210442</v>
      </c>
      <c r="AJ51" t="n">
        <v>7.595444913210442</v>
      </c>
      <c r="AK51" t="n">
        <v>6.378178898112484</v>
      </c>
      <c r="AQ51" t="n">
        <v>405490.65</v>
      </c>
      <c r="AR51" t="n">
        <v>7.595444913210442</v>
      </c>
      <c r="AS51" t="n">
        <v>1.955868464209917</v>
      </c>
      <c r="BL51" t="n">
        <v>1</v>
      </c>
      <c r="BM51" t="n">
        <v>50355</v>
      </c>
      <c r="BN51" t="n">
        <v>0</v>
      </c>
      <c r="BO51" t="n">
        <v>51325</v>
      </c>
      <c r="BP51" t="inlineStr">
        <is>
          <t>G,U</t>
        </is>
      </c>
      <c r="BQ51" t="inlineStr">
        <is>
          <t>T1#</t>
        </is>
      </c>
      <c r="BS51" t="n">
        <v>4.117168106444246</v>
      </c>
      <c r="BT51" t="n">
        <v>0</v>
      </c>
      <c r="BV51" t="n">
        <v>4.117168106444246</v>
      </c>
      <c r="BY51" t="n">
        <v>207320</v>
      </c>
      <c r="BZ51" t="n">
        <v>4.117168106444246</v>
      </c>
      <c r="CP51" t="inlineStr">
        <is>
          <t>预算及职能系统财务管理部</t>
        </is>
      </c>
      <c r="CQ51" t="inlineStr">
        <is>
          <t>5,3</t>
        </is>
      </c>
      <c r="CR51" t="n">
        <v>9</v>
      </c>
      <c r="CS51" t="inlineStr">
        <is>
          <t>T1#</t>
        </is>
      </c>
      <c r="CT51" t="inlineStr">
        <is>
          <t>N</t>
        </is>
      </c>
    </row>
    <row r="52">
      <c r="A52" t="inlineStr">
        <is>
          <t>juliaLiao(廖雪瑶)</t>
        </is>
      </c>
      <c r="C52" t="n">
        <v>31719584</v>
      </c>
      <c r="D52" t="inlineStr">
        <is>
          <t>税务部</t>
        </is>
      </c>
      <c r="E52" t="inlineStr">
        <is>
          <t>印章及文档管理组</t>
        </is>
      </c>
      <c r="G52" t="inlineStr">
        <is>
          <t>S2职能系统－财经线/税务部/印章及文档管理组</t>
        </is>
      </c>
      <c r="H52" s="188" t="n">
        <v>39421</v>
      </c>
      <c r="I52" t="inlineStr">
        <is>
          <t>高校招聘</t>
        </is>
      </c>
      <c r="J52" t="inlineStr">
        <is>
          <t>财经类－FN</t>
        </is>
      </c>
      <c r="K52" t="inlineStr">
        <is>
          <t>税务</t>
        </is>
      </c>
      <c r="L52" t="inlineStr">
        <is>
          <t>S8</t>
        </is>
      </c>
      <c r="N52" t="inlineStr">
        <is>
          <t>T2</t>
        </is>
      </c>
      <c r="Q52" t="inlineStr">
        <is>
          <t>G,G</t>
        </is>
      </c>
      <c r="U52" t="n">
        <v>28976.2</v>
      </c>
      <c r="V52" t="n">
        <v>0.083333</v>
      </c>
      <c r="W52" t="inlineStr">
        <is>
          <t>CNY</t>
        </is>
      </c>
      <c r="X52" t="n">
        <v>1</v>
      </c>
      <c r="Y52" t="n">
        <v>27708.19</v>
      </c>
      <c r="Z52" t="n">
        <v>0</v>
      </c>
      <c r="AA52" t="n">
        <v>57952.4</v>
      </c>
      <c r="AF52" t="n">
        <v>0</v>
      </c>
      <c r="AG52" t="n">
        <v>92897.39999999999</v>
      </c>
      <c r="AH52" t="n">
        <v>3.35270546361924</v>
      </c>
      <c r="AJ52" t="n">
        <v>3.35270546361924</v>
      </c>
      <c r="AK52" t="n">
        <v>3.35270546361924</v>
      </c>
      <c r="AQ52" t="n">
        <v>92897.39999999999</v>
      </c>
      <c r="AR52" t="n">
        <v>3.35270546361924</v>
      </c>
      <c r="AS52" t="n">
        <v>1.107833760658279</v>
      </c>
      <c r="BL52" t="n">
        <v>1</v>
      </c>
      <c r="BM52" t="n">
        <v>24100</v>
      </c>
      <c r="BN52" t="n">
        <v>0</v>
      </c>
      <c r="BO52" t="n">
        <v>26240</v>
      </c>
      <c r="BP52" t="inlineStr">
        <is>
          <t>U,O</t>
        </is>
      </c>
      <c r="BQ52" t="inlineStr">
        <is>
          <t>T2</t>
        </is>
      </c>
      <c r="BS52" t="n">
        <v>3.479460580912863</v>
      </c>
      <c r="BT52" t="n">
        <v>0</v>
      </c>
      <c r="BV52" t="n">
        <v>3.479460580912863</v>
      </c>
      <c r="BY52" t="n">
        <v>83855</v>
      </c>
      <c r="BZ52" t="n">
        <v>3.479460580912863</v>
      </c>
      <c r="CP52" t="inlineStr">
        <is>
          <t>税务部</t>
        </is>
      </c>
      <c r="CQ52" t="inlineStr">
        <is>
          <t>3,3</t>
        </is>
      </c>
      <c r="CR52" t="n">
        <v>8</v>
      </c>
      <c r="CS52" t="inlineStr">
        <is>
          <t>T2</t>
        </is>
      </c>
      <c r="CT52" t="inlineStr">
        <is>
          <t>N</t>
        </is>
      </c>
    </row>
    <row r="53">
      <c r="A53" t="inlineStr">
        <is>
          <t>marcusWei(魏松坚)</t>
        </is>
      </c>
      <c r="C53" t="n">
        <v>76307882</v>
      </c>
      <c r="D53" t="inlineStr">
        <is>
          <t>财经IT管理部</t>
        </is>
      </c>
      <c r="E53" t="inlineStr">
        <is>
          <t>业务开发中心</t>
        </is>
      </c>
      <c r="G53" t="inlineStr">
        <is>
          <t>S2职能系统－财经线/财经IT管理部/业务开发中心</t>
        </is>
      </c>
      <c r="H53" s="188" t="n">
        <v>41314</v>
      </c>
      <c r="I53" t="inlineStr">
        <is>
          <t>社会招聘</t>
        </is>
      </c>
      <c r="J53" t="inlineStr">
        <is>
          <t>技术研发类－TRD</t>
        </is>
      </c>
      <c r="K53" t="inlineStr">
        <is>
          <t>应用开发</t>
        </is>
      </c>
      <c r="L53" t="inlineStr">
        <is>
          <t>T7</t>
        </is>
      </c>
      <c r="N53" t="inlineStr">
        <is>
          <t>T1</t>
        </is>
      </c>
      <c r="Q53" t="inlineStr">
        <is>
          <t>G,G</t>
        </is>
      </c>
      <c r="U53" t="n">
        <v>31298</v>
      </c>
      <c r="V53" t="n">
        <v>0.083333</v>
      </c>
      <c r="W53" t="inlineStr">
        <is>
          <t>CNY</t>
        </is>
      </c>
      <c r="X53" t="n">
        <v>1</v>
      </c>
      <c r="Y53" t="n">
        <v>29306.23</v>
      </c>
      <c r="Z53" t="n">
        <v>0</v>
      </c>
      <c r="AA53" t="n">
        <v>62596</v>
      </c>
      <c r="AF53" t="n">
        <v>0</v>
      </c>
      <c r="AG53" t="n">
        <v>172976</v>
      </c>
      <c r="AH53" t="n">
        <v>5.902362739936184</v>
      </c>
      <c r="AJ53" t="n">
        <v>5.902362739936184</v>
      </c>
      <c r="AK53" t="n">
        <v>4.603492158493262</v>
      </c>
      <c r="AQ53" t="n">
        <v>172976</v>
      </c>
      <c r="AR53" t="n">
        <v>5.902362739936184</v>
      </c>
      <c r="AS53" t="n">
        <v>1.201973455631992</v>
      </c>
      <c r="BL53" t="n">
        <v>1</v>
      </c>
      <c r="BM53" t="n">
        <v>27970</v>
      </c>
      <c r="BN53" t="n">
        <v>0</v>
      </c>
      <c r="BO53" t="n">
        <v>30180</v>
      </c>
      <c r="BP53" t="inlineStr">
        <is>
          <t>G,G</t>
        </is>
      </c>
      <c r="BQ53" t="inlineStr">
        <is>
          <t>T1</t>
        </is>
      </c>
      <c r="BS53" t="n">
        <v>3.239006077940651</v>
      </c>
      <c r="BT53" t="n">
        <v>53315</v>
      </c>
      <c r="BV53" t="n">
        <v>5.145155523775474</v>
      </c>
      <c r="BY53" t="n">
        <v>143910</v>
      </c>
      <c r="BZ53" t="n">
        <v>5.145155523775474</v>
      </c>
      <c r="CP53" t="inlineStr">
        <is>
          <t>财经IT管理部</t>
        </is>
      </c>
      <c r="CQ53" t="inlineStr">
        <is>
          <t>3,3</t>
        </is>
      </c>
      <c r="CR53" t="n">
        <v>7</v>
      </c>
      <c r="CS53" t="inlineStr">
        <is>
          <t>T1</t>
        </is>
      </c>
      <c r="CT53" t="inlineStr">
        <is>
          <t>N</t>
        </is>
      </c>
    </row>
    <row r="54">
      <c r="A54" t="inlineStr">
        <is>
          <t>miaYu(于静)</t>
        </is>
      </c>
      <c r="C54" t="n">
        <v>59592158</v>
      </c>
      <c r="D54" t="inlineStr">
        <is>
          <t>CDG财务管理</t>
        </is>
      </c>
      <c r="E54" t="inlineStr">
        <is>
          <t>子公司财务管理组</t>
        </is>
      </c>
      <c r="G54" t="inlineStr">
        <is>
          <t>S2职能系统－财经线/CDG财务管理/子公司财务管理组</t>
        </is>
      </c>
      <c r="H54" s="188" t="n">
        <v>38797</v>
      </c>
      <c r="I54" t="inlineStr">
        <is>
          <t>社会招聘</t>
        </is>
      </c>
      <c r="J54" t="inlineStr">
        <is>
          <t>财经类－FN</t>
        </is>
      </c>
      <c r="K54" t="inlineStr">
        <is>
          <t>财务管理</t>
        </is>
      </c>
      <c r="L54" t="inlineStr">
        <is>
          <t>S11</t>
        </is>
      </c>
      <c r="N54" t="inlineStr">
        <is>
          <t>T1#</t>
        </is>
      </c>
      <c r="Q54" t="inlineStr">
        <is>
          <t>G,G</t>
        </is>
      </c>
      <c r="U54" t="n">
        <v>54160.8</v>
      </c>
      <c r="V54" t="n">
        <v>0.083333</v>
      </c>
      <c r="W54" t="inlineStr">
        <is>
          <t>CNY</t>
        </is>
      </c>
      <c r="X54" t="n">
        <v>1</v>
      </c>
      <c r="Y54" t="n">
        <v>50393.3</v>
      </c>
      <c r="Z54" t="n">
        <v>0</v>
      </c>
      <c r="AA54" t="n">
        <v>108321.6</v>
      </c>
      <c r="AF54" t="n">
        <v>0</v>
      </c>
      <c r="AG54" t="n">
        <v>344911.6</v>
      </c>
      <c r="AH54" t="n">
        <v>6.844393996821005</v>
      </c>
      <c r="AJ54" t="n">
        <v>6.844393996821005</v>
      </c>
      <c r="AK54" t="n">
        <v>5.760023653938122</v>
      </c>
      <c r="AQ54" t="n">
        <v>344911.6</v>
      </c>
      <c r="AR54" t="n">
        <v>6.844393996821005</v>
      </c>
      <c r="AS54" t="n">
        <v>1.929467442380846</v>
      </c>
      <c r="BL54" t="n">
        <v>1</v>
      </c>
      <c r="BM54" t="n">
        <v>43645</v>
      </c>
      <c r="BN54" t="n">
        <v>0</v>
      </c>
      <c r="BO54" t="n">
        <v>44275</v>
      </c>
      <c r="BP54" t="inlineStr">
        <is>
          <t>G,U</t>
        </is>
      </c>
      <c r="BQ54" t="inlineStr">
        <is>
          <t>T1#</t>
        </is>
      </c>
      <c r="BS54" t="n">
        <v>4.095772711650819</v>
      </c>
      <c r="BT54" t="n">
        <v>0</v>
      </c>
      <c r="BV54" t="n">
        <v>4.095772711650819</v>
      </c>
      <c r="BY54" t="n">
        <v>178760</v>
      </c>
      <c r="BZ54" t="n">
        <v>4.095772711650819</v>
      </c>
      <c r="CP54" t="inlineStr">
        <is>
          <t>CDG财务管理</t>
        </is>
      </c>
      <c r="CQ54" t="inlineStr">
        <is>
          <t>3,3</t>
        </is>
      </c>
      <c r="CR54" t="n">
        <v>11</v>
      </c>
      <c r="CS54" t="inlineStr">
        <is>
          <t>T1#</t>
        </is>
      </c>
      <c r="CT54" t="inlineStr">
        <is>
          <t>N</t>
        </is>
      </c>
    </row>
    <row r="55">
      <c r="A55" t="inlineStr">
        <is>
          <t>ellaMa(马曦)</t>
        </is>
      </c>
      <c r="C55" t="n">
        <v>81821398</v>
      </c>
      <c r="D55" t="inlineStr">
        <is>
          <t>风险管理和内部控制</t>
        </is>
      </c>
      <c r="E55" t="inlineStr">
        <is>
          <t>PCG风控中心</t>
        </is>
      </c>
      <c r="G55" t="inlineStr">
        <is>
          <t>S2职能系统－财经线/风险管理和内部控制/PCG风控中心</t>
        </is>
      </c>
      <c r="H55" s="188" t="n">
        <v>45600</v>
      </c>
      <c r="I55" t="inlineStr">
        <is>
          <t>社会招聘</t>
        </is>
      </c>
      <c r="J55" t="inlineStr">
        <is>
          <t>财经类－FN</t>
        </is>
      </c>
      <c r="K55" t="inlineStr">
        <is>
          <t>风险管理</t>
        </is>
      </c>
      <c r="L55" t="inlineStr">
        <is>
          <t>S7</t>
        </is>
      </c>
      <c r="N55" t="inlineStr">
        <is>
          <t>T1#</t>
        </is>
      </c>
      <c r="Q55" t="inlineStr">
        <is>
          <t>N,N</t>
        </is>
      </c>
      <c r="U55" t="n">
        <v>40465.4</v>
      </c>
      <c r="V55" t="n">
        <v>0.083333</v>
      </c>
      <c r="W55" t="inlineStr">
        <is>
          <t>CNY</t>
        </is>
      </c>
      <c r="X55" t="n">
        <v>0.156164</v>
      </c>
      <c r="Y55" t="n">
        <v>40465.4</v>
      </c>
      <c r="Z55" t="n">
        <v>0</v>
      </c>
      <c r="AA55" t="n">
        <v>6319.24</v>
      </c>
      <c r="AF55" t="n">
        <v>0</v>
      </c>
      <c r="AG55" t="n">
        <v>6319.24</v>
      </c>
      <c r="AH55" t="n">
        <v>0.1561640314935723</v>
      </c>
      <c r="AJ55" t="n">
        <v>0.1561640314935723</v>
      </c>
      <c r="AK55" t="n">
        <v>0.1561640314935723</v>
      </c>
      <c r="AQ55" t="n">
        <v>6319.24</v>
      </c>
      <c r="AR55" t="n">
        <v>0.1561640314935723</v>
      </c>
      <c r="BM55" t="n">
        <v>0</v>
      </c>
      <c r="BN55" t="n">
        <v>0</v>
      </c>
      <c r="BO55" t="n">
        <v>0</v>
      </c>
      <c r="BT55" t="n">
        <v>0</v>
      </c>
      <c r="BY55" t="n">
        <v>0</v>
      </c>
      <c r="CP55" t="inlineStr">
        <is>
          <t>风险管理和内部控制</t>
        </is>
      </c>
      <c r="CR55" t="n">
        <v>7</v>
      </c>
      <c r="CS55" t="inlineStr">
        <is>
          <t>T1#</t>
        </is>
      </c>
      <c r="CT55" t="inlineStr">
        <is>
          <t>N</t>
        </is>
      </c>
    </row>
    <row r="56">
      <c r="A56" t="inlineStr">
        <is>
          <t>evelynRen(任晶)</t>
        </is>
      </c>
      <c r="C56" t="n">
        <v>73942639</v>
      </c>
      <c r="D56" t="inlineStr">
        <is>
          <t>行政支持中心</t>
        </is>
      </c>
      <c r="E56" t="inlineStr">
        <is>
          <t>秘书组</t>
        </is>
      </c>
      <c r="G56" t="inlineStr">
        <is>
          <t>S2职能系统－财经线/行政支持中心/秘书组</t>
        </is>
      </c>
      <c r="H56" s="188" t="n">
        <v>42099</v>
      </c>
      <c r="I56" t="inlineStr">
        <is>
          <t>高校招聘</t>
        </is>
      </c>
      <c r="J56" t="inlineStr">
        <is>
          <t>财经类－FN</t>
        </is>
      </c>
      <c r="K56" t="inlineStr">
        <is>
          <t>公司秘书</t>
        </is>
      </c>
      <c r="L56" t="inlineStr">
        <is>
          <t>S8</t>
        </is>
      </c>
      <c r="N56" t="inlineStr">
        <is>
          <t>T2</t>
        </is>
      </c>
      <c r="Q56" t="inlineStr">
        <is>
          <t>G,G</t>
        </is>
      </c>
      <c r="U56" t="n">
        <v>44799.65</v>
      </c>
      <c r="V56" t="n">
        <v>0.083333</v>
      </c>
      <c r="W56" t="inlineStr">
        <is>
          <t>CNY</t>
        </is>
      </c>
      <c r="X56" t="n">
        <v>1</v>
      </c>
      <c r="Y56" t="n">
        <v>41547.05</v>
      </c>
      <c r="Z56" t="n">
        <v>0</v>
      </c>
      <c r="AA56" t="n">
        <v>89599.3</v>
      </c>
      <c r="AF56" t="n">
        <v>0</v>
      </c>
      <c r="AG56" t="n">
        <v>151854.3</v>
      </c>
      <c r="AH56" t="n">
        <v>3.654995962408883</v>
      </c>
      <c r="AJ56" t="n">
        <v>3.654995962408883</v>
      </c>
      <c r="AK56" t="n">
        <v>3.654995962408883</v>
      </c>
      <c r="AQ56" t="n">
        <v>151854.3</v>
      </c>
      <c r="AR56" t="n">
        <v>3.654995962408883</v>
      </c>
      <c r="AS56" t="n">
        <v>0.8588072616219884</v>
      </c>
      <c r="BL56" t="n">
        <v>1</v>
      </c>
      <c r="BM56" t="n">
        <v>37995</v>
      </c>
      <c r="BN56" t="n">
        <v>0</v>
      </c>
      <c r="BO56" t="n">
        <v>39930</v>
      </c>
      <c r="BP56" t="inlineStr">
        <is>
          <t>O,G</t>
        </is>
      </c>
      <c r="BQ56" t="inlineStr">
        <is>
          <t>T2</t>
        </is>
      </c>
      <c r="BS56" t="n">
        <v>4.653770232925384</v>
      </c>
      <c r="BT56" t="n">
        <v>0</v>
      </c>
      <c r="BV56" t="n">
        <v>4.653770232925384</v>
      </c>
      <c r="BY56" t="n">
        <v>176820</v>
      </c>
      <c r="BZ56" t="n">
        <v>4.653770232925384</v>
      </c>
      <c r="CP56" t="inlineStr">
        <is>
          <t>行政支持中心</t>
        </is>
      </c>
      <c r="CQ56" t="inlineStr">
        <is>
          <t>3,3</t>
        </is>
      </c>
      <c r="CR56" t="n">
        <v>8</v>
      </c>
      <c r="CS56" t="inlineStr">
        <is>
          <t>T2</t>
        </is>
      </c>
      <c r="CT56" t="inlineStr">
        <is>
          <t>N</t>
        </is>
      </c>
    </row>
    <row r="57">
      <c r="A57" t="inlineStr">
        <is>
          <t>penelopeGong(龚玲)</t>
        </is>
      </c>
      <c r="C57" t="n">
        <v>67957145</v>
      </c>
      <c r="D57" t="inlineStr">
        <is>
          <t>CFO办公室</t>
        </is>
      </c>
      <c r="E57" t="inlineStr">
        <is>
          <t>管理决策委员会</t>
        </is>
      </c>
      <c r="G57" t="inlineStr">
        <is>
          <t>S2职能系统－财经线/CFO办公室/管理决策委员会</t>
        </is>
      </c>
      <c r="H57" s="188" t="n">
        <v>45202</v>
      </c>
      <c r="I57" t="inlineStr">
        <is>
          <t>社会招聘</t>
        </is>
      </c>
      <c r="J57" t="inlineStr">
        <is>
          <t>财经类－FN</t>
        </is>
      </c>
      <c r="K57" t="inlineStr">
        <is>
          <t>投资者关系</t>
        </is>
      </c>
      <c r="L57" t="inlineStr">
        <is>
          <t>S10</t>
        </is>
      </c>
      <c r="N57" t="inlineStr">
        <is>
          <t>T1</t>
        </is>
      </c>
      <c r="Q57" t="inlineStr">
        <is>
          <t>G,U</t>
        </is>
      </c>
      <c r="U57" t="n">
        <v>36092.25</v>
      </c>
      <c r="V57" t="n">
        <v>0.083333</v>
      </c>
      <c r="W57" t="inlineStr">
        <is>
          <t>CNY</t>
        </is>
      </c>
      <c r="X57" t="n">
        <v>1</v>
      </c>
      <c r="Y57" t="n">
        <v>34170.37</v>
      </c>
      <c r="Z57" t="n">
        <v>0</v>
      </c>
      <c r="AA57" t="n">
        <v>36092.25</v>
      </c>
      <c r="AF57" t="n">
        <v>0</v>
      </c>
      <c r="AG57" t="n">
        <v>112287.25</v>
      </c>
      <c r="AH57" t="n">
        <v>3.28609991638955</v>
      </c>
      <c r="AJ57" t="n">
        <v>3.28609991638955</v>
      </c>
      <c r="AK57" t="n">
        <v>3.28609991638955</v>
      </c>
      <c r="AQ57" t="n">
        <v>112287.25</v>
      </c>
      <c r="AR57" t="n">
        <v>3.28609991638955</v>
      </c>
      <c r="AS57" t="n">
        <v>14.84299405155321</v>
      </c>
      <c r="BL57" t="n">
        <v>0.243835616438356</v>
      </c>
      <c r="BM57" t="n">
        <v>31040</v>
      </c>
      <c r="BN57" t="n">
        <v>0</v>
      </c>
      <c r="BO57" t="n">
        <v>31040</v>
      </c>
      <c r="BP57" t="inlineStr">
        <is>
          <t>N,G</t>
        </is>
      </c>
      <c r="BQ57" t="inlineStr">
        <is>
          <t>T1</t>
        </is>
      </c>
      <c r="BS57" t="n">
        <v>0.2437177835051546</v>
      </c>
      <c r="BT57" t="n">
        <v>0</v>
      </c>
      <c r="BV57" t="n">
        <v>0.2437177835051546</v>
      </c>
      <c r="BY57" t="n">
        <v>7565</v>
      </c>
      <c r="BZ57" t="n">
        <v>0.2437177835051546</v>
      </c>
      <c r="CP57" t="inlineStr">
        <is>
          <t>CFO办公室</t>
        </is>
      </c>
      <c r="CQ57" t="inlineStr">
        <is>
          <t>3,1</t>
        </is>
      </c>
      <c r="CR57" t="n">
        <v>10</v>
      </c>
      <c r="CS57" t="inlineStr">
        <is>
          <t>T1</t>
        </is>
      </c>
      <c r="CT57" t="inlineStr">
        <is>
          <t>N</t>
        </is>
      </c>
    </row>
    <row r="58">
      <c r="A58" t="inlineStr">
        <is>
          <t>johnnyHong(洪国文)</t>
        </is>
      </c>
      <c r="C58" t="n">
        <v>1185225</v>
      </c>
      <c r="D58" t="inlineStr">
        <is>
          <t>风险管理和内部控制</t>
        </is>
      </c>
      <c r="E58" t="inlineStr">
        <is>
          <t>WXG风控中心</t>
        </is>
      </c>
      <c r="G58" t="inlineStr">
        <is>
          <t>S2职能系统－财经线/风险管理和内部控制/WXG风控中心</t>
        </is>
      </c>
      <c r="H58" s="188" t="n">
        <v>45140</v>
      </c>
      <c r="I58" t="inlineStr">
        <is>
          <t>社会招聘</t>
        </is>
      </c>
      <c r="J58" t="inlineStr">
        <is>
          <t>财经类－FN</t>
        </is>
      </c>
      <c r="K58" t="inlineStr">
        <is>
          <t>风险管理</t>
        </is>
      </c>
      <c r="L58" t="inlineStr">
        <is>
          <t>S10</t>
        </is>
      </c>
      <c r="N58" t="inlineStr">
        <is>
          <t>T2</t>
        </is>
      </c>
      <c r="Q58" t="inlineStr">
        <is>
          <t>U,O</t>
        </is>
      </c>
      <c r="U58" t="n">
        <v>45198.7</v>
      </c>
      <c r="V58" t="n">
        <v>0.083333</v>
      </c>
      <c r="W58" t="inlineStr">
        <is>
          <t>CNY</t>
        </is>
      </c>
      <c r="X58" t="n">
        <v>1</v>
      </c>
      <c r="Y58" t="n">
        <v>44369.12</v>
      </c>
      <c r="Z58" t="n">
        <v>0</v>
      </c>
      <c r="AA58" t="n">
        <v>90397.39999999999</v>
      </c>
      <c r="AF58" t="n">
        <v>0</v>
      </c>
      <c r="AG58" t="n">
        <v>150722.4</v>
      </c>
      <c r="AH58" t="n">
        <v>3.397011254674422</v>
      </c>
      <c r="AJ58" t="n">
        <v>3.397011254674422</v>
      </c>
      <c r="AK58" t="n">
        <v>3.397011254674422</v>
      </c>
      <c r="AQ58" t="n">
        <v>150722.4</v>
      </c>
      <c r="AR58" t="n">
        <v>3.397011254674422</v>
      </c>
      <c r="AS58" t="n">
        <v>9.303851851851851</v>
      </c>
      <c r="BL58" t="n">
        <v>0.413698630136986</v>
      </c>
      <c r="BM58" t="n">
        <v>39165</v>
      </c>
      <c r="BN58" t="n">
        <v>0</v>
      </c>
      <c r="BO58" t="n">
        <v>39165</v>
      </c>
      <c r="BP58" t="inlineStr">
        <is>
          <t>N,G</t>
        </is>
      </c>
      <c r="BQ58" t="inlineStr">
        <is>
          <t>T1#</t>
        </is>
      </c>
      <c r="BS58" t="n">
        <v>0.4136346227499043</v>
      </c>
      <c r="BT58" t="n">
        <v>0</v>
      </c>
      <c r="BV58" t="n">
        <v>0.4136346227499043</v>
      </c>
      <c r="BY58" t="n">
        <v>16200</v>
      </c>
      <c r="BZ58" t="n">
        <v>0.4136346227499043</v>
      </c>
      <c r="CP58" t="inlineStr">
        <is>
          <t>风险管理和内部控制</t>
        </is>
      </c>
      <c r="CQ58" t="inlineStr">
        <is>
          <t>5,1</t>
        </is>
      </c>
      <c r="CR58" t="n">
        <v>10</v>
      </c>
      <c r="CS58" t="inlineStr">
        <is>
          <t>T2</t>
        </is>
      </c>
      <c r="CT58" t="inlineStr">
        <is>
          <t>N</t>
        </is>
      </c>
    </row>
    <row r="59">
      <c r="A59" t="inlineStr">
        <is>
          <t>elijahFan(范天骏)</t>
        </is>
      </c>
      <c r="C59" t="n">
        <v>1284819</v>
      </c>
      <c r="D59" t="inlineStr">
        <is>
          <t>S2人力资源中心</t>
        </is>
      </c>
      <c r="E59" t="inlineStr">
        <is>
          <t>S2人力资源中心</t>
        </is>
      </c>
      <c r="G59" t="inlineStr">
        <is>
          <t>S2职能系统－财经线/S2人力资源中心</t>
        </is>
      </c>
      <c r="H59" s="188" t="n">
        <v>36501</v>
      </c>
      <c r="I59" t="inlineStr">
        <is>
          <t>社会招聘</t>
        </is>
      </c>
      <c r="J59" t="inlineStr">
        <is>
          <t>财经类－FN</t>
        </is>
      </c>
      <c r="K59" t="inlineStr">
        <is>
          <t>财经系统交付管理</t>
        </is>
      </c>
      <c r="L59" t="inlineStr">
        <is>
          <t>S12</t>
        </is>
      </c>
      <c r="N59" t="inlineStr">
        <is>
          <t>T2</t>
        </is>
      </c>
      <c r="Q59" t="inlineStr">
        <is>
          <t>O,G</t>
        </is>
      </c>
      <c r="U59" t="n">
        <v>73282.2</v>
      </c>
      <c r="V59" t="n">
        <v>0.083333</v>
      </c>
      <c r="W59" t="inlineStr">
        <is>
          <t>CNY</t>
        </is>
      </c>
      <c r="X59" t="n">
        <v>1</v>
      </c>
      <c r="Y59" t="n">
        <v>66356.53</v>
      </c>
      <c r="Z59" t="n">
        <v>0</v>
      </c>
      <c r="AA59" t="n">
        <v>219846.6</v>
      </c>
      <c r="AF59" t="n">
        <v>0</v>
      </c>
      <c r="AG59" t="n">
        <v>307546.6</v>
      </c>
      <c r="AH59" t="n">
        <v>4.634760135890168</v>
      </c>
      <c r="AJ59" t="n">
        <v>4.634760135890168</v>
      </c>
      <c r="AK59" t="n">
        <v>4.634760135890168</v>
      </c>
      <c r="AQ59" t="n">
        <v>307546.6</v>
      </c>
      <c r="AR59" t="n">
        <v>4.634760135890168</v>
      </c>
      <c r="AS59" t="n">
        <v>1.997444956809768</v>
      </c>
      <c r="BL59" t="n">
        <v>1</v>
      </c>
      <c r="BM59" t="n">
        <v>58965</v>
      </c>
      <c r="BN59" t="n">
        <v>0</v>
      </c>
      <c r="BO59" t="n">
        <v>64085</v>
      </c>
      <c r="BP59" t="inlineStr">
        <is>
          <t>G,U</t>
        </is>
      </c>
      <c r="BQ59" t="inlineStr">
        <is>
          <t>T2</t>
        </is>
      </c>
      <c r="BS59" t="n">
        <v>2.611210039854151</v>
      </c>
      <c r="BT59" t="n">
        <v>0</v>
      </c>
      <c r="BV59" t="n">
        <v>2.611210039854151</v>
      </c>
      <c r="BY59" t="n">
        <v>153970</v>
      </c>
      <c r="BZ59" t="n">
        <v>2.611210039854151</v>
      </c>
      <c r="CP59" t="inlineStr">
        <is>
          <t>S2人力资源中心</t>
        </is>
      </c>
      <c r="CQ59" t="inlineStr">
        <is>
          <t>5,3</t>
        </is>
      </c>
      <c r="CR59" t="n">
        <v>12</v>
      </c>
      <c r="CS59" t="inlineStr">
        <is>
          <t>T2</t>
        </is>
      </c>
      <c r="CT59" t="inlineStr">
        <is>
          <t>N</t>
        </is>
      </c>
    </row>
    <row r="60">
      <c r="A60" t="inlineStr">
        <is>
          <t>katherineDuan(段畅苑)</t>
        </is>
      </c>
      <c r="C60" t="n">
        <v>90032706</v>
      </c>
      <c r="D60" t="inlineStr">
        <is>
          <t>反舞弊调查部</t>
        </is>
      </c>
      <c r="E60" t="inlineStr">
        <is>
          <t>海外反舞弊工作组</t>
        </is>
      </c>
      <c r="G60" t="inlineStr">
        <is>
          <t>S2职能系统－财经线/反舞弊调查部/海外反舞弊工作组</t>
        </is>
      </c>
      <c r="H60" s="188" t="n">
        <v>43694</v>
      </c>
      <c r="I60" t="inlineStr">
        <is>
          <t>高校招聘</t>
        </is>
      </c>
      <c r="J60" t="inlineStr">
        <is>
          <t>财经类－FN</t>
        </is>
      </c>
      <c r="K60" t="inlineStr">
        <is>
          <t>风险管理</t>
        </is>
      </c>
      <c r="L60" t="inlineStr">
        <is>
          <t>S5</t>
        </is>
      </c>
      <c r="N60" t="inlineStr">
        <is>
          <t>T2</t>
        </is>
      </c>
      <c r="Q60" t="inlineStr">
        <is>
          <t>O,G</t>
        </is>
      </c>
      <c r="U60" t="n">
        <v>17822.05</v>
      </c>
      <c r="V60" t="n">
        <v>0.083333</v>
      </c>
      <c r="W60" t="inlineStr">
        <is>
          <t>CNY</t>
        </is>
      </c>
      <c r="X60" t="n">
        <v>1</v>
      </c>
      <c r="Y60" t="n">
        <v>16296.29</v>
      </c>
      <c r="Z60" t="n">
        <v>0</v>
      </c>
      <c r="AA60" t="n">
        <v>53466.15</v>
      </c>
      <c r="AF60" t="n">
        <v>0</v>
      </c>
      <c r="AG60" t="n">
        <v>74401.14999999999</v>
      </c>
      <c r="AH60" t="n">
        <v>4.56552687758993</v>
      </c>
      <c r="AJ60" t="n">
        <v>4.56552687758993</v>
      </c>
      <c r="AK60" t="n">
        <v>4.56552687758993</v>
      </c>
      <c r="AQ60" t="n">
        <v>74401.14999999999</v>
      </c>
      <c r="AR60" t="n">
        <v>4.56552687758993</v>
      </c>
      <c r="AS60" t="n">
        <v>1.266510341305643</v>
      </c>
      <c r="BL60" t="n">
        <v>1</v>
      </c>
      <c r="BM60" t="n">
        <v>15605</v>
      </c>
      <c r="BN60" t="n">
        <v>0</v>
      </c>
      <c r="BO60" t="n">
        <v>16895</v>
      </c>
      <c r="BP60" t="inlineStr">
        <is>
          <t>U,O</t>
        </is>
      </c>
      <c r="BQ60" t="inlineStr">
        <is>
          <t>T2</t>
        </is>
      </c>
      <c r="BS60" t="n">
        <v>3.764498558154438</v>
      </c>
      <c r="BT60" t="n">
        <v>0</v>
      </c>
      <c r="BV60" t="n">
        <v>3.764498558154438</v>
      </c>
      <c r="BY60" t="n">
        <v>58745</v>
      </c>
      <c r="BZ60" t="n">
        <v>3.764498558154438</v>
      </c>
      <c r="CP60" t="inlineStr">
        <is>
          <t>反舞弊调查部</t>
        </is>
      </c>
      <c r="CQ60" t="inlineStr">
        <is>
          <t>5,3</t>
        </is>
      </c>
      <c r="CR60" t="n">
        <v>5</v>
      </c>
      <c r="CS60" t="inlineStr">
        <is>
          <t>T2</t>
        </is>
      </c>
      <c r="CT60" t="inlineStr">
        <is>
          <t>N</t>
        </is>
      </c>
    </row>
    <row r="61">
      <c r="A61" t="inlineStr">
        <is>
          <t>richardWei(魏炜锐)</t>
        </is>
      </c>
      <c r="C61" t="n">
        <v>15306183</v>
      </c>
      <c r="D61" t="inlineStr">
        <is>
          <t>CSIG财务管理</t>
        </is>
      </c>
      <c r="E61" t="inlineStr">
        <is>
          <t>公线及费用财务管理中心</t>
        </is>
      </c>
      <c r="G61" t="inlineStr">
        <is>
          <t>S2职能系统－财经线/CSIG财务管理/公线及费用财务管理中心</t>
        </is>
      </c>
      <c r="H61" s="188" t="n">
        <v>41270</v>
      </c>
      <c r="I61" t="inlineStr">
        <is>
          <t>高校招聘</t>
        </is>
      </c>
      <c r="J61" t="inlineStr">
        <is>
          <t>财经类－FN</t>
        </is>
      </c>
      <c r="K61" t="inlineStr">
        <is>
          <t>财务管理</t>
        </is>
      </c>
      <c r="L61" t="inlineStr">
        <is>
          <t>S9</t>
        </is>
      </c>
      <c r="N61" t="inlineStr">
        <is>
          <t>T1</t>
        </is>
      </c>
      <c r="Q61" t="inlineStr">
        <is>
          <t>O,G</t>
        </is>
      </c>
      <c r="U61" t="n">
        <v>55391.6</v>
      </c>
      <c r="V61" t="n">
        <v>0.083333</v>
      </c>
      <c r="W61" t="inlineStr">
        <is>
          <t>CNY</t>
        </is>
      </c>
      <c r="X61" t="n">
        <v>1</v>
      </c>
      <c r="Y61" t="n">
        <v>51738.61</v>
      </c>
      <c r="Z61" t="n">
        <v>0</v>
      </c>
      <c r="AA61" t="n">
        <v>166174.8</v>
      </c>
      <c r="AF61" t="n">
        <v>0</v>
      </c>
      <c r="AG61" t="n">
        <v>393429.8</v>
      </c>
      <c r="AH61" t="n">
        <v>7.604181867274749</v>
      </c>
      <c r="AJ61" t="n">
        <v>7.604181867274749</v>
      </c>
      <c r="AK61" t="n">
        <v>5.820310982455848</v>
      </c>
      <c r="AQ61" t="n">
        <v>393429.8</v>
      </c>
      <c r="AR61" t="n">
        <v>7.604181867274749</v>
      </c>
      <c r="AS61" t="n">
        <v>2.986184440227704</v>
      </c>
      <c r="BL61" t="n">
        <v>1</v>
      </c>
      <c r="BM61" t="n">
        <v>49410</v>
      </c>
      <c r="BN61" t="n">
        <v>0</v>
      </c>
      <c r="BO61" t="n">
        <v>53475</v>
      </c>
      <c r="BP61" t="inlineStr">
        <is>
          <t>G,U</t>
        </is>
      </c>
      <c r="BQ61" t="inlineStr">
        <is>
          <t>T1</t>
        </is>
      </c>
      <c r="BS61" t="n">
        <v>2.666464278486136</v>
      </c>
      <c r="BT61" t="n">
        <v>0</v>
      </c>
      <c r="BV61" t="n">
        <v>2.666464278486136</v>
      </c>
      <c r="BY61" t="n">
        <v>131750</v>
      </c>
      <c r="BZ61" t="n">
        <v>2.666464278486136</v>
      </c>
      <c r="CP61" t="inlineStr">
        <is>
          <t>CSIG财务管理</t>
        </is>
      </c>
      <c r="CQ61" t="inlineStr">
        <is>
          <t>5,3</t>
        </is>
      </c>
      <c r="CR61" t="n">
        <v>9</v>
      </c>
      <c r="CS61" t="inlineStr">
        <is>
          <t>T1</t>
        </is>
      </c>
      <c r="CT61" t="inlineStr">
        <is>
          <t>N</t>
        </is>
      </c>
    </row>
    <row r="62">
      <c r="A62" t="inlineStr">
        <is>
          <t>carolYan(严梅)</t>
        </is>
      </c>
      <c r="C62" t="n">
        <v>68786878</v>
      </c>
      <c r="D62" t="inlineStr">
        <is>
          <t>FiT财务管理</t>
        </is>
      </c>
      <c r="E62" t="inlineStr">
        <is>
          <t>财经金融专项中心</t>
        </is>
      </c>
      <c r="G62" t="inlineStr">
        <is>
          <t>S2职能系统－财经线/FiT财务管理/财经金融专项中心</t>
        </is>
      </c>
      <c r="H62" s="188" t="n">
        <v>37672</v>
      </c>
      <c r="I62" t="inlineStr">
        <is>
          <t>社会招聘</t>
        </is>
      </c>
      <c r="J62" t="inlineStr">
        <is>
          <t>财经类－FN</t>
        </is>
      </c>
      <c r="K62" t="inlineStr">
        <is>
          <t>财务管理</t>
        </is>
      </c>
      <c r="L62" t="inlineStr">
        <is>
          <t>S7</t>
        </is>
      </c>
      <c r="N62" t="inlineStr">
        <is>
          <t>T1#</t>
        </is>
      </c>
      <c r="Q62" t="inlineStr">
        <is>
          <t>G,O</t>
        </is>
      </c>
      <c r="U62" t="n">
        <v>39345.25</v>
      </c>
      <c r="V62" t="n">
        <v>0.083333</v>
      </c>
      <c r="W62" t="inlineStr">
        <is>
          <t>CNY</t>
        </is>
      </c>
      <c r="X62" t="n">
        <v>1</v>
      </c>
      <c r="Y62" t="n">
        <v>36381.36</v>
      </c>
      <c r="Z62" t="n">
        <v>0</v>
      </c>
      <c r="AA62" t="n">
        <v>118035.75</v>
      </c>
      <c r="AF62" t="n">
        <v>0</v>
      </c>
      <c r="AG62" t="n">
        <v>312725.75</v>
      </c>
      <c r="AH62" t="n">
        <v>8.595768547409993</v>
      </c>
      <c r="AJ62" t="n">
        <v>8.595768547409993</v>
      </c>
      <c r="AK62" t="n">
        <v>6.529875463698993</v>
      </c>
      <c r="AQ62" t="n">
        <v>312725.75</v>
      </c>
      <c r="AR62" t="n">
        <v>8.595768547409993</v>
      </c>
      <c r="AS62" t="n">
        <v>2.455832809800534</v>
      </c>
      <c r="BL62" t="n">
        <v>1</v>
      </c>
      <c r="BM62" t="n">
        <v>34045</v>
      </c>
      <c r="BN62" t="n">
        <v>0</v>
      </c>
      <c r="BO62" t="n">
        <v>36515</v>
      </c>
      <c r="BP62" t="inlineStr">
        <is>
          <t>G,G</t>
        </is>
      </c>
      <c r="BQ62" t="inlineStr">
        <is>
          <t>T2</t>
        </is>
      </c>
      <c r="BS62" t="n">
        <v>3.740343662799236</v>
      </c>
      <c r="BT62" t="n">
        <v>0</v>
      </c>
      <c r="BV62" t="n">
        <v>3.740343662799236</v>
      </c>
      <c r="BY62" t="n">
        <v>127340</v>
      </c>
      <c r="BZ62" t="n">
        <v>3.740343662799236</v>
      </c>
      <c r="CP62" t="inlineStr">
        <is>
          <t>FiT财务管理</t>
        </is>
      </c>
      <c r="CQ62" t="inlineStr">
        <is>
          <t>5,3</t>
        </is>
      </c>
      <c r="CR62" t="n">
        <v>7</v>
      </c>
      <c r="CS62" t="inlineStr">
        <is>
          <t>T1#</t>
        </is>
      </c>
      <c r="CT62" t="inlineStr">
        <is>
          <t>N</t>
        </is>
      </c>
    </row>
    <row r="63">
      <c r="A63" t="inlineStr">
        <is>
          <t>allisonYin(尹舒)</t>
        </is>
      </c>
      <c r="C63" t="n">
        <v>72479052</v>
      </c>
      <c r="D63" t="inlineStr">
        <is>
          <t>财经投资并购及管理部</t>
        </is>
      </c>
      <c r="E63" t="inlineStr">
        <is>
          <t>行业及项目管理中心</t>
        </is>
      </c>
      <c r="G63" t="inlineStr">
        <is>
          <t>S2职能系统－财经线/财经投资并购及管理部/行业及项目管理中心</t>
        </is>
      </c>
      <c r="H63" s="188" t="n">
        <v>43149</v>
      </c>
      <c r="I63" t="inlineStr">
        <is>
          <t>社会招聘</t>
        </is>
      </c>
      <c r="J63" t="inlineStr">
        <is>
          <t>财经类－FN</t>
        </is>
      </c>
      <c r="K63" t="inlineStr">
        <is>
          <t>投资并购</t>
        </is>
      </c>
      <c r="L63" t="inlineStr">
        <is>
          <t>S8</t>
        </is>
      </c>
      <c r="N63" t="inlineStr">
        <is>
          <t>T1#</t>
        </is>
      </c>
      <c r="Q63" t="inlineStr">
        <is>
          <t>U,G</t>
        </is>
      </c>
      <c r="U63" t="n">
        <v>34567.75</v>
      </c>
      <c r="V63" t="n">
        <v>0.083333</v>
      </c>
      <c r="W63" t="inlineStr">
        <is>
          <t>CNY</t>
        </is>
      </c>
      <c r="X63" t="n">
        <v>1</v>
      </c>
      <c r="Y63" t="n">
        <v>31684.34</v>
      </c>
      <c r="Z63" t="n">
        <v>0</v>
      </c>
      <c r="AA63" t="n">
        <v>34567.75</v>
      </c>
      <c r="AF63" t="n">
        <v>0</v>
      </c>
      <c r="AG63" t="n">
        <v>145727.75</v>
      </c>
      <c r="AH63" t="n">
        <v>4.599362019218327</v>
      </c>
      <c r="AJ63" t="n">
        <v>4.599362019218327</v>
      </c>
      <c r="AK63" t="n">
        <v>4.599362019218327</v>
      </c>
      <c r="AQ63" t="n">
        <v>145727.75</v>
      </c>
      <c r="AR63" t="n">
        <v>4.599362019218327</v>
      </c>
      <c r="AS63" t="n">
        <v>0.7632322518134443</v>
      </c>
      <c r="BL63" t="n">
        <v>1</v>
      </c>
      <c r="BM63" t="n">
        <v>27825</v>
      </c>
      <c r="BN63" t="n">
        <v>0</v>
      </c>
      <c r="BO63" t="n">
        <v>29130</v>
      </c>
      <c r="BP63" t="inlineStr">
        <is>
          <t>G,G</t>
        </is>
      </c>
      <c r="BQ63" t="inlineStr">
        <is>
          <t>T1#</t>
        </is>
      </c>
      <c r="BS63" t="n">
        <v>5.492003593890386</v>
      </c>
      <c r="BT63" t="n">
        <v>38120</v>
      </c>
      <c r="BV63" t="n">
        <v>6.86199460916442</v>
      </c>
      <c r="BY63" t="n">
        <v>190935</v>
      </c>
      <c r="BZ63" t="n">
        <v>6.86199460916442</v>
      </c>
      <c r="CP63" t="inlineStr">
        <is>
          <t>财经投资并购及管理部</t>
        </is>
      </c>
      <c r="CQ63" t="inlineStr">
        <is>
          <t>3,1</t>
        </is>
      </c>
      <c r="CR63" t="n">
        <v>8</v>
      </c>
      <c r="CS63" t="inlineStr">
        <is>
          <t>T1#</t>
        </is>
      </c>
      <c r="CT63" t="inlineStr">
        <is>
          <t>N</t>
        </is>
      </c>
    </row>
    <row r="64">
      <c r="A64" t="inlineStr">
        <is>
          <t>hannahDuan(段婧)</t>
        </is>
      </c>
      <c r="C64" t="n">
        <v>30248804</v>
      </c>
      <c r="D64" t="inlineStr">
        <is>
          <t>风险管理和内部控制</t>
        </is>
      </c>
      <c r="E64" t="inlineStr">
        <is>
          <t>PCG风控中心</t>
        </is>
      </c>
      <c r="G64" t="inlineStr">
        <is>
          <t>S2职能系统－财经线/风险管理和内部控制/PCG风控中心</t>
        </is>
      </c>
      <c r="H64" s="188" t="n">
        <v>39548</v>
      </c>
      <c r="I64" t="inlineStr">
        <is>
          <t>社会招聘</t>
        </is>
      </c>
      <c r="J64" t="inlineStr">
        <is>
          <t>财经类－FN</t>
        </is>
      </c>
      <c r="K64" t="inlineStr">
        <is>
          <t>风险管理</t>
        </is>
      </c>
      <c r="M64" t="inlineStr">
        <is>
          <t>L3-3</t>
        </is>
      </c>
      <c r="N64" t="inlineStr">
        <is>
          <t>T1</t>
        </is>
      </c>
      <c r="Q64" t="inlineStr">
        <is>
          <t>U,G</t>
        </is>
      </c>
      <c r="U64" t="n">
        <v>80887.8</v>
      </c>
      <c r="V64" t="n">
        <v>0.083333</v>
      </c>
      <c r="W64" t="inlineStr">
        <is>
          <t>CNY</t>
        </is>
      </c>
      <c r="X64" t="n">
        <v>1</v>
      </c>
      <c r="Y64" t="n">
        <v>79263.77</v>
      </c>
      <c r="Z64" t="n">
        <v>0</v>
      </c>
      <c r="AA64" t="n">
        <v>80887.8</v>
      </c>
      <c r="AF64" t="n">
        <v>8835</v>
      </c>
      <c r="AG64" t="n">
        <v>254177.8</v>
      </c>
      <c r="AH64" t="n">
        <v>3.206733669115158</v>
      </c>
      <c r="AJ64" t="n">
        <v>3.318196951772543</v>
      </c>
      <c r="AK64" t="n">
        <v>3.318196951772543</v>
      </c>
      <c r="AQ64" t="n">
        <v>263012.8</v>
      </c>
      <c r="AR64" t="n">
        <v>3.318196951772543</v>
      </c>
      <c r="AS64" t="n">
        <v>1.700972029102668</v>
      </c>
      <c r="BL64" t="n">
        <v>1</v>
      </c>
      <c r="BM64" t="n">
        <v>70515</v>
      </c>
      <c r="BN64" t="n">
        <v>0</v>
      </c>
      <c r="BO64" t="n">
        <v>74150</v>
      </c>
      <c r="BP64" t="inlineStr">
        <is>
          <t>U,G</t>
        </is>
      </c>
      <c r="BQ64" t="inlineStr">
        <is>
          <t>T1</t>
        </is>
      </c>
      <c r="BS64" t="n">
        <v>2.192795859037084</v>
      </c>
      <c r="BT64" t="n">
        <v>0</v>
      </c>
      <c r="BV64" t="n">
        <v>2.192795859037084</v>
      </c>
      <c r="BY64" t="n">
        <v>154625</v>
      </c>
      <c r="BZ64" t="n">
        <v>2.192795859037084</v>
      </c>
      <c r="CP64" t="inlineStr">
        <is>
          <t>风险管理和内部控制</t>
        </is>
      </c>
      <c r="CQ64" t="inlineStr">
        <is>
          <t>3,1</t>
        </is>
      </c>
      <c r="CR64" t="inlineStr">
        <is>
          <t>L3-3</t>
        </is>
      </c>
      <c r="CS64" t="inlineStr">
        <is>
          <t>T1</t>
        </is>
      </c>
      <c r="CT64" t="inlineStr">
        <is>
          <t>N</t>
        </is>
      </c>
    </row>
    <row r="65">
      <c r="A65" t="inlineStr">
        <is>
          <t>donaldXie(谢松)</t>
        </is>
      </c>
      <c r="C65" t="n">
        <v>8849775</v>
      </c>
      <c r="D65" t="inlineStr">
        <is>
          <t>风险管理和内部控制</t>
        </is>
      </c>
      <c r="E65" t="inlineStr">
        <is>
          <t>CSIG风控中心</t>
        </is>
      </c>
      <c r="G65" t="inlineStr">
        <is>
          <t>S2职能系统－财经线/风险管理和内部控制/CSIG风控中心</t>
        </is>
      </c>
      <c r="H65" s="188" t="n">
        <v>43768</v>
      </c>
      <c r="I65" t="inlineStr">
        <is>
          <t>社会招聘</t>
        </is>
      </c>
      <c r="J65" t="inlineStr">
        <is>
          <t>财经类－FN</t>
        </is>
      </c>
      <c r="K65" t="inlineStr">
        <is>
          <t>风险管理</t>
        </is>
      </c>
      <c r="L65" t="inlineStr">
        <is>
          <t>S6</t>
        </is>
      </c>
      <c r="N65" t="inlineStr">
        <is>
          <t>T1</t>
        </is>
      </c>
      <c r="Q65" t="inlineStr">
        <is>
          <t>O,G</t>
        </is>
      </c>
      <c r="U65" t="n">
        <v>26913.15</v>
      </c>
      <c r="V65" t="n">
        <v>0.083333</v>
      </c>
      <c r="W65" t="inlineStr">
        <is>
          <t>CNY</t>
        </is>
      </c>
      <c r="X65" t="n">
        <v>1</v>
      </c>
      <c r="Y65" t="n">
        <v>25049.76</v>
      </c>
      <c r="Z65" t="n">
        <v>0</v>
      </c>
      <c r="AA65" t="n">
        <v>80739.45</v>
      </c>
      <c r="AF65" t="n">
        <v>0</v>
      </c>
      <c r="AG65" t="n">
        <v>194749.45</v>
      </c>
      <c r="AH65" t="n">
        <v>7.774503627978872</v>
      </c>
      <c r="AJ65" t="n">
        <v>7.774503627978872</v>
      </c>
      <c r="AK65" t="n">
        <v>5.888457613965165</v>
      </c>
      <c r="AQ65" t="n">
        <v>194749.45</v>
      </c>
      <c r="AR65" t="n">
        <v>7.774503627978872</v>
      </c>
      <c r="AS65" t="n">
        <v>1.447736024382992</v>
      </c>
      <c r="BL65" t="n">
        <v>1</v>
      </c>
      <c r="BM65" t="n">
        <v>24180</v>
      </c>
      <c r="BN65" t="n">
        <v>0</v>
      </c>
      <c r="BO65" t="n">
        <v>25655</v>
      </c>
      <c r="BP65" t="inlineStr">
        <is>
          <t>G,G</t>
        </is>
      </c>
      <c r="BQ65" t="inlineStr">
        <is>
          <t>T1</t>
        </is>
      </c>
      <c r="BS65" t="n">
        <v>3.455955334987593</v>
      </c>
      <c r="BT65" t="n">
        <v>50955</v>
      </c>
      <c r="BV65" t="n">
        <v>5.563275434243176</v>
      </c>
      <c r="BY65" t="n">
        <v>134520</v>
      </c>
      <c r="BZ65" t="n">
        <v>5.563275434243176</v>
      </c>
      <c r="CP65" t="inlineStr">
        <is>
          <t>风险管理和内部控制</t>
        </is>
      </c>
      <c r="CQ65" t="inlineStr">
        <is>
          <t>5,3</t>
        </is>
      </c>
      <c r="CR65" t="n">
        <v>6</v>
      </c>
      <c r="CS65" t="inlineStr">
        <is>
          <t>T1</t>
        </is>
      </c>
      <c r="CT65" t="inlineStr">
        <is>
          <t>N</t>
        </is>
      </c>
    </row>
    <row r="66">
      <c r="A66" t="inlineStr">
        <is>
          <t>sophieYe(叶姗)</t>
        </is>
      </c>
      <c r="C66" t="n">
        <v>21898482</v>
      </c>
      <c r="D66" t="inlineStr">
        <is>
          <t>CDG财务管理</t>
        </is>
      </c>
      <c r="E66" t="inlineStr">
        <is>
          <t>AMS客户管理中心</t>
        </is>
      </c>
      <c r="G66" t="inlineStr">
        <is>
          <t>S2职能系统－财经线/CDG财务管理/AMS客户管理中心</t>
        </is>
      </c>
      <c r="H66" s="188" t="n">
        <v>41959</v>
      </c>
      <c r="I66" t="inlineStr">
        <is>
          <t>社会招聘</t>
        </is>
      </c>
      <c r="J66" t="inlineStr">
        <is>
          <t>财经类－FN</t>
        </is>
      </c>
      <c r="K66" t="inlineStr">
        <is>
          <t>财务管理</t>
        </is>
      </c>
      <c r="L66" t="inlineStr">
        <is>
          <t>S7</t>
        </is>
      </c>
      <c r="N66" t="inlineStr">
        <is>
          <t>T1#</t>
        </is>
      </c>
      <c r="Q66" t="inlineStr">
        <is>
          <t>G,G</t>
        </is>
      </c>
      <c r="U66" t="n">
        <v>32295.85</v>
      </c>
      <c r="V66" t="n">
        <v>0.083333</v>
      </c>
      <c r="W66" t="inlineStr">
        <is>
          <t>CNY</t>
        </is>
      </c>
      <c r="X66" t="n">
        <v>1</v>
      </c>
      <c r="Y66" t="n">
        <v>29479.95</v>
      </c>
      <c r="Z66" t="n">
        <v>0</v>
      </c>
      <c r="AA66" t="n">
        <v>64591.7</v>
      </c>
      <c r="AF66" t="n">
        <v>0</v>
      </c>
      <c r="AG66" t="n">
        <v>206556.7</v>
      </c>
      <c r="AH66" t="n">
        <v>7.006684204009844</v>
      </c>
      <c r="AJ66" t="n">
        <v>7.006684204009844</v>
      </c>
      <c r="AK66" t="n">
        <v>5.789925016833475</v>
      </c>
      <c r="AQ66" t="n">
        <v>206556.7</v>
      </c>
      <c r="AR66" t="n">
        <v>7.006684204009844</v>
      </c>
      <c r="AS66" t="n">
        <v>1.511906748645879</v>
      </c>
      <c r="BL66" t="n">
        <v>1</v>
      </c>
      <c r="BM66" t="n">
        <v>26030</v>
      </c>
      <c r="BN66" t="n">
        <v>0</v>
      </c>
      <c r="BO66" t="n">
        <v>28275</v>
      </c>
      <c r="BP66" t="inlineStr">
        <is>
          <t>G,G</t>
        </is>
      </c>
      <c r="BQ66" t="inlineStr">
        <is>
          <t>T1</t>
        </is>
      </c>
      <c r="BS66" t="n">
        <v>3.490971955436035</v>
      </c>
      <c r="BT66" t="n">
        <v>45750</v>
      </c>
      <c r="BV66" t="n">
        <v>5.248559354590856</v>
      </c>
      <c r="BY66" t="n">
        <v>136620</v>
      </c>
      <c r="BZ66" t="n">
        <v>5.248559354590856</v>
      </c>
      <c r="CP66" t="inlineStr">
        <is>
          <t>CDG财务管理</t>
        </is>
      </c>
      <c r="CQ66" t="inlineStr">
        <is>
          <t>3,3</t>
        </is>
      </c>
      <c r="CR66" t="n">
        <v>7</v>
      </c>
      <c r="CS66" t="inlineStr">
        <is>
          <t>T1#</t>
        </is>
      </c>
      <c r="CT66" t="inlineStr">
        <is>
          <t>N</t>
        </is>
      </c>
    </row>
    <row r="67">
      <c r="A67" t="inlineStr">
        <is>
          <t>teresaQin(秦娜姗)</t>
        </is>
      </c>
      <c r="C67" t="n">
        <v>56287234</v>
      </c>
      <c r="D67" t="inlineStr">
        <is>
          <t>财经IT管理部</t>
        </is>
      </c>
      <c r="E67" t="inlineStr">
        <is>
          <t>国际业务支持中心</t>
        </is>
      </c>
      <c r="G67" t="inlineStr">
        <is>
          <t>S2职能系统－财经线/财经IT管理部/国际业务支持中心</t>
        </is>
      </c>
      <c r="H67" s="188" t="n">
        <v>43578</v>
      </c>
      <c r="I67" t="inlineStr">
        <is>
          <t>社会招聘</t>
        </is>
      </c>
      <c r="J67" t="inlineStr">
        <is>
          <t>技术研发类－TRD</t>
        </is>
      </c>
      <c r="K67" t="inlineStr">
        <is>
          <t>应用开发</t>
        </is>
      </c>
      <c r="L67" t="inlineStr">
        <is>
          <t>T8</t>
        </is>
      </c>
      <c r="N67" t="inlineStr">
        <is>
          <t>T2</t>
        </is>
      </c>
      <c r="Q67" t="inlineStr">
        <is>
          <t>G,G</t>
        </is>
      </c>
      <c r="U67" t="n">
        <v>40851.95</v>
      </c>
      <c r="V67" t="n">
        <v>0.083333</v>
      </c>
      <c r="W67" t="inlineStr">
        <is>
          <t>CNY</t>
        </is>
      </c>
      <c r="X67" t="n">
        <v>1</v>
      </c>
      <c r="Y67" t="n">
        <v>38290.87</v>
      </c>
      <c r="Z67" t="n">
        <v>0</v>
      </c>
      <c r="AA67" t="n">
        <v>81703.89999999999</v>
      </c>
      <c r="AF67" t="n">
        <v>0</v>
      </c>
      <c r="AG67" t="n">
        <v>122953.9</v>
      </c>
      <c r="AH67" t="n">
        <v>3.211050049267619</v>
      </c>
      <c r="AJ67" t="n">
        <v>3.211050049267619</v>
      </c>
      <c r="AK67" t="n">
        <v>3.211050049267619</v>
      </c>
      <c r="AQ67" t="n">
        <v>122953.9</v>
      </c>
      <c r="AR67" t="n">
        <v>3.211050049267619</v>
      </c>
      <c r="AS67" t="n">
        <v>1.139200407671639</v>
      </c>
      <c r="BL67" t="n">
        <v>1</v>
      </c>
      <c r="BM67" t="n">
        <v>32710</v>
      </c>
      <c r="BN67" t="n">
        <v>0</v>
      </c>
      <c r="BO67" t="n">
        <v>32735</v>
      </c>
      <c r="BP67" t="inlineStr">
        <is>
          <t>G,G</t>
        </is>
      </c>
      <c r="BQ67" t="inlineStr">
        <is>
          <t>T2</t>
        </is>
      </c>
      <c r="BS67" t="n">
        <v>3.299602568022012</v>
      </c>
      <c r="BT67" t="n">
        <v>0</v>
      </c>
      <c r="BV67" t="n">
        <v>3.299602568022012</v>
      </c>
      <c r="BY67" t="n">
        <v>107930</v>
      </c>
      <c r="BZ67" t="n">
        <v>3.299602568022012</v>
      </c>
      <c r="CP67" t="inlineStr">
        <is>
          <t>财经IT管理部</t>
        </is>
      </c>
      <c r="CQ67" t="inlineStr">
        <is>
          <t>3,3</t>
        </is>
      </c>
      <c r="CR67" t="n">
        <v>8</v>
      </c>
      <c r="CS67" t="inlineStr">
        <is>
          <t>T2</t>
        </is>
      </c>
      <c r="CT67" t="inlineStr">
        <is>
          <t>N</t>
        </is>
      </c>
    </row>
    <row r="68">
      <c r="A68" t="inlineStr">
        <is>
          <t>ellieCao(曹珊)</t>
        </is>
      </c>
      <c r="C68" t="n">
        <v>232081</v>
      </c>
      <c r="D68" t="inlineStr">
        <is>
          <t>CDG财务管理</t>
        </is>
      </c>
      <c r="E68" t="inlineStr">
        <is>
          <t>CDG财务管理</t>
        </is>
      </c>
      <c r="G68" t="inlineStr">
        <is>
          <t>S2职能系统－财经线/CDG财务管理</t>
        </is>
      </c>
      <c r="H68" s="188" t="n">
        <v>38861</v>
      </c>
      <c r="I68" t="inlineStr">
        <is>
          <t>高校招聘</t>
        </is>
      </c>
      <c r="J68" t="inlineStr">
        <is>
          <t>财经类－FN</t>
        </is>
      </c>
      <c r="K68" t="inlineStr">
        <is>
          <t>财务管理</t>
        </is>
      </c>
      <c r="L68" t="inlineStr">
        <is>
          <t>S6</t>
        </is>
      </c>
      <c r="N68" t="inlineStr">
        <is>
          <t>T2</t>
        </is>
      </c>
      <c r="Q68" t="inlineStr">
        <is>
          <t>G,G</t>
        </is>
      </c>
      <c r="U68" t="n">
        <v>26240.85</v>
      </c>
      <c r="V68" t="n">
        <v>0.083333</v>
      </c>
      <c r="W68" t="inlineStr">
        <is>
          <t>CNY</t>
        </is>
      </c>
      <c r="X68" t="n">
        <v>1</v>
      </c>
      <c r="Y68" t="n">
        <v>24685.06</v>
      </c>
      <c r="Z68" t="n">
        <v>0</v>
      </c>
      <c r="AA68" t="n">
        <v>52481.7</v>
      </c>
      <c r="AF68" t="n">
        <v>0</v>
      </c>
      <c r="AG68" t="n">
        <v>79236.7</v>
      </c>
      <c r="AH68" t="n">
        <v>3.209905100493983</v>
      </c>
      <c r="AJ68" t="n">
        <v>3.209905100493983</v>
      </c>
      <c r="AK68" t="n">
        <v>3.209905100493983</v>
      </c>
      <c r="AQ68" t="n">
        <v>79236.7</v>
      </c>
      <c r="AR68" t="n">
        <v>3.209905100493983</v>
      </c>
      <c r="AS68" t="n">
        <v>0.7930410849221838</v>
      </c>
      <c r="BL68" t="n">
        <v>1</v>
      </c>
      <c r="BM68" t="n">
        <v>23075</v>
      </c>
      <c r="BN68" t="n">
        <v>0</v>
      </c>
      <c r="BO68" t="n">
        <v>24045</v>
      </c>
      <c r="BP68" t="inlineStr">
        <is>
          <t>O,G</t>
        </is>
      </c>
      <c r="BQ68" t="inlineStr">
        <is>
          <t>T2</t>
        </is>
      </c>
      <c r="BS68" t="n">
        <v>4.330010834236186</v>
      </c>
      <c r="BT68" t="n">
        <v>0</v>
      </c>
      <c r="BV68" t="n">
        <v>4.330010834236186</v>
      </c>
      <c r="BY68" t="n">
        <v>99915</v>
      </c>
      <c r="BZ68" t="n">
        <v>4.330010834236186</v>
      </c>
      <c r="CP68" t="inlineStr">
        <is>
          <t>CDG财务管理</t>
        </is>
      </c>
      <c r="CQ68" t="inlineStr">
        <is>
          <t>3,3</t>
        </is>
      </c>
      <c r="CR68" t="n">
        <v>6</v>
      </c>
      <c r="CS68" t="inlineStr">
        <is>
          <t>T2</t>
        </is>
      </c>
      <c r="CT68" t="inlineStr">
        <is>
          <t>N</t>
        </is>
      </c>
    </row>
    <row r="69">
      <c r="A69" t="inlineStr">
        <is>
          <t>aaliyahJia(贾静)</t>
        </is>
      </c>
      <c r="C69" t="n">
        <v>6715894</v>
      </c>
      <c r="D69" t="inlineStr">
        <is>
          <t>风险管理和内部控制</t>
        </is>
      </c>
      <c r="E69" t="inlineStr">
        <is>
          <t>WXG风控中心</t>
        </is>
      </c>
      <c r="G69" t="inlineStr">
        <is>
          <t>S2职能系统－财经线/风险管理和内部控制/WXG风控中心</t>
        </is>
      </c>
      <c r="H69" s="188" t="n">
        <v>44509</v>
      </c>
      <c r="I69" t="inlineStr">
        <is>
          <t>社会招聘</t>
        </is>
      </c>
      <c r="J69" t="inlineStr">
        <is>
          <t>财经类－FN</t>
        </is>
      </c>
      <c r="K69" t="inlineStr">
        <is>
          <t>风险管理</t>
        </is>
      </c>
      <c r="L69" t="inlineStr">
        <is>
          <t>S7</t>
        </is>
      </c>
      <c r="N69" t="inlineStr">
        <is>
          <t>T1#</t>
        </is>
      </c>
      <c r="Q69" t="inlineStr">
        <is>
          <t>G,G</t>
        </is>
      </c>
      <c r="U69" t="n">
        <v>27998.8</v>
      </c>
      <c r="V69" t="n">
        <v>0.083333</v>
      </c>
      <c r="W69" t="inlineStr">
        <is>
          <t>CNY</t>
        </is>
      </c>
      <c r="X69" t="n">
        <v>1</v>
      </c>
      <c r="Y69" t="n">
        <v>27506.56</v>
      </c>
      <c r="Z69" t="n">
        <v>0</v>
      </c>
      <c r="AA69" t="n">
        <v>55997.6</v>
      </c>
      <c r="AF69" t="n">
        <v>0</v>
      </c>
      <c r="AG69" t="n">
        <v>188107.6</v>
      </c>
      <c r="AH69" t="n">
        <v>6.838645035947788</v>
      </c>
      <c r="AJ69" t="n">
        <v>6.838645035947788</v>
      </c>
      <c r="AK69" t="n">
        <v>5.524413085460341</v>
      </c>
      <c r="AQ69" t="n">
        <v>188107.6</v>
      </c>
      <c r="AR69" t="n">
        <v>6.838645035947788</v>
      </c>
      <c r="AS69" t="n">
        <v>1.726946063805371</v>
      </c>
      <c r="BL69" t="n">
        <v>1</v>
      </c>
      <c r="BM69" t="n">
        <v>23675</v>
      </c>
      <c r="BN69" t="n">
        <v>0</v>
      </c>
      <c r="BO69" t="n">
        <v>24345</v>
      </c>
      <c r="BP69" t="inlineStr">
        <is>
          <t>G,O</t>
        </is>
      </c>
      <c r="BQ69" t="inlineStr">
        <is>
          <t>T2</t>
        </is>
      </c>
      <c r="BS69" t="n">
        <v>4.600844772967265</v>
      </c>
      <c r="BT69" t="n">
        <v>0</v>
      </c>
      <c r="BV69" t="n">
        <v>4.600844772967265</v>
      </c>
      <c r="BY69" t="n">
        <v>108925</v>
      </c>
      <c r="BZ69" t="n">
        <v>4.600844772967265</v>
      </c>
      <c r="CP69" t="inlineStr">
        <is>
          <t>风险管理和内部控制</t>
        </is>
      </c>
      <c r="CQ69" t="inlineStr">
        <is>
          <t>3,3</t>
        </is>
      </c>
      <c r="CR69" t="n">
        <v>7</v>
      </c>
      <c r="CS69" t="inlineStr">
        <is>
          <t>T1#</t>
        </is>
      </c>
      <c r="CT69" t="inlineStr">
        <is>
          <t>N</t>
        </is>
      </c>
    </row>
    <row r="70">
      <c r="A70" t="inlineStr">
        <is>
          <t>judithShi(石茜青)</t>
        </is>
      </c>
      <c r="C70" t="n">
        <v>87007219</v>
      </c>
      <c r="D70" t="inlineStr">
        <is>
          <t>财经投资并购及管理部</t>
        </is>
      </c>
      <c r="E70" t="inlineStr">
        <is>
          <t>行业及项目管理中心</t>
        </is>
      </c>
      <c r="G70" t="inlineStr">
        <is>
          <t>S2职能系统－财经线/财经投资并购及管理部/行业及项目管理中心</t>
        </is>
      </c>
      <c r="H70" s="188" t="n">
        <v>36341</v>
      </c>
      <c r="I70" t="inlineStr">
        <is>
          <t>社会招聘</t>
        </is>
      </c>
      <c r="J70" t="inlineStr">
        <is>
          <t>财经类－FN</t>
        </is>
      </c>
      <c r="K70" t="inlineStr">
        <is>
          <t>投资并购</t>
        </is>
      </c>
      <c r="L70" t="inlineStr">
        <is>
          <t>S8</t>
        </is>
      </c>
      <c r="N70" t="inlineStr">
        <is>
          <t>Others</t>
        </is>
      </c>
      <c r="Q70" t="inlineStr">
        <is>
          <t>G,G</t>
        </is>
      </c>
      <c r="U70" t="n">
        <v>50342.95</v>
      </c>
      <c r="V70" t="n">
        <v>0.083333</v>
      </c>
      <c r="W70" t="inlineStr">
        <is>
          <t>CNY</t>
        </is>
      </c>
      <c r="X70" t="n">
        <v>1</v>
      </c>
      <c r="Y70" t="n">
        <v>46146.18</v>
      </c>
      <c r="Z70" t="n">
        <v>0</v>
      </c>
      <c r="AA70" t="n">
        <v>100685.9</v>
      </c>
      <c r="AF70" t="n">
        <v>0</v>
      </c>
      <c r="AG70" t="n">
        <v>147005.9</v>
      </c>
      <c r="AH70" t="n">
        <v>3.185656970956209</v>
      </c>
      <c r="AJ70" t="n">
        <v>3.185656970956209</v>
      </c>
      <c r="AK70" t="n">
        <v>3.185656970956209</v>
      </c>
      <c r="AQ70" t="n">
        <v>147005.9</v>
      </c>
      <c r="AR70" t="n">
        <v>3.185656970956209</v>
      </c>
      <c r="AS70" t="n">
        <v>0.7673943570067601</v>
      </c>
      <c r="BL70" t="n">
        <v>1</v>
      </c>
      <c r="BM70" t="n">
        <v>43800</v>
      </c>
      <c r="BN70" t="n">
        <v>0</v>
      </c>
      <c r="BO70" t="n">
        <v>47740</v>
      </c>
      <c r="BP70" t="inlineStr">
        <is>
          <t>G,O</t>
        </is>
      </c>
      <c r="BQ70" t="inlineStr">
        <is>
          <t>Others</t>
        </is>
      </c>
      <c r="BS70" t="n">
        <v>4.373630136986302</v>
      </c>
      <c r="BT70" t="n">
        <v>0</v>
      </c>
      <c r="BV70" t="n">
        <v>4.373630136986302</v>
      </c>
      <c r="BY70" t="n">
        <v>191565</v>
      </c>
      <c r="BZ70" t="n">
        <v>4.373630136986302</v>
      </c>
      <c r="CP70" t="inlineStr">
        <is>
          <t>财经投资并购及管理部</t>
        </is>
      </c>
      <c r="CQ70" t="inlineStr">
        <is>
          <t>3,3</t>
        </is>
      </c>
      <c r="CR70" t="n">
        <v>8</v>
      </c>
      <c r="CS70" t="inlineStr">
        <is>
          <t>Others</t>
        </is>
      </c>
      <c r="CT70" t="inlineStr">
        <is>
          <t>N</t>
        </is>
      </c>
    </row>
    <row r="71">
      <c r="A71" t="inlineStr">
        <is>
          <t>dylanQin(秦宇胜)</t>
        </is>
      </c>
      <c r="C71" t="n">
        <v>97156558</v>
      </c>
      <c r="D71" t="inlineStr">
        <is>
          <t>预算及职能系统财务管理部</t>
        </is>
      </c>
      <c r="E71" t="inlineStr">
        <is>
          <t>预算管理中心</t>
        </is>
      </c>
      <c r="G71" t="inlineStr">
        <is>
          <t>S2职能系统－财经线/预算及职能系统财务管理部/预算管理中心</t>
        </is>
      </c>
      <c r="H71" s="188" t="n">
        <v>41411</v>
      </c>
      <c r="I71" t="inlineStr">
        <is>
          <t>社会招聘</t>
        </is>
      </c>
      <c r="J71" t="inlineStr">
        <is>
          <t>财经类－FN</t>
        </is>
      </c>
      <c r="K71" t="inlineStr">
        <is>
          <t>预算管理</t>
        </is>
      </c>
      <c r="L71" t="inlineStr">
        <is>
          <t>S5</t>
        </is>
      </c>
      <c r="N71" t="inlineStr">
        <is>
          <t>T1</t>
        </is>
      </c>
      <c r="Q71" t="inlineStr">
        <is>
          <t>U,G</t>
        </is>
      </c>
      <c r="U71" t="n">
        <v>19998.85</v>
      </c>
      <c r="V71" t="n">
        <v>0.083333</v>
      </c>
      <c r="W71" t="inlineStr">
        <is>
          <t>CNY</t>
        </is>
      </c>
      <c r="X71" t="n">
        <v>1</v>
      </c>
      <c r="Y71" t="n">
        <v>18479.36</v>
      </c>
      <c r="Z71" t="n">
        <v>0</v>
      </c>
      <c r="AA71" t="n">
        <v>19998.85</v>
      </c>
      <c r="AF71" t="n">
        <v>0</v>
      </c>
      <c r="AG71" t="n">
        <v>61358.85</v>
      </c>
      <c r="AH71" t="n">
        <v>3.320399083085128</v>
      </c>
      <c r="AJ71" t="n">
        <v>3.320399083085128</v>
      </c>
      <c r="AK71" t="n">
        <v>3.320399083085128</v>
      </c>
      <c r="AQ71" t="n">
        <v>61358.85</v>
      </c>
      <c r="AR71" t="n">
        <v>3.320399083085128</v>
      </c>
      <c r="AS71" t="n">
        <v>0.6713589364844904</v>
      </c>
      <c r="BL71" t="n">
        <v>1</v>
      </c>
      <c r="BM71" t="n">
        <v>17550</v>
      </c>
      <c r="BN71" t="n">
        <v>0</v>
      </c>
      <c r="BO71" t="n">
        <v>18850</v>
      </c>
      <c r="BP71" t="inlineStr">
        <is>
          <t>G,G</t>
        </is>
      </c>
      <c r="BQ71" t="inlineStr">
        <is>
          <t>T1</t>
        </is>
      </c>
      <c r="BS71" t="n">
        <v>3.437321937321937</v>
      </c>
      <c r="BT71" t="n">
        <v>31070</v>
      </c>
      <c r="BV71" t="n">
        <v>5.207692307692308</v>
      </c>
      <c r="BY71" t="n">
        <v>91395</v>
      </c>
      <c r="BZ71" t="n">
        <v>5.207692307692308</v>
      </c>
      <c r="CP71" t="inlineStr">
        <is>
          <t>预算及职能系统财务管理部</t>
        </is>
      </c>
      <c r="CQ71" t="inlineStr">
        <is>
          <t>3,1</t>
        </is>
      </c>
      <c r="CR71" t="n">
        <v>5</v>
      </c>
      <c r="CS71" t="inlineStr">
        <is>
          <t>T1</t>
        </is>
      </c>
      <c r="CT71" t="inlineStr">
        <is>
          <t>N</t>
        </is>
      </c>
    </row>
    <row r="72">
      <c r="A72" t="inlineStr">
        <is>
          <t>bryanCai(蔡彤博)</t>
        </is>
      </c>
      <c r="C72" t="n">
        <v>49464189</v>
      </c>
      <c r="D72" t="inlineStr">
        <is>
          <t>财会及报告管理部</t>
        </is>
      </c>
      <c r="E72" t="inlineStr">
        <is>
          <t>账务中心</t>
        </is>
      </c>
      <c r="G72" t="inlineStr">
        <is>
          <t>S2职能系统－财经线/财会及报告管理部/账务中心</t>
        </is>
      </c>
      <c r="H72" s="188" t="n">
        <v>41280</v>
      </c>
      <c r="I72" t="inlineStr">
        <is>
          <t>高校招聘</t>
        </is>
      </c>
      <c r="J72" t="inlineStr">
        <is>
          <t>财经类－FN</t>
        </is>
      </c>
      <c r="K72" t="inlineStr">
        <is>
          <t>会计</t>
        </is>
      </c>
      <c r="L72" t="inlineStr">
        <is>
          <t>S10</t>
        </is>
      </c>
      <c r="N72" t="inlineStr">
        <is>
          <t>T2</t>
        </is>
      </c>
      <c r="Q72" t="inlineStr">
        <is>
          <t>G,U</t>
        </is>
      </c>
      <c r="U72" t="n">
        <v>64701.95</v>
      </c>
      <c r="V72" t="n">
        <v>0.083333</v>
      </c>
      <c r="W72" t="inlineStr">
        <is>
          <t>CNY</t>
        </is>
      </c>
      <c r="X72" t="n">
        <v>1</v>
      </c>
      <c r="Y72" t="n">
        <v>63132.21</v>
      </c>
      <c r="Z72" t="n">
        <v>0</v>
      </c>
      <c r="AA72" t="n">
        <v>64701.95</v>
      </c>
      <c r="AF72" t="n">
        <v>0</v>
      </c>
      <c r="AG72" t="n">
        <v>157351.95</v>
      </c>
      <c r="AH72" t="n">
        <v>2.492419479691904</v>
      </c>
      <c r="AJ72" t="n">
        <v>2.492419479691904</v>
      </c>
      <c r="AK72" t="n">
        <v>2.492419479691904</v>
      </c>
      <c r="AQ72" t="n">
        <v>157351.95</v>
      </c>
      <c r="AR72" t="n">
        <v>2.492419479691904</v>
      </c>
      <c r="AS72" t="n">
        <v>0.8273408170776593</v>
      </c>
      <c r="BL72" t="n">
        <v>1</v>
      </c>
      <c r="BM72" t="n">
        <v>57970</v>
      </c>
      <c r="BN72" t="n">
        <v>0</v>
      </c>
      <c r="BO72" t="n">
        <v>60340</v>
      </c>
      <c r="BP72" t="inlineStr">
        <is>
          <t>G,G</t>
        </is>
      </c>
      <c r="BQ72" t="inlineStr">
        <is>
          <t>T2</t>
        </is>
      </c>
      <c r="BS72" t="n">
        <v>3.280834914611006</v>
      </c>
      <c r="BT72" t="n">
        <v>0</v>
      </c>
      <c r="BV72" t="n">
        <v>3.280834914611006</v>
      </c>
      <c r="BY72" t="n">
        <v>190190</v>
      </c>
      <c r="BZ72" t="n">
        <v>3.280834914611006</v>
      </c>
      <c r="CP72" t="inlineStr">
        <is>
          <t>财会及报告管理部</t>
        </is>
      </c>
      <c r="CQ72" t="inlineStr">
        <is>
          <t>3,1</t>
        </is>
      </c>
      <c r="CR72" t="n">
        <v>10</v>
      </c>
      <c r="CS72" t="inlineStr">
        <is>
          <t>T2</t>
        </is>
      </c>
      <c r="CT72" t="inlineStr">
        <is>
          <t>N</t>
        </is>
      </c>
    </row>
    <row r="73">
      <c r="A73" t="inlineStr">
        <is>
          <t>andrewSu(苏斌锋)</t>
        </is>
      </c>
      <c r="C73" t="n">
        <v>18789816</v>
      </c>
      <c r="D73" t="inlineStr">
        <is>
          <t>FiT财务管理</t>
        </is>
      </c>
      <c r="E73" t="inlineStr">
        <is>
          <t>结算支持中心</t>
        </is>
      </c>
      <c r="G73" t="inlineStr">
        <is>
          <t>S2职能系统－财经线/FiT财务管理/结算支持中心</t>
        </is>
      </c>
      <c r="H73" s="188" t="n">
        <v>41574</v>
      </c>
      <c r="I73" t="inlineStr">
        <is>
          <t>社会招聘</t>
        </is>
      </c>
      <c r="J73" t="inlineStr">
        <is>
          <t>财经类－FN</t>
        </is>
      </c>
      <c r="K73" t="inlineStr">
        <is>
          <t>财务管理</t>
        </is>
      </c>
      <c r="L73" t="inlineStr">
        <is>
          <t>S8</t>
        </is>
      </c>
      <c r="N73" t="inlineStr">
        <is>
          <t>T1#</t>
        </is>
      </c>
      <c r="Q73" t="inlineStr">
        <is>
          <t>O,G</t>
        </is>
      </c>
      <c r="U73" t="n">
        <v>45232.2</v>
      </c>
      <c r="V73" t="n">
        <v>0.083333</v>
      </c>
      <c r="W73" t="inlineStr">
        <is>
          <t>CNY</t>
        </is>
      </c>
      <c r="X73" t="n">
        <v>1</v>
      </c>
      <c r="Y73" t="n">
        <v>43458.61</v>
      </c>
      <c r="Z73" t="n">
        <v>0</v>
      </c>
      <c r="AA73" t="n">
        <v>135696.6</v>
      </c>
      <c r="AF73" t="n">
        <v>0</v>
      </c>
      <c r="AG73" t="n">
        <v>377886.6</v>
      </c>
      <c r="AH73" t="n">
        <v>8.695321824605067</v>
      </c>
      <c r="AJ73" t="n">
        <v>8.695321824605067</v>
      </c>
      <c r="AK73" t="n">
        <v>6.640953311668274</v>
      </c>
      <c r="AQ73" t="n">
        <v>377886.6</v>
      </c>
      <c r="AR73" t="n">
        <v>8.695321824605067</v>
      </c>
      <c r="AS73" t="n">
        <v>4.385361494719739</v>
      </c>
      <c r="BL73" t="n">
        <v>1</v>
      </c>
      <c r="BM73" t="n">
        <v>36395</v>
      </c>
      <c r="BN73" t="n">
        <v>0</v>
      </c>
      <c r="BO73" t="n">
        <v>37115</v>
      </c>
      <c r="BP73" t="inlineStr">
        <is>
          <t>G,U</t>
        </is>
      </c>
      <c r="BQ73" t="inlineStr">
        <is>
          <t>T2</t>
        </is>
      </c>
      <c r="BS73" t="n">
        <v>2.367632916609424</v>
      </c>
      <c r="BT73" t="n">
        <v>0</v>
      </c>
      <c r="BV73" t="n">
        <v>2.367632916609424</v>
      </c>
      <c r="BY73" t="n">
        <v>86170</v>
      </c>
      <c r="BZ73" t="n">
        <v>2.367632916609424</v>
      </c>
      <c r="CP73" t="inlineStr">
        <is>
          <t>FiT财务管理</t>
        </is>
      </c>
      <c r="CQ73" t="inlineStr">
        <is>
          <t>5,3</t>
        </is>
      </c>
      <c r="CR73" t="n">
        <v>8</v>
      </c>
      <c r="CS73" t="inlineStr">
        <is>
          <t>T1#</t>
        </is>
      </c>
      <c r="CT73" t="inlineStr">
        <is>
          <t>N</t>
        </is>
      </c>
    </row>
    <row r="74">
      <c r="A74" t="inlineStr">
        <is>
          <t>harryHe(何松浩)</t>
        </is>
      </c>
      <c r="C74" t="n">
        <v>38943694</v>
      </c>
      <c r="D74" t="inlineStr">
        <is>
          <t>风险管理和内部控制</t>
        </is>
      </c>
      <c r="E74" t="inlineStr">
        <is>
          <t>IEG风控中心</t>
        </is>
      </c>
      <c r="G74" t="inlineStr">
        <is>
          <t>S2职能系统－财经线/风险管理和内部控制/IEG风控中心</t>
        </is>
      </c>
      <c r="H74" s="188" t="n">
        <v>38512</v>
      </c>
      <c r="I74" t="inlineStr">
        <is>
          <t>高校招聘</t>
        </is>
      </c>
      <c r="J74" t="inlineStr">
        <is>
          <t>财经类－FN</t>
        </is>
      </c>
      <c r="K74" t="inlineStr">
        <is>
          <t>风险管理</t>
        </is>
      </c>
      <c r="L74" t="inlineStr">
        <is>
          <t>S7</t>
        </is>
      </c>
      <c r="N74" t="inlineStr">
        <is>
          <t>Others</t>
        </is>
      </c>
      <c r="Q74" t="inlineStr">
        <is>
          <t>G,U</t>
        </is>
      </c>
      <c r="U74" t="n">
        <v>44533.85</v>
      </c>
      <c r="V74" t="n">
        <v>0.083333</v>
      </c>
      <c r="W74" t="inlineStr">
        <is>
          <t>CNY</t>
        </is>
      </c>
      <c r="X74" t="n">
        <v>1</v>
      </c>
      <c r="Y74" t="n">
        <v>41356.88</v>
      </c>
      <c r="Z74" t="n">
        <v>0</v>
      </c>
      <c r="AA74" t="n">
        <v>44533.85</v>
      </c>
      <c r="AF74" t="n">
        <v>0</v>
      </c>
      <c r="AG74" t="n">
        <v>85453.85000000001</v>
      </c>
      <c r="AH74" t="n">
        <v>2.06625475616149</v>
      </c>
      <c r="AJ74" t="n">
        <v>2.06625475616149</v>
      </c>
      <c r="AK74" t="n">
        <v>2.06625475616149</v>
      </c>
      <c r="AQ74" t="n">
        <v>85453.85000000001</v>
      </c>
      <c r="AR74" t="n">
        <v>2.06625475616149</v>
      </c>
      <c r="AS74" t="n">
        <v>0.4666294435646808</v>
      </c>
      <c r="BL74" t="n">
        <v>1</v>
      </c>
      <c r="BM74" t="n">
        <v>38455</v>
      </c>
      <c r="BN74" t="n">
        <v>0</v>
      </c>
      <c r="BO74" t="n">
        <v>40980</v>
      </c>
      <c r="BP74" t="inlineStr">
        <is>
          <t>G,O</t>
        </is>
      </c>
      <c r="BQ74" t="inlineStr">
        <is>
          <t>T2</t>
        </is>
      </c>
      <c r="BS74" t="n">
        <v>4.762189572227278</v>
      </c>
      <c r="BT74" t="n">
        <v>0</v>
      </c>
      <c r="BV74" t="n">
        <v>4.762189572227278</v>
      </c>
      <c r="BY74" t="n">
        <v>183130</v>
      </c>
      <c r="BZ74" t="n">
        <v>4.762189572227278</v>
      </c>
      <c r="CP74" t="inlineStr">
        <is>
          <t>风险管理和内部控制</t>
        </is>
      </c>
      <c r="CQ74" t="inlineStr">
        <is>
          <t>3,1</t>
        </is>
      </c>
      <c r="CR74" t="n">
        <v>7</v>
      </c>
      <c r="CS74" t="inlineStr">
        <is>
          <t>Others</t>
        </is>
      </c>
      <c r="CT74" t="inlineStr">
        <is>
          <t>N</t>
        </is>
      </c>
    </row>
    <row r="75">
      <c r="A75" t="inlineStr">
        <is>
          <t>kyleJiang(江博宏)</t>
        </is>
      </c>
      <c r="C75" t="n">
        <v>41583343</v>
      </c>
      <c r="D75" t="inlineStr">
        <is>
          <t>财经IT管理部</t>
        </is>
      </c>
      <c r="E75" t="inlineStr">
        <is>
          <t>公共支持中心</t>
        </is>
      </c>
      <c r="G75" t="inlineStr">
        <is>
          <t>S2职能系统－财经线/财经IT管理部/公共支持中心</t>
        </is>
      </c>
      <c r="H75" s="188" t="n">
        <v>38081</v>
      </c>
      <c r="I75" t="inlineStr">
        <is>
          <t>社会招聘</t>
        </is>
      </c>
      <c r="J75" t="inlineStr">
        <is>
          <t>技术研发类－TRD</t>
        </is>
      </c>
      <c r="K75" t="inlineStr">
        <is>
          <t>应用开发</t>
        </is>
      </c>
      <c r="L75" t="inlineStr">
        <is>
          <t>T10</t>
        </is>
      </c>
      <c r="N75" t="inlineStr">
        <is>
          <t>T1</t>
        </is>
      </c>
      <c r="Q75" t="inlineStr">
        <is>
          <t>G,G</t>
        </is>
      </c>
      <c r="U75" t="n">
        <v>43452.1</v>
      </c>
      <c r="V75" t="n">
        <v>0.083333</v>
      </c>
      <c r="W75" t="inlineStr">
        <is>
          <t>CNY</t>
        </is>
      </c>
      <c r="X75" t="n">
        <v>1</v>
      </c>
      <c r="Y75" t="n">
        <v>41920.9</v>
      </c>
      <c r="Z75" t="n">
        <v>0</v>
      </c>
      <c r="AA75" t="n">
        <v>86904.2</v>
      </c>
      <c r="AF75" t="n">
        <v>0</v>
      </c>
      <c r="AG75" t="n">
        <v>226819.2</v>
      </c>
      <c r="AH75" t="n">
        <v>5.410647195074533</v>
      </c>
      <c r="AJ75" t="n">
        <v>5.410647195074533</v>
      </c>
      <c r="AK75" t="n">
        <v>4.337912592525447</v>
      </c>
      <c r="AQ75" t="n">
        <v>226819.2</v>
      </c>
      <c r="AR75" t="n">
        <v>5.410647195074533</v>
      </c>
      <c r="AS75" t="n">
        <v>1.484418848167539</v>
      </c>
      <c r="BL75" t="n">
        <v>1</v>
      </c>
      <c r="BM75" t="n">
        <v>35860</v>
      </c>
      <c r="BN75" t="n">
        <v>0</v>
      </c>
      <c r="BO75" t="n">
        <v>37275</v>
      </c>
      <c r="BP75" t="inlineStr">
        <is>
          <t>G,O</t>
        </is>
      </c>
      <c r="BQ75" t="inlineStr">
        <is>
          <t>Others</t>
        </is>
      </c>
      <c r="BS75" t="n">
        <v>4.261015058561071</v>
      </c>
      <c r="BT75" t="n">
        <v>0</v>
      </c>
      <c r="BV75" t="n">
        <v>4.261015058561071</v>
      </c>
      <c r="BY75" t="n">
        <v>152800</v>
      </c>
      <c r="BZ75" t="n">
        <v>4.261015058561071</v>
      </c>
      <c r="CP75" t="inlineStr">
        <is>
          <t>财经IT管理部</t>
        </is>
      </c>
      <c r="CQ75" t="inlineStr">
        <is>
          <t>3,3</t>
        </is>
      </c>
      <c r="CR75" t="n">
        <v>10</v>
      </c>
      <c r="CS75" t="inlineStr">
        <is>
          <t>T1</t>
        </is>
      </c>
      <c r="CT75" t="inlineStr">
        <is>
          <t>N</t>
        </is>
      </c>
    </row>
    <row r="76">
      <c r="A76" t="inlineStr">
        <is>
          <t>brooklynHu(胡青茹)</t>
        </is>
      </c>
      <c r="C76" t="n">
        <v>96303989</v>
      </c>
      <c r="D76" t="inlineStr">
        <is>
          <t>CFO办公室</t>
        </is>
      </c>
      <c r="E76" t="inlineStr">
        <is>
          <t>财经专业通道委员会</t>
        </is>
      </c>
      <c r="G76" t="inlineStr">
        <is>
          <t>S2职能系统－财经线/CFO办公室/财经专业通道委员会</t>
        </is>
      </c>
      <c r="H76" s="188" t="n">
        <v>37496</v>
      </c>
      <c r="I76" t="inlineStr">
        <is>
          <t>社会招聘</t>
        </is>
      </c>
      <c r="J76" t="inlineStr">
        <is>
          <t>财经类－FN</t>
        </is>
      </c>
      <c r="K76" t="inlineStr">
        <is>
          <t>投资者关系</t>
        </is>
      </c>
      <c r="L76" t="inlineStr">
        <is>
          <t>S9</t>
        </is>
      </c>
      <c r="N76" t="inlineStr">
        <is>
          <t>Others</t>
        </is>
      </c>
      <c r="Q76" t="inlineStr">
        <is>
          <t>G,O</t>
        </is>
      </c>
      <c r="U76" t="n">
        <v>40525.65</v>
      </c>
      <c r="V76" t="n">
        <v>0.083333</v>
      </c>
      <c r="W76" t="inlineStr">
        <is>
          <t>CNY</t>
        </is>
      </c>
      <c r="X76" t="n">
        <v>1</v>
      </c>
      <c r="Y76" t="n">
        <v>39383.95</v>
      </c>
      <c r="Z76" t="n">
        <v>0</v>
      </c>
      <c r="AA76" t="n">
        <v>121576.95</v>
      </c>
      <c r="AF76" t="n">
        <v>0</v>
      </c>
      <c r="AG76" t="n">
        <v>147236.95</v>
      </c>
      <c r="AH76" t="n">
        <v>3.738501343821532</v>
      </c>
      <c r="AJ76" t="n">
        <v>3.738501343821532</v>
      </c>
      <c r="AK76" t="n">
        <v>3.738501343821532</v>
      </c>
      <c r="AQ76" t="n">
        <v>147236.95</v>
      </c>
      <c r="AR76" t="n">
        <v>3.738501343821532</v>
      </c>
      <c r="AS76" t="n">
        <v>1.189120901308351</v>
      </c>
      <c r="BL76" t="n">
        <v>1</v>
      </c>
      <c r="BM76" t="n">
        <v>35100</v>
      </c>
      <c r="BN76" t="n">
        <v>0</v>
      </c>
      <c r="BO76" t="n">
        <v>36800</v>
      </c>
      <c r="BP76" t="inlineStr">
        <is>
          <t>G,G</t>
        </is>
      </c>
      <c r="BQ76" t="inlineStr">
        <is>
          <t>Others</t>
        </is>
      </c>
      <c r="BS76" t="n">
        <v>3.527635327635328</v>
      </c>
      <c r="BT76" t="n">
        <v>0</v>
      </c>
      <c r="BV76" t="n">
        <v>3.527635327635328</v>
      </c>
      <c r="BY76" t="n">
        <v>123820</v>
      </c>
      <c r="BZ76" t="n">
        <v>3.527635327635328</v>
      </c>
      <c r="CP76" t="inlineStr">
        <is>
          <t>CFO办公室</t>
        </is>
      </c>
      <c r="CQ76" t="inlineStr">
        <is>
          <t>5,3</t>
        </is>
      </c>
      <c r="CR76" t="n">
        <v>9</v>
      </c>
      <c r="CS76" t="inlineStr">
        <is>
          <t>Others</t>
        </is>
      </c>
      <c r="CT76" t="inlineStr">
        <is>
          <t>N</t>
        </is>
      </c>
    </row>
    <row r="77">
      <c r="A77" t="inlineStr">
        <is>
          <t>zoeHuang(黄苑琴)</t>
        </is>
      </c>
      <c r="C77" t="n">
        <v>74444298</v>
      </c>
      <c r="D77" t="inlineStr">
        <is>
          <t>CDG财务管理</t>
        </is>
      </c>
      <c r="E77" t="inlineStr">
        <is>
          <t>综合财务管理中心</t>
        </is>
      </c>
      <c r="G77" t="inlineStr">
        <is>
          <t>S2职能系统－财经线/CDG财务管理/综合财务管理中心</t>
        </is>
      </c>
      <c r="H77" s="188" t="n">
        <v>37475</v>
      </c>
      <c r="I77" t="inlineStr">
        <is>
          <t>社会招聘</t>
        </is>
      </c>
      <c r="J77" t="inlineStr">
        <is>
          <t>财经类－FN</t>
        </is>
      </c>
      <c r="K77" t="inlineStr">
        <is>
          <t>财务管理</t>
        </is>
      </c>
      <c r="L77" t="inlineStr">
        <is>
          <t>S10</t>
        </is>
      </c>
      <c r="N77" t="inlineStr">
        <is>
          <t>T1</t>
        </is>
      </c>
      <c r="Q77" t="inlineStr">
        <is>
          <t>G,G</t>
        </is>
      </c>
      <c r="U77" t="n">
        <v>45087.7</v>
      </c>
      <c r="V77" t="n">
        <v>0.083333</v>
      </c>
      <c r="W77" t="inlineStr">
        <is>
          <t>CNY</t>
        </is>
      </c>
      <c r="X77" t="n">
        <v>1</v>
      </c>
      <c r="Y77" t="n">
        <v>44445.99</v>
      </c>
      <c r="Z77" t="n">
        <v>0</v>
      </c>
      <c r="AA77" t="n">
        <v>90175.39999999999</v>
      </c>
      <c r="AF77" t="n">
        <v>0</v>
      </c>
      <c r="AG77" t="n">
        <v>242965.4</v>
      </c>
      <c r="AH77" t="n">
        <v>5.466531401370517</v>
      </c>
      <c r="AJ77" t="n">
        <v>5.466531401370517</v>
      </c>
      <c r="AK77" t="n">
        <v>4.26766059210291</v>
      </c>
      <c r="AQ77" t="n">
        <v>242965.4</v>
      </c>
      <c r="AR77" t="n">
        <v>5.466531401370517</v>
      </c>
      <c r="AS77" t="n">
        <v>2.66453254372978</v>
      </c>
      <c r="BL77" t="n">
        <v>1</v>
      </c>
      <c r="BM77" t="n">
        <v>38540</v>
      </c>
      <c r="BN77" t="n">
        <v>0</v>
      </c>
      <c r="BO77" t="n">
        <v>40785</v>
      </c>
      <c r="BP77" t="inlineStr">
        <is>
          <t>U,G</t>
        </is>
      </c>
      <c r="BQ77" t="inlineStr">
        <is>
          <t>T1</t>
        </is>
      </c>
      <c r="BS77" t="n">
        <v>2.365983393876492</v>
      </c>
      <c r="BT77" t="n">
        <v>0</v>
      </c>
      <c r="BV77" t="n">
        <v>2.365983393876492</v>
      </c>
      <c r="BY77" t="n">
        <v>91185</v>
      </c>
      <c r="BZ77" t="n">
        <v>2.365983393876492</v>
      </c>
      <c r="CP77" t="inlineStr">
        <is>
          <t>CDG财务管理</t>
        </is>
      </c>
      <c r="CQ77" t="inlineStr">
        <is>
          <t>3,3</t>
        </is>
      </c>
      <c r="CR77" t="n">
        <v>10</v>
      </c>
      <c r="CS77" t="inlineStr">
        <is>
          <t>T1</t>
        </is>
      </c>
      <c r="CT77" t="inlineStr">
        <is>
          <t>N</t>
        </is>
      </c>
    </row>
    <row r="78">
      <c r="A78" t="inlineStr">
        <is>
          <t>bettyDu(杜晴)</t>
        </is>
      </c>
      <c r="C78" t="n">
        <v>24734751</v>
      </c>
      <c r="D78" t="inlineStr">
        <is>
          <t>财会及报告管理部</t>
        </is>
      </c>
      <c r="E78" t="inlineStr">
        <is>
          <t>应收管理中心</t>
        </is>
      </c>
      <c r="G78" t="inlineStr">
        <is>
          <t>S2职能系统－财经线/财会及报告管理部/应收管理中心</t>
        </is>
      </c>
      <c r="H78" s="188" t="n">
        <v>44013</v>
      </c>
      <c r="I78" t="inlineStr">
        <is>
          <t>高校招聘</t>
        </is>
      </c>
      <c r="J78" t="inlineStr">
        <is>
          <t>财经类－FN</t>
        </is>
      </c>
      <c r="K78" t="inlineStr">
        <is>
          <t>会计</t>
        </is>
      </c>
      <c r="L78" t="inlineStr">
        <is>
          <t>S6</t>
        </is>
      </c>
      <c r="N78" t="inlineStr">
        <is>
          <t>T1#</t>
        </is>
      </c>
      <c r="Q78" t="inlineStr">
        <is>
          <t>G,G</t>
        </is>
      </c>
      <c r="U78" t="n">
        <v>29824.6</v>
      </c>
      <c r="V78" t="n">
        <v>0.083333</v>
      </c>
      <c r="W78" t="inlineStr">
        <is>
          <t>CNY</t>
        </is>
      </c>
      <c r="X78" t="n">
        <v>1</v>
      </c>
      <c r="Y78" t="n">
        <v>28241.92</v>
      </c>
      <c r="Z78" t="n">
        <v>0</v>
      </c>
      <c r="AA78" t="n">
        <v>59649.2</v>
      </c>
      <c r="AF78" t="n">
        <v>0</v>
      </c>
      <c r="AG78" t="n">
        <v>202389.2</v>
      </c>
      <c r="AH78" t="n">
        <v>7.166269148839739</v>
      </c>
      <c r="AJ78" t="n">
        <v>7.166269148839739</v>
      </c>
      <c r="AK78" t="n">
        <v>5.575194604332851</v>
      </c>
      <c r="AQ78" t="n">
        <v>202389.2</v>
      </c>
      <c r="AR78" t="n">
        <v>7.166269148839739</v>
      </c>
      <c r="AS78" t="n">
        <v>0.9188441195832293</v>
      </c>
      <c r="BL78" t="n">
        <v>1</v>
      </c>
      <c r="BM78" t="n">
        <v>26380</v>
      </c>
      <c r="BN78" t="n">
        <v>0</v>
      </c>
      <c r="BO78" t="n">
        <v>27625</v>
      </c>
      <c r="BP78" t="inlineStr">
        <is>
          <t>G,O</t>
        </is>
      </c>
      <c r="BQ78" t="inlineStr">
        <is>
          <t>T1#</t>
        </is>
      </c>
      <c r="BS78" t="n">
        <v>6.296247156937073</v>
      </c>
      <c r="BT78" t="n">
        <v>54170</v>
      </c>
      <c r="BV78" t="n">
        <v>8.349696739954512</v>
      </c>
      <c r="BY78" t="n">
        <v>220265</v>
      </c>
      <c r="BZ78" t="n">
        <v>8.349696739954512</v>
      </c>
      <c r="CP78" t="inlineStr">
        <is>
          <t>财会及报告管理部</t>
        </is>
      </c>
      <c r="CQ78" t="inlineStr">
        <is>
          <t>3,3</t>
        </is>
      </c>
      <c r="CR78" t="n">
        <v>6</v>
      </c>
      <c r="CS78" t="inlineStr">
        <is>
          <t>T1#</t>
        </is>
      </c>
      <c r="CT78" t="inlineStr">
        <is>
          <t>N</t>
        </is>
      </c>
    </row>
    <row r="79">
      <c r="A79" t="inlineStr">
        <is>
          <t>larryYin(尹杰)</t>
        </is>
      </c>
      <c r="C79" t="n">
        <v>8382817</v>
      </c>
      <c r="D79" t="inlineStr">
        <is>
          <t>CDG财务管理</t>
        </is>
      </c>
      <c r="E79" t="inlineStr">
        <is>
          <t>AMS收入支持中心</t>
        </is>
      </c>
      <c r="G79" t="inlineStr">
        <is>
          <t>S2职能系统－财经线/CDG财务管理/AMS收入支持中心</t>
        </is>
      </c>
      <c r="H79" s="188" t="n">
        <v>42952</v>
      </c>
      <c r="I79" t="inlineStr">
        <is>
          <t>高校招聘</t>
        </is>
      </c>
      <c r="J79" t="inlineStr">
        <is>
          <t>财经类－FN</t>
        </is>
      </c>
      <c r="K79" t="inlineStr">
        <is>
          <t>财务管理</t>
        </is>
      </c>
      <c r="L79" t="inlineStr">
        <is>
          <t>S7</t>
        </is>
      </c>
      <c r="N79" t="inlineStr">
        <is>
          <t>T1</t>
        </is>
      </c>
      <c r="Q79" t="inlineStr">
        <is>
          <t>G,G</t>
        </is>
      </c>
      <c r="U79" t="n">
        <v>28687.45</v>
      </c>
      <c r="V79" t="n">
        <v>0.083333</v>
      </c>
      <c r="W79" t="inlineStr">
        <is>
          <t>CNY</t>
        </is>
      </c>
      <c r="X79" t="n">
        <v>1</v>
      </c>
      <c r="Y79" t="n">
        <v>28276.73</v>
      </c>
      <c r="Z79" t="n">
        <v>0</v>
      </c>
      <c r="AA79" t="n">
        <v>57374.9</v>
      </c>
      <c r="AF79" t="n">
        <v>0</v>
      </c>
      <c r="AG79" t="n">
        <v>146274.9</v>
      </c>
      <c r="AH79" t="n">
        <v>5.172977922128903</v>
      </c>
      <c r="AJ79" t="n">
        <v>5.172977922128903</v>
      </c>
      <c r="AK79" t="n">
        <v>4.08374306364279</v>
      </c>
      <c r="AQ79" t="n">
        <v>146274.9</v>
      </c>
      <c r="AR79" t="n">
        <v>5.172977922128903</v>
      </c>
      <c r="AS79" t="n">
        <v>1.371863071512309</v>
      </c>
      <c r="BL79" t="n">
        <v>1</v>
      </c>
      <c r="BM79" t="n">
        <v>25155</v>
      </c>
      <c r="BN79" t="n">
        <v>0</v>
      </c>
      <c r="BO79" t="n">
        <v>25500</v>
      </c>
      <c r="BP79" t="inlineStr">
        <is>
          <t>G,O</t>
        </is>
      </c>
      <c r="BQ79" t="inlineStr">
        <is>
          <t>Others</t>
        </is>
      </c>
      <c r="BS79" t="n">
        <v>4.238719936394355</v>
      </c>
      <c r="BT79" t="n">
        <v>0</v>
      </c>
      <c r="BV79" t="n">
        <v>4.238719936394355</v>
      </c>
      <c r="BY79" t="n">
        <v>106625</v>
      </c>
      <c r="BZ79" t="n">
        <v>4.238719936394355</v>
      </c>
      <c r="CP79" t="inlineStr">
        <is>
          <t>CDG财务管理</t>
        </is>
      </c>
      <c r="CQ79" t="inlineStr">
        <is>
          <t>3,3</t>
        </is>
      </c>
      <c r="CR79" t="n">
        <v>7</v>
      </c>
      <c r="CS79" t="inlineStr">
        <is>
          <t>T1</t>
        </is>
      </c>
      <c r="CT79" t="inlineStr">
        <is>
          <t>N</t>
        </is>
      </c>
    </row>
    <row r="80">
      <c r="A80" t="inlineStr">
        <is>
          <t>ashleyJiang(蒋青娇)</t>
        </is>
      </c>
      <c r="C80" t="n">
        <v>24380026</v>
      </c>
      <c r="D80" t="inlineStr">
        <is>
          <t>财经线-公共</t>
        </is>
      </c>
      <c r="E80" t="inlineStr">
        <is>
          <t>财经线-公共</t>
        </is>
      </c>
      <c r="G80" t="inlineStr">
        <is>
          <t>S2职能系统－财经线/财经线-公共</t>
        </is>
      </c>
      <c r="H80" s="188" t="n">
        <v>43175</v>
      </c>
      <c r="I80" t="inlineStr">
        <is>
          <t>高校招聘</t>
        </is>
      </c>
      <c r="J80" t="inlineStr">
        <is>
          <t>财经类－FN</t>
        </is>
      </c>
      <c r="K80" t="inlineStr">
        <is>
          <t>财务管理</t>
        </is>
      </c>
      <c r="L80" t="inlineStr">
        <is>
          <t>S6</t>
        </is>
      </c>
      <c r="N80" t="inlineStr">
        <is>
          <t>Others</t>
        </is>
      </c>
      <c r="Q80" t="inlineStr">
        <is>
          <t>G,G</t>
        </is>
      </c>
      <c r="U80" t="n">
        <v>27130.75</v>
      </c>
      <c r="V80" t="n">
        <v>0.083333</v>
      </c>
      <c r="W80" t="inlineStr">
        <is>
          <t>CNY</t>
        </is>
      </c>
      <c r="X80" t="n">
        <v>1</v>
      </c>
      <c r="Y80" t="n">
        <v>25449.03</v>
      </c>
      <c r="Z80" t="n">
        <v>0</v>
      </c>
      <c r="AA80" t="n">
        <v>54261.5</v>
      </c>
      <c r="AF80" t="n">
        <v>0</v>
      </c>
      <c r="AG80" t="n">
        <v>75931.5</v>
      </c>
      <c r="AH80" t="n">
        <v>2.983669711576434</v>
      </c>
      <c r="AJ80" t="n">
        <v>2.983669711576434</v>
      </c>
      <c r="AK80" t="n">
        <v>2.983669711576434</v>
      </c>
      <c r="AQ80" t="n">
        <v>75931.5</v>
      </c>
      <c r="AR80" t="n">
        <v>2.983669711576434</v>
      </c>
      <c r="AS80" t="n">
        <v>0.7047006960556844</v>
      </c>
      <c r="BL80" t="n">
        <v>1</v>
      </c>
      <c r="BM80" t="n">
        <v>22210</v>
      </c>
      <c r="BN80" t="n">
        <v>0</v>
      </c>
      <c r="BO80" t="n">
        <v>24180</v>
      </c>
      <c r="BP80" t="inlineStr">
        <is>
          <t>G,O</t>
        </is>
      </c>
      <c r="BQ80" t="inlineStr">
        <is>
          <t>Others</t>
        </is>
      </c>
      <c r="BS80" t="n">
        <v>4.85141828005403</v>
      </c>
      <c r="BT80" t="n">
        <v>0</v>
      </c>
      <c r="BV80" t="n">
        <v>4.85141828005403</v>
      </c>
      <c r="BY80" t="n">
        <v>107750</v>
      </c>
      <c r="BZ80" t="n">
        <v>4.85141828005403</v>
      </c>
      <c r="CP80" t="inlineStr">
        <is>
          <t>财经线-公共</t>
        </is>
      </c>
      <c r="CQ80" t="inlineStr">
        <is>
          <t>3,3</t>
        </is>
      </c>
      <c r="CR80" t="n">
        <v>6</v>
      </c>
      <c r="CS80" t="inlineStr">
        <is>
          <t>Others</t>
        </is>
      </c>
      <c r="CT80" t="inlineStr">
        <is>
          <t>N</t>
        </is>
      </c>
    </row>
    <row r="81">
      <c r="A81" t="inlineStr">
        <is>
          <t>lucyShao(邵嫦)</t>
        </is>
      </c>
      <c r="C81" t="n">
        <v>54376916</v>
      </c>
      <c r="D81" t="inlineStr">
        <is>
          <t>风险管理和内部控制</t>
        </is>
      </c>
      <c r="E81" t="inlineStr">
        <is>
          <t>S系统风控组</t>
        </is>
      </c>
      <c r="G81" t="inlineStr">
        <is>
          <t>S2职能系统－财经线/风险管理和内部控制/S系统风控组</t>
        </is>
      </c>
      <c r="H81" s="188" t="n">
        <v>40452</v>
      </c>
      <c r="I81" t="inlineStr">
        <is>
          <t>社会招聘</t>
        </is>
      </c>
      <c r="J81" t="inlineStr">
        <is>
          <t>财经类－FN</t>
        </is>
      </c>
      <c r="K81" t="inlineStr">
        <is>
          <t>风险管理</t>
        </is>
      </c>
      <c r="L81" t="inlineStr">
        <is>
          <t>S9</t>
        </is>
      </c>
      <c r="N81" t="inlineStr">
        <is>
          <t>T1</t>
        </is>
      </c>
      <c r="Q81" t="inlineStr">
        <is>
          <t>G,G</t>
        </is>
      </c>
      <c r="U81" t="n">
        <v>52711.35</v>
      </c>
      <c r="V81" t="n">
        <v>0.083333</v>
      </c>
      <c r="W81" t="inlineStr">
        <is>
          <t>CNY</t>
        </is>
      </c>
      <c r="X81" t="n">
        <v>1</v>
      </c>
      <c r="Y81" t="n">
        <v>48742.41</v>
      </c>
      <c r="Z81" t="n">
        <v>0</v>
      </c>
      <c r="AA81" t="n">
        <v>105422.7</v>
      </c>
      <c r="AF81" t="n">
        <v>0</v>
      </c>
      <c r="AG81" t="n">
        <v>296872.7</v>
      </c>
      <c r="AH81" t="n">
        <v>6.090644676781472</v>
      </c>
      <c r="AJ81" t="n">
        <v>6.090644676781472</v>
      </c>
      <c r="AK81" t="n">
        <v>4.360016256890047</v>
      </c>
      <c r="AQ81" t="n">
        <v>296872.7</v>
      </c>
      <c r="AR81" t="n">
        <v>6.090644676781472</v>
      </c>
      <c r="AS81" t="n">
        <v>1.522658357696056</v>
      </c>
      <c r="BL81" t="n">
        <v>1</v>
      </c>
      <c r="BM81" t="n">
        <v>43850</v>
      </c>
      <c r="BN81" t="n">
        <v>0</v>
      </c>
      <c r="BO81" t="n">
        <v>45160</v>
      </c>
      <c r="BP81" t="inlineStr">
        <is>
          <t>G,G</t>
        </is>
      </c>
      <c r="BQ81" t="inlineStr">
        <is>
          <t>T1</t>
        </is>
      </c>
      <c r="BS81" t="n">
        <v>3.114481185860889</v>
      </c>
      <c r="BT81" t="n">
        <v>58400</v>
      </c>
      <c r="BV81" t="n">
        <v>4.446294184720639</v>
      </c>
      <c r="BY81" t="n">
        <v>194970</v>
      </c>
      <c r="BZ81" t="n">
        <v>4.446294184720639</v>
      </c>
      <c r="CP81" t="inlineStr">
        <is>
          <t>风险管理和内部控制</t>
        </is>
      </c>
      <c r="CQ81" t="inlineStr">
        <is>
          <t>3,3</t>
        </is>
      </c>
      <c r="CR81" t="n">
        <v>9</v>
      </c>
      <c r="CS81" t="inlineStr">
        <is>
          <t>T1</t>
        </is>
      </c>
      <c r="CT81" t="inlineStr">
        <is>
          <t>N</t>
        </is>
      </c>
    </row>
    <row r="82">
      <c r="A82" t="inlineStr">
        <is>
          <t>vincentFeng(冯宏立)</t>
        </is>
      </c>
      <c r="C82" t="n">
        <v>96232628</v>
      </c>
      <c r="D82" t="inlineStr">
        <is>
          <t>在线视频财务管理中心</t>
        </is>
      </c>
      <c r="E82" t="inlineStr">
        <is>
          <t>OVB长视频财务管理组</t>
        </is>
      </c>
      <c r="G82" t="inlineStr">
        <is>
          <t>S2职能系统－财经线/在线视频财务管理中心/OVB长视频财务管理组</t>
        </is>
      </c>
      <c r="H82" s="188" t="n">
        <v>40758</v>
      </c>
      <c r="I82" t="inlineStr">
        <is>
          <t>社会招聘</t>
        </is>
      </c>
      <c r="J82" t="inlineStr">
        <is>
          <t>财经类－FN</t>
        </is>
      </c>
      <c r="K82" t="inlineStr">
        <is>
          <t>财务管理</t>
        </is>
      </c>
      <c r="L82" t="inlineStr">
        <is>
          <t>S10</t>
        </is>
      </c>
      <c r="N82" t="inlineStr">
        <is>
          <t>T1#</t>
        </is>
      </c>
      <c r="Q82" t="inlineStr">
        <is>
          <t>G,G</t>
        </is>
      </c>
      <c r="U82" t="n">
        <v>62901.4</v>
      </c>
      <c r="V82" t="n">
        <v>0.083333</v>
      </c>
      <c r="W82" t="inlineStr">
        <is>
          <t>CNY</t>
        </is>
      </c>
      <c r="X82" t="n">
        <v>1</v>
      </c>
      <c r="Y82" t="n">
        <v>58633.01</v>
      </c>
      <c r="Z82" t="n">
        <v>0</v>
      </c>
      <c r="AA82" t="n">
        <v>125802.8</v>
      </c>
      <c r="AF82" t="n">
        <v>0</v>
      </c>
      <c r="AG82" t="n">
        <v>463897.8</v>
      </c>
      <c r="AH82" t="n">
        <v>7.911887859756816</v>
      </c>
      <c r="AJ82" t="n">
        <v>7.911887859756816</v>
      </c>
      <c r="AK82" t="n">
        <v>5.837373861584114</v>
      </c>
      <c r="AQ82" t="n">
        <v>463897.8</v>
      </c>
      <c r="AR82" t="n">
        <v>7.911887859756816</v>
      </c>
      <c r="AS82" t="n">
        <v>1.025301801304011</v>
      </c>
      <c r="BL82" t="n">
        <v>1</v>
      </c>
      <c r="BM82" t="n">
        <v>54350</v>
      </c>
      <c r="BN82" t="n">
        <v>0</v>
      </c>
      <c r="BO82" t="n">
        <v>56760</v>
      </c>
      <c r="BP82" t="inlineStr">
        <is>
          <t>O,G</t>
        </is>
      </c>
      <c r="BQ82" t="inlineStr">
        <is>
          <t>T1#</t>
        </is>
      </c>
      <c r="BS82" t="n">
        <v>6.565869365225391</v>
      </c>
      <c r="BT82" t="n">
        <v>95595</v>
      </c>
      <c r="BV82" t="n">
        <v>8.324747010119594</v>
      </c>
      <c r="BY82" t="n">
        <v>452450</v>
      </c>
      <c r="BZ82" t="n">
        <v>8.324747010119594</v>
      </c>
      <c r="CP82" t="inlineStr">
        <is>
          <t>在线视频财务管理中心</t>
        </is>
      </c>
      <c r="CQ82" t="inlineStr">
        <is>
          <t>3,3</t>
        </is>
      </c>
      <c r="CR82" t="n">
        <v>10</v>
      </c>
      <c r="CS82" t="inlineStr">
        <is>
          <t>T1#</t>
        </is>
      </c>
      <c r="CT82" t="inlineStr">
        <is>
          <t>N</t>
        </is>
      </c>
    </row>
    <row r="83">
      <c r="A83" t="inlineStr">
        <is>
          <t>jerryLu(卢胜豪)</t>
        </is>
      </c>
      <c r="C83" t="n">
        <v>7073907</v>
      </c>
      <c r="D83" t="inlineStr">
        <is>
          <t>财会及报告管理部</t>
        </is>
      </c>
      <c r="E83" t="inlineStr">
        <is>
          <t>海外财会管理中心</t>
        </is>
      </c>
      <c r="G83" t="inlineStr">
        <is>
          <t>S2职能系统－财经线/财会及报告管理部/海外财会管理中心</t>
        </is>
      </c>
      <c r="H83" s="188" t="n">
        <v>44866</v>
      </c>
      <c r="I83" t="inlineStr">
        <is>
          <t>社会招聘</t>
        </is>
      </c>
      <c r="J83" t="inlineStr">
        <is>
          <t>财经类－FN</t>
        </is>
      </c>
      <c r="K83" t="inlineStr">
        <is>
          <t>会计</t>
        </is>
      </c>
      <c r="L83" t="inlineStr">
        <is>
          <t>S10</t>
        </is>
      </c>
      <c r="N83" t="inlineStr">
        <is>
          <t>T2</t>
        </is>
      </c>
      <c r="Q83" t="inlineStr">
        <is>
          <t>G,U</t>
        </is>
      </c>
      <c r="U83" t="n">
        <v>42599.6</v>
      </c>
      <c r="V83" t="n">
        <v>0.083333</v>
      </c>
      <c r="W83" t="inlineStr">
        <is>
          <t>CNY</t>
        </is>
      </c>
      <c r="X83" t="n">
        <v>1</v>
      </c>
      <c r="Y83" t="n">
        <v>38719.09</v>
      </c>
      <c r="Z83" t="n">
        <v>0</v>
      </c>
      <c r="AA83" t="n">
        <v>42599.6</v>
      </c>
      <c r="AF83" t="n">
        <v>0</v>
      </c>
      <c r="AG83" t="n">
        <v>105994.6</v>
      </c>
      <c r="AH83" t="n">
        <v>2.7375281805435</v>
      </c>
      <c r="AJ83" t="n">
        <v>2.7375281805435</v>
      </c>
      <c r="AK83" t="n">
        <v>2.7375281805435</v>
      </c>
      <c r="AQ83" t="n">
        <v>105994.6</v>
      </c>
      <c r="AR83" t="n">
        <v>2.7375281805435</v>
      </c>
      <c r="AS83" t="n">
        <v>0.6126501358302988</v>
      </c>
      <c r="BL83" t="n">
        <v>1</v>
      </c>
      <c r="BM83" t="n">
        <v>36690</v>
      </c>
      <c r="BN83" t="n">
        <v>0</v>
      </c>
      <c r="BO83" t="n">
        <v>39795</v>
      </c>
      <c r="BP83" t="inlineStr">
        <is>
          <t>O,G</t>
        </is>
      </c>
      <c r="BQ83" t="inlineStr">
        <is>
          <t>T2</t>
        </is>
      </c>
      <c r="BS83" t="n">
        <v>4.71545380212592</v>
      </c>
      <c r="BT83" t="n">
        <v>0</v>
      </c>
      <c r="BV83" t="n">
        <v>4.71545380212592</v>
      </c>
      <c r="BY83" t="n">
        <v>173010</v>
      </c>
      <c r="BZ83" t="n">
        <v>4.71545380212592</v>
      </c>
      <c r="CP83" t="inlineStr">
        <is>
          <t>财会及报告管理部</t>
        </is>
      </c>
      <c r="CQ83" t="inlineStr">
        <is>
          <t>3,1</t>
        </is>
      </c>
      <c r="CR83" t="n">
        <v>10</v>
      </c>
      <c r="CS83" t="inlineStr">
        <is>
          <t>T2</t>
        </is>
      </c>
      <c r="CT83" t="inlineStr">
        <is>
          <t>N</t>
        </is>
      </c>
    </row>
    <row r="84">
      <c r="A84" t="inlineStr">
        <is>
          <t>aaronRen(任海)</t>
        </is>
      </c>
      <c r="C84" t="n">
        <v>43822646</v>
      </c>
      <c r="D84" t="inlineStr">
        <is>
          <t>预算及职能系统财务管理部</t>
        </is>
      </c>
      <c r="E84" t="inlineStr">
        <is>
          <t>预算管理中心</t>
        </is>
      </c>
      <c r="G84" t="inlineStr">
        <is>
          <t>S2职能系统－财经线/预算及职能系统财务管理部/预算管理中心</t>
        </is>
      </c>
      <c r="H84" s="188" t="n">
        <v>41982</v>
      </c>
      <c r="I84" t="inlineStr">
        <is>
          <t>社会招聘</t>
        </is>
      </c>
      <c r="J84" t="inlineStr">
        <is>
          <t>财经类－FN</t>
        </is>
      </c>
      <c r="K84" t="inlineStr">
        <is>
          <t>预算管理</t>
        </is>
      </c>
      <c r="L84" t="inlineStr">
        <is>
          <t>S10</t>
        </is>
      </c>
      <c r="N84" t="inlineStr">
        <is>
          <t>T2</t>
        </is>
      </c>
      <c r="Q84" t="inlineStr">
        <is>
          <t>G,G</t>
        </is>
      </c>
      <c r="U84" t="n">
        <v>57232.15</v>
      </c>
      <c r="V84" t="n">
        <v>0.083333</v>
      </c>
      <c r="W84" t="inlineStr">
        <is>
          <t>CNY</t>
        </is>
      </c>
      <c r="X84" t="n">
        <v>1</v>
      </c>
      <c r="Y84" t="n">
        <v>54638.82</v>
      </c>
      <c r="Z84" t="n">
        <v>0</v>
      </c>
      <c r="AA84" t="n">
        <v>114464.3</v>
      </c>
      <c r="AF84" t="n">
        <v>0</v>
      </c>
      <c r="AG84" t="n">
        <v>183799.3</v>
      </c>
      <c r="AH84" t="n">
        <v>3.363895852802092</v>
      </c>
      <c r="AJ84" t="n">
        <v>3.363895852802092</v>
      </c>
      <c r="AK84" t="n">
        <v>3.363895852802092</v>
      </c>
      <c r="AQ84" t="n">
        <v>183799.3</v>
      </c>
      <c r="AR84" t="n">
        <v>3.363895852802092</v>
      </c>
      <c r="AS84" t="n">
        <v>1.11030143771898</v>
      </c>
      <c r="BL84" t="n">
        <v>1</v>
      </c>
      <c r="BM84" t="n">
        <v>48810</v>
      </c>
      <c r="BN84" t="n">
        <v>0</v>
      </c>
      <c r="BO84" t="n">
        <v>52725</v>
      </c>
      <c r="BP84" t="inlineStr">
        <is>
          <t>G,G</t>
        </is>
      </c>
      <c r="BQ84" t="inlineStr">
        <is>
          <t>T2</t>
        </is>
      </c>
      <c r="BS84" t="n">
        <v>3.391518131530424</v>
      </c>
      <c r="BT84" t="n">
        <v>0</v>
      </c>
      <c r="BV84" t="n">
        <v>3.391518131530424</v>
      </c>
      <c r="BY84" t="n">
        <v>165540</v>
      </c>
      <c r="BZ84" t="n">
        <v>3.391518131530424</v>
      </c>
      <c r="CP84" t="inlineStr">
        <is>
          <t>预算及职能系统财务管理部</t>
        </is>
      </c>
      <c r="CQ84" t="inlineStr">
        <is>
          <t>3,3</t>
        </is>
      </c>
      <c r="CR84" t="n">
        <v>10</v>
      </c>
      <c r="CS84" t="inlineStr">
        <is>
          <t>T2</t>
        </is>
      </c>
      <c r="CT84" t="inlineStr">
        <is>
          <t>N</t>
        </is>
      </c>
    </row>
    <row r="85">
      <c r="A85" t="inlineStr">
        <is>
          <t>sharonShao(邵红沁)</t>
        </is>
      </c>
      <c r="C85" t="n">
        <v>95581555</v>
      </c>
      <c r="D85" t="inlineStr">
        <is>
          <t>财经IT管理部</t>
        </is>
      </c>
      <c r="E85" t="inlineStr">
        <is>
          <t>国际业务支持中心</t>
        </is>
      </c>
      <c r="G85" t="inlineStr">
        <is>
          <t>S2职能系统－财经线/财经IT管理部/国际业务支持中心</t>
        </is>
      </c>
      <c r="H85" s="188" t="n">
        <v>41880</v>
      </c>
      <c r="I85" t="inlineStr">
        <is>
          <t>社会招聘</t>
        </is>
      </c>
      <c r="J85" t="inlineStr">
        <is>
          <t>技术研发类－TRD</t>
        </is>
      </c>
      <c r="K85" t="inlineStr">
        <is>
          <t>应用开发</t>
        </is>
      </c>
      <c r="L85" t="inlineStr">
        <is>
          <t>T11</t>
        </is>
      </c>
      <c r="N85" t="inlineStr">
        <is>
          <t>T1</t>
        </is>
      </c>
      <c r="Q85" t="inlineStr">
        <is>
          <t>O,O</t>
        </is>
      </c>
      <c r="U85" t="n">
        <v>51992.2</v>
      </c>
      <c r="V85" t="n">
        <v>0.083333</v>
      </c>
      <c r="W85" t="inlineStr">
        <is>
          <t>CNY</t>
        </is>
      </c>
      <c r="X85" t="n">
        <v>1</v>
      </c>
      <c r="Y85" t="n">
        <v>50755.01</v>
      </c>
      <c r="Z85" t="n">
        <v>0</v>
      </c>
      <c r="AA85" t="n">
        <v>207968.8</v>
      </c>
      <c r="AF85" t="n">
        <v>0</v>
      </c>
      <c r="AG85" t="n">
        <v>406993.8</v>
      </c>
      <c r="AH85" t="n">
        <v>8.018790657316391</v>
      </c>
      <c r="AJ85" t="n">
        <v>8.018790657316391</v>
      </c>
      <c r="AK85" t="n">
        <v>6.526425667141036</v>
      </c>
      <c r="AQ85" t="n">
        <v>406993.8</v>
      </c>
      <c r="AR85" t="n">
        <v>8.018790657316391</v>
      </c>
      <c r="AS85" t="n">
        <v>1.455446564271282</v>
      </c>
      <c r="BL85" t="n">
        <v>1</v>
      </c>
      <c r="BM85" t="n">
        <v>43680</v>
      </c>
      <c r="BN85" t="n">
        <v>0</v>
      </c>
      <c r="BO85" t="n">
        <v>47510</v>
      </c>
      <c r="BP85" t="inlineStr">
        <is>
          <t>G,O</t>
        </is>
      </c>
      <c r="BQ85" t="inlineStr">
        <is>
          <t>T1</t>
        </is>
      </c>
      <c r="BS85" t="n">
        <v>4.502289377289378</v>
      </c>
      <c r="BT85" t="n">
        <v>82975</v>
      </c>
      <c r="BV85" t="n">
        <v>6.401900183150183</v>
      </c>
      <c r="BY85" t="n">
        <v>279635</v>
      </c>
      <c r="BZ85" t="n">
        <v>6.401900183150183</v>
      </c>
      <c r="CP85" t="inlineStr">
        <is>
          <t>财经IT管理部</t>
        </is>
      </c>
      <c r="CQ85" t="inlineStr">
        <is>
          <t>5,5</t>
        </is>
      </c>
      <c r="CR85" t="n">
        <v>11</v>
      </c>
      <c r="CS85" t="inlineStr">
        <is>
          <t>T1</t>
        </is>
      </c>
      <c r="CT85" t="inlineStr">
        <is>
          <t>N</t>
        </is>
      </c>
    </row>
    <row r="86">
      <c r="A86" t="inlineStr">
        <is>
          <t>frankWan(万刚)</t>
        </is>
      </c>
      <c r="C86" t="n">
        <v>70233595</v>
      </c>
      <c r="D86" t="inlineStr">
        <is>
          <t>PCG财务管理</t>
        </is>
      </c>
      <c r="E86" t="inlineStr">
        <is>
          <t>应用宝财务管理组</t>
        </is>
      </c>
      <c r="G86" t="inlineStr">
        <is>
          <t>S2职能系统－财经线/PCG财务管理/应用宝财务管理组</t>
        </is>
      </c>
      <c r="H86" s="188" t="n">
        <v>38079</v>
      </c>
      <c r="I86" t="inlineStr">
        <is>
          <t>社会招聘</t>
        </is>
      </c>
      <c r="J86" t="inlineStr">
        <is>
          <t>财经类－FN</t>
        </is>
      </c>
      <c r="K86" t="inlineStr">
        <is>
          <t>财务管理</t>
        </is>
      </c>
      <c r="M86" t="inlineStr">
        <is>
          <t>L2-2</t>
        </is>
      </c>
      <c r="N86" t="inlineStr">
        <is>
          <t>T1</t>
        </is>
      </c>
      <c r="Q86" t="inlineStr">
        <is>
          <t>U,G</t>
        </is>
      </c>
      <c r="U86" t="n">
        <v>47380.1</v>
      </c>
      <c r="V86" t="n">
        <v>0.083333</v>
      </c>
      <c r="W86" t="inlineStr">
        <is>
          <t>CNY</t>
        </is>
      </c>
      <c r="X86" t="n">
        <v>1</v>
      </c>
      <c r="Y86" t="n">
        <v>44789.85</v>
      </c>
      <c r="Z86" t="n">
        <v>0</v>
      </c>
      <c r="AA86" t="n">
        <v>47380.1</v>
      </c>
      <c r="AF86" t="n">
        <v>13215</v>
      </c>
      <c r="AG86" t="n">
        <v>156475.1</v>
      </c>
      <c r="AH86" t="n">
        <v>3.493539272848648</v>
      </c>
      <c r="AJ86" t="n">
        <v>3.78858379744518</v>
      </c>
      <c r="AK86" t="n">
        <v>3.78858379744518</v>
      </c>
      <c r="AQ86" t="n">
        <v>169690.1</v>
      </c>
      <c r="AR86" t="n">
        <v>3.78858379744518</v>
      </c>
      <c r="AS86" t="n">
        <v>0.7206901531078126</v>
      </c>
      <c r="BL86" t="n">
        <v>1</v>
      </c>
      <c r="BM86" t="n">
        <v>40595</v>
      </c>
      <c r="BN86" t="n">
        <v>0</v>
      </c>
      <c r="BO86" t="n">
        <v>41025</v>
      </c>
      <c r="BP86" t="inlineStr">
        <is>
          <t>O,G</t>
        </is>
      </c>
      <c r="BQ86" t="inlineStr">
        <is>
          <t>T1</t>
        </is>
      </c>
      <c r="BS86" t="n">
        <v>4.459785687892597</v>
      </c>
      <c r="BT86" t="n">
        <v>54410</v>
      </c>
      <c r="BV86" t="n">
        <v>5.800098534302254</v>
      </c>
      <c r="BY86" t="n">
        <v>235455</v>
      </c>
      <c r="BZ86" t="n">
        <v>5.800098534302254</v>
      </c>
      <c r="CP86" t="inlineStr">
        <is>
          <t>PCG财务管理</t>
        </is>
      </c>
      <c r="CQ86" t="inlineStr">
        <is>
          <t>3,1</t>
        </is>
      </c>
      <c r="CR86" t="inlineStr">
        <is>
          <t>L2-2</t>
        </is>
      </c>
      <c r="CS86" t="inlineStr">
        <is>
          <t>T1</t>
        </is>
      </c>
      <c r="CT86" t="inlineStr">
        <is>
          <t>N</t>
        </is>
      </c>
    </row>
    <row r="87">
      <c r="A87" t="inlineStr">
        <is>
          <t>gabrielHu(胡雄)</t>
        </is>
      </c>
      <c r="C87" t="n">
        <v>24456997</v>
      </c>
      <c r="D87" t="inlineStr">
        <is>
          <t>预算及职能系统财务管理部</t>
        </is>
      </c>
      <c r="E87" t="inlineStr">
        <is>
          <t>S系统财务管理组</t>
        </is>
      </c>
      <c r="G87" t="inlineStr">
        <is>
          <t>S2职能系统－财经线/预算及职能系统财务管理部/S系统财务管理组</t>
        </is>
      </c>
      <c r="H87" s="188" t="n">
        <v>37761</v>
      </c>
      <c r="I87" t="inlineStr">
        <is>
          <t>高校招聘</t>
        </is>
      </c>
      <c r="J87" t="inlineStr">
        <is>
          <t>财经类－FN</t>
        </is>
      </c>
      <c r="K87" t="inlineStr">
        <is>
          <t>预算管理</t>
        </is>
      </c>
      <c r="L87" t="inlineStr">
        <is>
          <t>S8</t>
        </is>
      </c>
      <c r="N87" t="inlineStr">
        <is>
          <t>T2</t>
        </is>
      </c>
      <c r="Q87" t="inlineStr">
        <is>
          <t>G,G</t>
        </is>
      </c>
      <c r="U87" t="n">
        <v>45698.5</v>
      </c>
      <c r="V87" t="n">
        <v>0.083333</v>
      </c>
      <c r="W87" t="inlineStr">
        <is>
          <t>CNY</t>
        </is>
      </c>
      <c r="X87" t="n">
        <v>1</v>
      </c>
      <c r="Y87" t="n">
        <v>44354.48</v>
      </c>
      <c r="Z87" t="n">
        <v>0</v>
      </c>
      <c r="AA87" t="n">
        <v>91397</v>
      </c>
      <c r="AF87" t="n">
        <v>0</v>
      </c>
      <c r="AG87" t="n">
        <v>150812</v>
      </c>
      <c r="AH87" t="n">
        <v>3.400152588870391</v>
      </c>
      <c r="AJ87" t="n">
        <v>3.400152588870391</v>
      </c>
      <c r="AK87" t="n">
        <v>3.400152588870391</v>
      </c>
      <c r="AQ87" t="n">
        <v>150812</v>
      </c>
      <c r="AR87" t="n">
        <v>3.400152588870391</v>
      </c>
      <c r="AS87" t="n">
        <v>1.22491877842755</v>
      </c>
      <c r="BL87" t="n">
        <v>1</v>
      </c>
      <c r="BM87" t="n">
        <v>36575</v>
      </c>
      <c r="BN87" t="n">
        <v>0</v>
      </c>
      <c r="BO87" t="n">
        <v>39985</v>
      </c>
      <c r="BP87" t="inlineStr">
        <is>
          <t>G,G</t>
        </is>
      </c>
      <c r="BQ87" t="inlineStr">
        <is>
          <t>Others</t>
        </is>
      </c>
      <c r="BS87" t="n">
        <v>3.366233766233766</v>
      </c>
      <c r="BT87" t="n">
        <v>0</v>
      </c>
      <c r="BV87" t="n">
        <v>3.366233766233766</v>
      </c>
      <c r="BY87" t="n">
        <v>123120</v>
      </c>
      <c r="BZ87" t="n">
        <v>3.366233766233766</v>
      </c>
      <c r="CP87" t="inlineStr">
        <is>
          <t>预算及职能系统财务管理部</t>
        </is>
      </c>
      <c r="CQ87" t="inlineStr">
        <is>
          <t>3,3</t>
        </is>
      </c>
      <c r="CR87" t="n">
        <v>8</v>
      </c>
      <c r="CS87" t="inlineStr">
        <is>
          <t>T2</t>
        </is>
      </c>
      <c r="CT87" t="inlineStr">
        <is>
          <t>N</t>
        </is>
      </c>
    </row>
    <row r="88">
      <c r="A88" t="inlineStr">
        <is>
          <t>marthaJia(贾薇)</t>
        </is>
      </c>
      <c r="C88" t="n">
        <v>16145259</v>
      </c>
      <c r="D88" t="inlineStr">
        <is>
          <t>预算及职能系统财务管理部</t>
        </is>
      </c>
      <c r="E88" t="inlineStr">
        <is>
          <t>预算管理中心</t>
        </is>
      </c>
      <c r="G88" t="inlineStr">
        <is>
          <t>S2职能系统－财经线/预算及职能系统财务管理部/预算管理中心</t>
        </is>
      </c>
      <c r="H88" s="188" t="n">
        <v>37051</v>
      </c>
      <c r="I88" t="inlineStr">
        <is>
          <t>社会招聘</t>
        </is>
      </c>
      <c r="J88" t="inlineStr">
        <is>
          <t>财经类－FN</t>
        </is>
      </c>
      <c r="K88" t="inlineStr">
        <is>
          <t>预算管理</t>
        </is>
      </c>
      <c r="L88" t="inlineStr">
        <is>
          <t>S11</t>
        </is>
      </c>
      <c r="N88" t="inlineStr">
        <is>
          <t>Others</t>
        </is>
      </c>
      <c r="Q88" t="inlineStr">
        <is>
          <t>G,O</t>
        </is>
      </c>
      <c r="U88" t="n">
        <v>56930.05</v>
      </c>
      <c r="V88" t="n">
        <v>0.083333</v>
      </c>
      <c r="W88" t="inlineStr">
        <is>
          <t>CNY</t>
        </is>
      </c>
      <c r="X88" t="n">
        <v>1</v>
      </c>
      <c r="Y88" t="n">
        <v>51513.4</v>
      </c>
      <c r="Z88" t="n">
        <v>0</v>
      </c>
      <c r="AA88" t="n">
        <v>170790.15</v>
      </c>
      <c r="AF88" t="n">
        <v>0</v>
      </c>
      <c r="AG88" t="n">
        <v>209625.15</v>
      </c>
      <c r="AH88" t="n">
        <v>4.069332445538442</v>
      </c>
      <c r="AJ88" t="n">
        <v>4.069332445538442</v>
      </c>
      <c r="AK88" t="n">
        <v>4.069332445538442</v>
      </c>
      <c r="AQ88" t="n">
        <v>209625.15</v>
      </c>
      <c r="AR88" t="n">
        <v>4.069332445538442</v>
      </c>
      <c r="AS88" t="n">
        <v>1.215923143851508</v>
      </c>
      <c r="BL88" t="n">
        <v>1</v>
      </c>
      <c r="BM88" t="n">
        <v>46205</v>
      </c>
      <c r="BN88" t="n">
        <v>0</v>
      </c>
      <c r="BO88" t="n">
        <v>50070</v>
      </c>
      <c r="BP88" t="inlineStr">
        <is>
          <t>G,G</t>
        </is>
      </c>
      <c r="BQ88" t="inlineStr">
        <is>
          <t>Others</t>
        </is>
      </c>
      <c r="BS88" t="n">
        <v>3.731197922302781</v>
      </c>
      <c r="BT88" t="n">
        <v>0</v>
      </c>
      <c r="BV88" t="n">
        <v>3.731197922302781</v>
      </c>
      <c r="BY88" t="n">
        <v>172400</v>
      </c>
      <c r="BZ88" t="n">
        <v>3.731197922302781</v>
      </c>
      <c r="CP88" t="inlineStr">
        <is>
          <t>预算及职能系统财务管理部</t>
        </is>
      </c>
      <c r="CQ88" t="inlineStr">
        <is>
          <t>5,3</t>
        </is>
      </c>
      <c r="CR88" t="n">
        <v>11</v>
      </c>
      <c r="CS88" t="inlineStr">
        <is>
          <t>Others</t>
        </is>
      </c>
      <c r="CT88" t="inlineStr">
        <is>
          <t>N</t>
        </is>
      </c>
    </row>
    <row r="89">
      <c r="A89" t="inlineStr">
        <is>
          <t>albertGong(龚炜骏)</t>
        </is>
      </c>
      <c r="C89" t="n">
        <v>47206082</v>
      </c>
      <c r="D89" t="inlineStr">
        <is>
          <t>在线视频财务管理中心</t>
        </is>
      </c>
      <c r="E89" t="inlineStr">
        <is>
          <t>OVB长视频财务管理组</t>
        </is>
      </c>
      <c r="G89" t="inlineStr">
        <is>
          <t>S2职能系统－财经线/在线视频财务管理中心/OVB长视频财务管理组</t>
        </is>
      </c>
      <c r="H89" s="188" t="n">
        <v>41079</v>
      </c>
      <c r="I89" t="inlineStr">
        <is>
          <t>社会招聘</t>
        </is>
      </c>
      <c r="J89" t="inlineStr">
        <is>
          <t>财经类－FN</t>
        </is>
      </c>
      <c r="K89" t="inlineStr">
        <is>
          <t>财务管理</t>
        </is>
      </c>
      <c r="L89" t="inlineStr">
        <is>
          <t>S7</t>
        </is>
      </c>
      <c r="N89" t="inlineStr">
        <is>
          <t>T1#</t>
        </is>
      </c>
      <c r="Q89" t="inlineStr">
        <is>
          <t>O,G</t>
        </is>
      </c>
      <c r="U89" t="n">
        <v>41942.2</v>
      </c>
      <c r="V89" t="n">
        <v>0.083333</v>
      </c>
      <c r="W89" t="inlineStr">
        <is>
          <t>CNY</t>
        </is>
      </c>
      <c r="X89" t="n">
        <v>1</v>
      </c>
      <c r="Y89" t="n">
        <v>41513.74</v>
      </c>
      <c r="Z89" t="n">
        <v>0</v>
      </c>
      <c r="AA89" t="n">
        <v>125826.6</v>
      </c>
      <c r="AF89" t="n">
        <v>0</v>
      </c>
      <c r="AG89" t="n">
        <v>317061.6</v>
      </c>
      <c r="AH89" t="n">
        <v>7.637509894314508</v>
      </c>
      <c r="AJ89" t="n">
        <v>7.637509894314508</v>
      </c>
      <c r="AK89" t="n">
        <v>6.359619730720479</v>
      </c>
      <c r="AQ89" t="n">
        <v>317061.6</v>
      </c>
      <c r="AR89" t="n">
        <v>7.637509894314508</v>
      </c>
      <c r="AS89" t="n">
        <v>2.205185700375574</v>
      </c>
      <c r="BL89" t="n">
        <v>1</v>
      </c>
      <c r="BM89" t="n">
        <v>35500</v>
      </c>
      <c r="BN89" t="n">
        <v>0</v>
      </c>
      <c r="BO89" t="n">
        <v>35550</v>
      </c>
      <c r="BP89" t="inlineStr">
        <is>
          <t>U,G</t>
        </is>
      </c>
      <c r="BQ89" t="inlineStr">
        <is>
          <t>T1#</t>
        </is>
      </c>
      <c r="BS89" t="n">
        <v>4.050140845070422</v>
      </c>
      <c r="BT89" t="n">
        <v>0</v>
      </c>
      <c r="BV89" t="n">
        <v>4.050140845070422</v>
      </c>
      <c r="BY89" t="n">
        <v>143780</v>
      </c>
      <c r="BZ89" t="n">
        <v>4.050140845070422</v>
      </c>
      <c r="CP89" t="inlineStr">
        <is>
          <t>在线视频财务管理中心</t>
        </is>
      </c>
      <c r="CQ89" t="inlineStr">
        <is>
          <t>5,3</t>
        </is>
      </c>
      <c r="CR89" t="n">
        <v>7</v>
      </c>
      <c r="CS89" t="inlineStr">
        <is>
          <t>T1#</t>
        </is>
      </c>
      <c r="CT89" t="inlineStr">
        <is>
          <t>N</t>
        </is>
      </c>
    </row>
    <row r="90">
      <c r="A90" t="inlineStr">
        <is>
          <t>ericZhang(张辉健)</t>
        </is>
      </c>
      <c r="C90" t="n">
        <v>9332643</v>
      </c>
      <c r="D90" t="inlineStr">
        <is>
          <t>风险管理和内部控制</t>
        </is>
      </c>
      <c r="E90" t="inlineStr">
        <is>
          <t>CSIG风控中心</t>
        </is>
      </c>
      <c r="G90" t="inlineStr">
        <is>
          <t>S2职能系统－财经线/风险管理和内部控制/CSIG风控中心</t>
        </is>
      </c>
      <c r="H90" s="188" t="n">
        <v>43781</v>
      </c>
      <c r="I90" t="inlineStr">
        <is>
          <t>社会招聘</t>
        </is>
      </c>
      <c r="J90" t="inlineStr">
        <is>
          <t>财经类－FN</t>
        </is>
      </c>
      <c r="K90" t="inlineStr">
        <is>
          <t>风险管理</t>
        </is>
      </c>
      <c r="L90" t="inlineStr">
        <is>
          <t>S8</t>
        </is>
      </c>
      <c r="N90" t="inlineStr">
        <is>
          <t>T1</t>
        </is>
      </c>
      <c r="Q90" t="inlineStr">
        <is>
          <t>G,G</t>
        </is>
      </c>
      <c r="U90" t="n">
        <v>29085.4</v>
      </c>
      <c r="V90" t="n">
        <v>0.083333</v>
      </c>
      <c r="W90" t="inlineStr">
        <is>
          <t>CNY</t>
        </is>
      </c>
      <c r="X90" t="n">
        <v>1</v>
      </c>
      <c r="Y90" t="n">
        <v>28255.85</v>
      </c>
      <c r="Z90" t="n">
        <v>0</v>
      </c>
      <c r="AA90" t="n">
        <v>58170.8</v>
      </c>
      <c r="AF90" t="n">
        <v>0</v>
      </c>
      <c r="AG90" t="n">
        <v>156605.8</v>
      </c>
      <c r="AH90" t="n">
        <v>5.542420419134444</v>
      </c>
      <c r="AJ90" t="n">
        <v>5.542420419134444</v>
      </c>
      <c r="AK90" t="n">
        <v>4.153858404542777</v>
      </c>
      <c r="AQ90" t="n">
        <v>156605.8</v>
      </c>
      <c r="AR90" t="n">
        <v>5.542420419134444</v>
      </c>
      <c r="AS90" t="n">
        <v>1.274668728634218</v>
      </c>
      <c r="BL90" t="n">
        <v>1</v>
      </c>
      <c r="BM90" t="n">
        <v>24880</v>
      </c>
      <c r="BN90" t="n">
        <v>0</v>
      </c>
      <c r="BO90" t="n">
        <v>26045</v>
      </c>
      <c r="BP90" t="inlineStr">
        <is>
          <t>G,G</t>
        </is>
      </c>
      <c r="BQ90" t="inlineStr">
        <is>
          <t>T1</t>
        </is>
      </c>
      <c r="BS90" t="n">
        <v>3.361334405144695</v>
      </c>
      <c r="BT90" t="n">
        <v>39230</v>
      </c>
      <c r="BV90" t="n">
        <v>4.938102893890675</v>
      </c>
      <c r="BY90" t="n">
        <v>122860</v>
      </c>
      <c r="BZ90" t="n">
        <v>4.938102893890675</v>
      </c>
      <c r="CP90" t="inlineStr">
        <is>
          <t>风险管理和内部控制</t>
        </is>
      </c>
      <c r="CQ90" t="inlineStr">
        <is>
          <t>3,3</t>
        </is>
      </c>
      <c r="CR90" t="n">
        <v>8</v>
      </c>
      <c r="CS90" t="inlineStr">
        <is>
          <t>T1</t>
        </is>
      </c>
      <c r="CT90" t="inlineStr">
        <is>
          <t>N</t>
        </is>
      </c>
    </row>
    <row r="91">
      <c r="A91" t="inlineStr">
        <is>
          <t>ellaQian(钱瑶)</t>
        </is>
      </c>
      <c r="C91" t="n">
        <v>83816533</v>
      </c>
      <c r="D91" t="inlineStr">
        <is>
          <t>风险管理和内部控制</t>
        </is>
      </c>
      <c r="E91" t="inlineStr">
        <is>
          <t>WXG风控中心</t>
        </is>
      </c>
      <c r="G91" t="inlineStr">
        <is>
          <t>S2职能系统－财经线/风险管理和内部控制/WXG风控中心</t>
        </is>
      </c>
      <c r="H91" s="188" t="n">
        <v>38526</v>
      </c>
      <c r="I91" t="inlineStr">
        <is>
          <t>社会招聘</t>
        </is>
      </c>
      <c r="J91" t="inlineStr">
        <is>
          <t>财经类－FN</t>
        </is>
      </c>
      <c r="K91" t="inlineStr">
        <is>
          <t>风险管理</t>
        </is>
      </c>
      <c r="L91" t="inlineStr">
        <is>
          <t>S6</t>
        </is>
      </c>
      <c r="N91" t="inlineStr">
        <is>
          <t>T1#</t>
        </is>
      </c>
      <c r="Q91" t="inlineStr">
        <is>
          <t>O,G</t>
        </is>
      </c>
      <c r="U91" t="n">
        <v>28259.6</v>
      </c>
      <c r="V91" t="n">
        <v>0.083333</v>
      </c>
      <c r="W91" t="inlineStr">
        <is>
          <t>CNY</t>
        </is>
      </c>
      <c r="X91" t="n">
        <v>1</v>
      </c>
      <c r="Y91" t="n">
        <v>26478.39</v>
      </c>
      <c r="Z91" t="n">
        <v>0</v>
      </c>
      <c r="AA91" t="n">
        <v>84778.8</v>
      </c>
      <c r="AF91" t="n">
        <v>0</v>
      </c>
      <c r="AG91" t="n">
        <v>234108.8</v>
      </c>
      <c r="AH91" t="n">
        <v>8.84150433617754</v>
      </c>
      <c r="AJ91" t="n">
        <v>8.84150433617754</v>
      </c>
      <c r="AK91" t="n">
        <v>6.746777277621486</v>
      </c>
      <c r="AQ91" t="n">
        <v>234108.8</v>
      </c>
      <c r="AR91" t="n">
        <v>8.84150433617754</v>
      </c>
      <c r="AS91" t="n">
        <v>1.329861395137469</v>
      </c>
      <c r="BL91" t="n">
        <v>1</v>
      </c>
      <c r="BM91" t="n">
        <v>23170</v>
      </c>
      <c r="BN91" t="n">
        <v>0</v>
      </c>
      <c r="BO91" t="n">
        <v>23860</v>
      </c>
      <c r="BP91" t="inlineStr">
        <is>
          <t>O,G</t>
        </is>
      </c>
      <c r="BQ91" t="inlineStr">
        <is>
          <t>T1#</t>
        </is>
      </c>
      <c r="BS91" t="n">
        <v>6.564091497626241</v>
      </c>
      <c r="BT91" t="n">
        <v>23950</v>
      </c>
      <c r="BV91" t="n">
        <v>7.59775571860164</v>
      </c>
      <c r="BY91" t="n">
        <v>176040</v>
      </c>
      <c r="BZ91" t="n">
        <v>7.59775571860164</v>
      </c>
      <c r="CP91" t="inlineStr">
        <is>
          <t>风险管理和内部控制</t>
        </is>
      </c>
      <c r="CQ91" t="inlineStr">
        <is>
          <t>5,3</t>
        </is>
      </c>
      <c r="CR91" t="n">
        <v>6</v>
      </c>
      <c r="CS91" t="inlineStr">
        <is>
          <t>T1#</t>
        </is>
      </c>
      <c r="CT91" t="inlineStr">
        <is>
          <t>N</t>
        </is>
      </c>
    </row>
    <row r="92">
      <c r="A92" t="inlineStr">
        <is>
          <t>harryWang(汪天)</t>
        </is>
      </c>
      <c r="C92" t="n">
        <v>80292865</v>
      </c>
      <c r="D92" t="inlineStr">
        <is>
          <t>财经投资并购及管理部</t>
        </is>
      </c>
      <c r="E92" t="inlineStr">
        <is>
          <t>行业及项目管理中心</t>
        </is>
      </c>
      <c r="G92" t="inlineStr">
        <is>
          <t>S2职能系统－财经线/财经投资并购及管理部/行业及项目管理中心</t>
        </is>
      </c>
      <c r="H92" s="188" t="n">
        <v>36288</v>
      </c>
      <c r="I92" t="inlineStr">
        <is>
          <t>高校招聘</t>
        </is>
      </c>
      <c r="J92" t="inlineStr">
        <is>
          <t>财经类－FN</t>
        </is>
      </c>
      <c r="K92" t="inlineStr">
        <is>
          <t>投资并购</t>
        </is>
      </c>
      <c r="L92" t="inlineStr">
        <is>
          <t>S6</t>
        </is>
      </c>
      <c r="N92" t="inlineStr">
        <is>
          <t>T1</t>
        </is>
      </c>
      <c r="Q92" t="inlineStr">
        <is>
          <t>G,G</t>
        </is>
      </c>
      <c r="U92" t="n">
        <v>28386.3</v>
      </c>
      <c r="V92" t="n">
        <v>0.083333</v>
      </c>
      <c r="W92" t="inlineStr">
        <is>
          <t>CNY</t>
        </is>
      </c>
      <c r="X92" t="n">
        <v>1</v>
      </c>
      <c r="Y92" t="n">
        <v>28008.74</v>
      </c>
      <c r="Z92" t="n">
        <v>0</v>
      </c>
      <c r="AA92" t="n">
        <v>56772.6</v>
      </c>
      <c r="AF92" t="n">
        <v>0</v>
      </c>
      <c r="AG92" t="n">
        <v>159157.6</v>
      </c>
      <c r="AH92" t="n">
        <v>5.682426271228195</v>
      </c>
      <c r="AJ92" t="n">
        <v>5.682426271228195</v>
      </c>
      <c r="AK92" t="n">
        <v>4.257335388882185</v>
      </c>
      <c r="AQ92" t="n">
        <v>159157.6</v>
      </c>
      <c r="AR92" t="n">
        <v>5.682426271228195</v>
      </c>
      <c r="AS92" t="n">
        <v>1.437088939051919</v>
      </c>
      <c r="BL92" t="n">
        <v>1</v>
      </c>
      <c r="BM92" t="n">
        <v>23940</v>
      </c>
      <c r="BN92" t="n">
        <v>0</v>
      </c>
      <c r="BO92" t="n">
        <v>24200</v>
      </c>
      <c r="BP92" t="inlineStr">
        <is>
          <t>G,G</t>
        </is>
      </c>
      <c r="BQ92" t="inlineStr">
        <is>
          <t>T1</t>
        </is>
      </c>
      <c r="BS92" t="n">
        <v>3.285505430242272</v>
      </c>
      <c r="BT92" t="n">
        <v>32095</v>
      </c>
      <c r="BV92" t="n">
        <v>4.626148705096074</v>
      </c>
      <c r="BY92" t="n">
        <v>110750</v>
      </c>
      <c r="BZ92" t="n">
        <v>4.626148705096074</v>
      </c>
      <c r="CP92" t="inlineStr">
        <is>
          <t>财经投资并购及管理部</t>
        </is>
      </c>
      <c r="CQ92" t="inlineStr">
        <is>
          <t>3,3</t>
        </is>
      </c>
      <c r="CR92" t="n">
        <v>6</v>
      </c>
      <c r="CS92" t="inlineStr">
        <is>
          <t>T1</t>
        </is>
      </c>
      <c r="CT92" t="inlineStr">
        <is>
          <t>N</t>
        </is>
      </c>
    </row>
    <row r="93">
      <c r="A93" t="inlineStr">
        <is>
          <t>maryKong(孔慧)</t>
        </is>
      </c>
      <c r="C93" t="n">
        <v>67874412</v>
      </c>
      <c r="D93" t="inlineStr">
        <is>
          <t>CDG财务管理</t>
        </is>
      </c>
      <c r="E93" t="inlineStr">
        <is>
          <t>AMS收入支持中心</t>
        </is>
      </c>
      <c r="G93" t="inlineStr">
        <is>
          <t>S2职能系统－财经线/CDG财务管理/AMS收入支持中心</t>
        </is>
      </c>
      <c r="H93" s="188" t="n">
        <v>36786</v>
      </c>
      <c r="I93" t="inlineStr">
        <is>
          <t>社会招聘</t>
        </is>
      </c>
      <c r="J93" t="inlineStr">
        <is>
          <t>财经类－FN</t>
        </is>
      </c>
      <c r="K93" t="inlineStr">
        <is>
          <t>财务管理</t>
        </is>
      </c>
      <c r="L93" t="inlineStr">
        <is>
          <t>S6</t>
        </is>
      </c>
      <c r="N93" t="inlineStr">
        <is>
          <t>T1#</t>
        </is>
      </c>
      <c r="Q93" t="inlineStr">
        <is>
          <t>G,G</t>
        </is>
      </c>
      <c r="U93" t="n">
        <v>34558.4</v>
      </c>
      <c r="V93" t="n">
        <v>0.083333</v>
      </c>
      <c r="W93" t="inlineStr">
        <is>
          <t>CNY</t>
        </is>
      </c>
      <c r="X93" t="n">
        <v>1</v>
      </c>
      <c r="Y93" t="n">
        <v>31140.68</v>
      </c>
      <c r="Z93" t="n">
        <v>0</v>
      </c>
      <c r="AA93" t="n">
        <v>69116.8</v>
      </c>
      <c r="AF93" t="n">
        <v>0</v>
      </c>
      <c r="AG93" t="n">
        <v>245681.8</v>
      </c>
      <c r="AH93" t="n">
        <v>7.889416672982092</v>
      </c>
      <c r="AJ93" t="n">
        <v>7.889416672982092</v>
      </c>
      <c r="AK93" t="n">
        <v>5.937468289067548</v>
      </c>
      <c r="AQ93" t="n">
        <v>245681.8</v>
      </c>
      <c r="AR93" t="n">
        <v>7.889416672982092</v>
      </c>
      <c r="AS93" t="n">
        <v>1.190491835053545</v>
      </c>
      <c r="BL93" t="n">
        <v>1</v>
      </c>
      <c r="BM93" t="n">
        <v>30525</v>
      </c>
      <c r="BN93" t="n">
        <v>0</v>
      </c>
      <c r="BO93" t="n">
        <v>31285</v>
      </c>
      <c r="BP93" t="inlineStr">
        <is>
          <t>G,G</t>
        </is>
      </c>
      <c r="BQ93" t="inlineStr">
        <is>
          <t>T1#</t>
        </is>
      </c>
      <c r="BS93" t="n">
        <v>5.414086814086814</v>
      </c>
      <c r="BT93" t="n">
        <v>41105</v>
      </c>
      <c r="BV93" t="n">
        <v>6.760687960687961</v>
      </c>
      <c r="BY93" t="n">
        <v>206370</v>
      </c>
      <c r="BZ93" t="n">
        <v>6.760687960687961</v>
      </c>
      <c r="CP93" t="inlineStr">
        <is>
          <t>CDG财务管理</t>
        </is>
      </c>
      <c r="CQ93" t="inlineStr">
        <is>
          <t>3,3</t>
        </is>
      </c>
      <c r="CR93" t="n">
        <v>6</v>
      </c>
      <c r="CS93" t="inlineStr">
        <is>
          <t>T1#</t>
        </is>
      </c>
      <c r="CT93" t="inlineStr">
        <is>
          <t>N</t>
        </is>
      </c>
    </row>
    <row r="94">
      <c r="A94" t="inlineStr">
        <is>
          <t>brooklynShao(邵芳薇)</t>
        </is>
      </c>
      <c r="C94" t="n">
        <v>57363896</v>
      </c>
      <c r="D94" t="inlineStr">
        <is>
          <t>CSIG财务管理</t>
        </is>
      </c>
      <c r="E94" t="inlineStr">
        <is>
          <t>综合财务管理中心</t>
        </is>
      </c>
      <c r="G94" t="inlineStr">
        <is>
          <t>S2职能系统－财经线/CSIG财务管理/综合财务管理中心</t>
        </is>
      </c>
      <c r="H94" s="188" t="n">
        <v>38079</v>
      </c>
      <c r="I94" t="inlineStr">
        <is>
          <t>社会招聘</t>
        </is>
      </c>
      <c r="J94" t="inlineStr">
        <is>
          <t>财经类－FN</t>
        </is>
      </c>
      <c r="K94" t="inlineStr">
        <is>
          <t>财务管理</t>
        </is>
      </c>
      <c r="M94" t="inlineStr">
        <is>
          <t>L3-1</t>
        </is>
      </c>
      <c r="N94" t="inlineStr">
        <is>
          <t>T1#</t>
        </is>
      </c>
      <c r="Q94" t="inlineStr">
        <is>
          <t>O,G</t>
        </is>
      </c>
      <c r="U94" t="n">
        <v>78638.05</v>
      </c>
      <c r="V94" t="n">
        <v>0.083333</v>
      </c>
      <c r="W94" t="inlineStr">
        <is>
          <t>CNY</t>
        </is>
      </c>
      <c r="X94" t="n">
        <v>1</v>
      </c>
      <c r="Y94" t="n">
        <v>76586.89</v>
      </c>
      <c r="Z94" t="n">
        <v>0</v>
      </c>
      <c r="AA94" t="n">
        <v>235914.15</v>
      </c>
      <c r="AF94" t="n">
        <v>72710</v>
      </c>
      <c r="AG94" t="n">
        <v>595384.15</v>
      </c>
      <c r="AH94" t="n">
        <v>7.773969539695371</v>
      </c>
      <c r="AJ94" t="n">
        <v>8.723348735011959</v>
      </c>
      <c r="AK94" t="n">
        <v>7.332183745808193</v>
      </c>
      <c r="AQ94" t="n">
        <v>668094.15</v>
      </c>
      <c r="AR94" t="n">
        <v>8.723348735011959</v>
      </c>
      <c r="AS94" t="n">
        <v>4.51766000608581</v>
      </c>
      <c r="BL94" t="n">
        <v>1</v>
      </c>
      <c r="BM94" t="n">
        <v>62915</v>
      </c>
      <c r="BN94" t="n">
        <v>0</v>
      </c>
      <c r="BO94" t="n">
        <v>66620</v>
      </c>
      <c r="BP94" t="inlineStr">
        <is>
          <t>G,U</t>
        </is>
      </c>
      <c r="BQ94" t="inlineStr">
        <is>
          <t>T2</t>
        </is>
      </c>
      <c r="BS94" t="n">
        <v>2.35055233251212</v>
      </c>
      <c r="BT94" t="n">
        <v>0</v>
      </c>
      <c r="BV94" t="n">
        <v>2.35055233251212</v>
      </c>
      <c r="BY94" t="n">
        <v>147885</v>
      </c>
      <c r="BZ94" t="n">
        <v>2.35055233251212</v>
      </c>
      <c r="CP94" t="inlineStr">
        <is>
          <t>CSIG财务管理</t>
        </is>
      </c>
      <c r="CQ94" t="inlineStr">
        <is>
          <t>5,3</t>
        </is>
      </c>
      <c r="CR94" t="inlineStr">
        <is>
          <t>L3-1</t>
        </is>
      </c>
      <c r="CS94" t="inlineStr">
        <is>
          <t>T1#</t>
        </is>
      </c>
      <c r="CT94" t="inlineStr">
        <is>
          <t>N</t>
        </is>
      </c>
    </row>
    <row r="95">
      <c r="A95" t="inlineStr">
        <is>
          <t>natalieLei(雷薇琳)</t>
        </is>
      </c>
      <c r="C95" t="n">
        <v>98812364</v>
      </c>
      <c r="D95" t="inlineStr">
        <is>
          <t>财经IT管理部</t>
        </is>
      </c>
      <c r="E95" t="inlineStr">
        <is>
          <t>国际业务支持中心</t>
        </is>
      </c>
      <c r="G95" t="inlineStr">
        <is>
          <t>S2职能系统－财经线/财经IT管理部/国际业务支持中心</t>
        </is>
      </c>
      <c r="H95" s="188" t="n">
        <v>40510</v>
      </c>
      <c r="I95" t="inlineStr">
        <is>
          <t>社会招聘</t>
        </is>
      </c>
      <c r="J95" t="inlineStr">
        <is>
          <t>技术研发类－TRD</t>
        </is>
      </c>
      <c r="K95" t="inlineStr">
        <is>
          <t>应用开发</t>
        </is>
      </c>
      <c r="L95" t="inlineStr">
        <is>
          <t>T7</t>
        </is>
      </c>
      <c r="N95" t="inlineStr">
        <is>
          <t>T1</t>
        </is>
      </c>
      <c r="Q95" t="inlineStr">
        <is>
          <t>G,G</t>
        </is>
      </c>
      <c r="U95" t="n">
        <v>27845.5</v>
      </c>
      <c r="V95" t="n">
        <v>0.083333</v>
      </c>
      <c r="W95" t="inlineStr">
        <is>
          <t>CNY</t>
        </is>
      </c>
      <c r="X95" t="n">
        <v>1</v>
      </c>
      <c r="Y95" t="n">
        <v>26101.71</v>
      </c>
      <c r="Z95" t="n">
        <v>0</v>
      </c>
      <c r="AA95" t="n">
        <v>55691</v>
      </c>
      <c r="AF95" t="n">
        <v>0</v>
      </c>
      <c r="AG95" t="n">
        <v>175466</v>
      </c>
      <c r="AH95" t="n">
        <v>6.722394816278321</v>
      </c>
      <c r="AJ95" t="n">
        <v>6.722394816278321</v>
      </c>
      <c r="AK95" t="n">
        <v>4.745895958540648</v>
      </c>
      <c r="AQ95" t="n">
        <v>175466</v>
      </c>
      <c r="AR95" t="n">
        <v>6.722394816278321</v>
      </c>
      <c r="AS95" t="n">
        <v>2.021381256840044</v>
      </c>
      <c r="BL95" t="n">
        <v>1</v>
      </c>
      <c r="BM95" t="n">
        <v>24605</v>
      </c>
      <c r="BN95" t="n">
        <v>0</v>
      </c>
      <c r="BO95" t="n">
        <v>26730</v>
      </c>
      <c r="BP95" t="inlineStr">
        <is>
          <t>G,G</t>
        </is>
      </c>
      <c r="BQ95" t="inlineStr">
        <is>
          <t>Others</t>
        </is>
      </c>
      <c r="BS95" t="n">
        <v>3.527941475309897</v>
      </c>
      <c r="BT95" t="n">
        <v>0</v>
      </c>
      <c r="BV95" t="n">
        <v>3.527941475309897</v>
      </c>
      <c r="BY95" t="n">
        <v>86805</v>
      </c>
      <c r="BZ95" t="n">
        <v>3.527941475309897</v>
      </c>
      <c r="CP95" t="inlineStr">
        <is>
          <t>财经IT管理部</t>
        </is>
      </c>
      <c r="CQ95" t="inlineStr">
        <is>
          <t>3,3</t>
        </is>
      </c>
      <c r="CR95" t="n">
        <v>7</v>
      </c>
      <c r="CS95" t="inlineStr">
        <is>
          <t>T1</t>
        </is>
      </c>
      <c r="CT95" t="inlineStr">
        <is>
          <t>N</t>
        </is>
      </c>
    </row>
    <row r="96">
      <c r="A96" t="inlineStr">
        <is>
          <t>avaLu(卢晗)</t>
        </is>
      </c>
      <c r="C96" t="n">
        <v>67313137</v>
      </c>
      <c r="D96" t="inlineStr">
        <is>
          <t>CDG财务管理</t>
        </is>
      </c>
      <c r="E96" t="inlineStr">
        <is>
          <t>AMS客户管理中心</t>
        </is>
      </c>
      <c r="G96" t="inlineStr">
        <is>
          <t>S2职能系统－财经线/CDG财务管理/AMS客户管理中心</t>
        </is>
      </c>
      <c r="H96" s="188" t="n">
        <v>43605</v>
      </c>
      <c r="I96" t="inlineStr">
        <is>
          <t>社会招聘</t>
        </is>
      </c>
      <c r="J96" t="inlineStr">
        <is>
          <t>财经类－FN</t>
        </is>
      </c>
      <c r="K96" t="inlineStr">
        <is>
          <t>财务管理</t>
        </is>
      </c>
      <c r="L96" t="inlineStr">
        <is>
          <t>S7</t>
        </is>
      </c>
      <c r="N96" t="inlineStr">
        <is>
          <t>T1</t>
        </is>
      </c>
      <c r="Q96" t="inlineStr">
        <is>
          <t>U,G</t>
        </is>
      </c>
      <c r="U96" t="n">
        <v>37585.4</v>
      </c>
      <c r="V96" t="n">
        <v>0.083333</v>
      </c>
      <c r="W96" t="inlineStr">
        <is>
          <t>CNY</t>
        </is>
      </c>
      <c r="X96" t="n">
        <v>1</v>
      </c>
      <c r="Y96" t="n">
        <v>34555.27</v>
      </c>
      <c r="Z96" t="n">
        <v>0</v>
      </c>
      <c r="AA96" t="n">
        <v>37585.4</v>
      </c>
      <c r="AF96" t="n">
        <v>0</v>
      </c>
      <c r="AG96" t="n">
        <v>128890.4</v>
      </c>
      <c r="AH96" t="n">
        <v>3.729978090172642</v>
      </c>
      <c r="AJ96" t="n">
        <v>3.729978090172642</v>
      </c>
      <c r="AK96" t="n">
        <v>3.729978090172642</v>
      </c>
      <c r="AQ96" t="n">
        <v>128890.4</v>
      </c>
      <c r="AR96" t="n">
        <v>3.729978090172642</v>
      </c>
      <c r="AS96" t="n">
        <v>0.7000157501697216</v>
      </c>
      <c r="BL96" t="n">
        <v>1</v>
      </c>
      <c r="BM96" t="n">
        <v>31340</v>
      </c>
      <c r="BN96" t="n">
        <v>0</v>
      </c>
      <c r="BO96" t="n">
        <v>31625</v>
      </c>
      <c r="BP96" t="inlineStr">
        <is>
          <t>O,G</t>
        </is>
      </c>
      <c r="BQ96" t="inlineStr">
        <is>
          <t>T1</t>
        </is>
      </c>
      <c r="BS96" t="n">
        <v>4.522654754307594</v>
      </c>
      <c r="BT96" t="n">
        <v>42385</v>
      </c>
      <c r="BV96" t="n">
        <v>5.875079770261647</v>
      </c>
      <c r="BY96" t="n">
        <v>184125</v>
      </c>
      <c r="BZ96" t="n">
        <v>5.875079770261647</v>
      </c>
      <c r="CP96" t="inlineStr">
        <is>
          <t>CDG财务管理</t>
        </is>
      </c>
      <c r="CQ96" t="inlineStr">
        <is>
          <t>3,1</t>
        </is>
      </c>
      <c r="CR96" t="n">
        <v>7</v>
      </c>
      <c r="CS96" t="inlineStr">
        <is>
          <t>T1</t>
        </is>
      </c>
      <c r="CT96" t="inlineStr">
        <is>
          <t>N</t>
        </is>
      </c>
    </row>
    <row r="97">
      <c r="A97" t="inlineStr">
        <is>
          <t>rachelLiang(梁馨)</t>
        </is>
      </c>
      <c r="C97" t="n">
        <v>57318711</v>
      </c>
      <c r="D97" t="inlineStr">
        <is>
          <t>CSIG财务管理</t>
        </is>
      </c>
      <c r="E97" t="inlineStr">
        <is>
          <t>产品财务管理中心</t>
        </is>
      </c>
      <c r="G97" t="inlineStr">
        <is>
          <t>S2职能系统－财经线/CSIG财务管理/产品财务管理中心</t>
        </is>
      </c>
      <c r="H97" s="188" t="n">
        <v>41903</v>
      </c>
      <c r="I97" t="inlineStr">
        <is>
          <t>社会招聘</t>
        </is>
      </c>
      <c r="J97" t="inlineStr">
        <is>
          <t>财经类－FN</t>
        </is>
      </c>
      <c r="K97" t="inlineStr">
        <is>
          <t>财务管理</t>
        </is>
      </c>
      <c r="L97" t="inlineStr">
        <is>
          <t>S9</t>
        </is>
      </c>
      <c r="N97" t="inlineStr">
        <is>
          <t>T1</t>
        </is>
      </c>
      <c r="Q97" t="inlineStr">
        <is>
          <t>G,G</t>
        </is>
      </c>
      <c r="U97" t="n">
        <v>49673.7</v>
      </c>
      <c r="V97" t="n">
        <v>0.083333</v>
      </c>
      <c r="W97" t="inlineStr">
        <is>
          <t>CNY</t>
        </is>
      </c>
      <c r="X97" t="n">
        <v>1</v>
      </c>
      <c r="Y97" t="n">
        <v>48753.32</v>
      </c>
      <c r="Z97" t="n">
        <v>0</v>
      </c>
      <c r="AA97" t="n">
        <v>99347.39999999999</v>
      </c>
      <c r="AF97" t="n">
        <v>0</v>
      </c>
      <c r="AG97" t="n">
        <v>260207.4</v>
      </c>
      <c r="AH97" t="n">
        <v>5.337224213653552</v>
      </c>
      <c r="AJ97" t="n">
        <v>5.337224213653552</v>
      </c>
      <c r="AK97" t="n">
        <v>4.124383734276968</v>
      </c>
      <c r="AQ97" t="n">
        <v>260207.4</v>
      </c>
      <c r="AR97" t="n">
        <v>5.337224213653552</v>
      </c>
      <c r="AS97" t="n">
        <v>0.957119894065069</v>
      </c>
      <c r="BL97" t="n">
        <v>1</v>
      </c>
      <c r="BM97" t="n">
        <v>40060</v>
      </c>
      <c r="BN97" t="n">
        <v>0</v>
      </c>
      <c r="BO97" t="n">
        <v>43430</v>
      </c>
      <c r="BP97" t="inlineStr">
        <is>
          <t>O,G</t>
        </is>
      </c>
      <c r="BQ97" t="inlineStr">
        <is>
          <t>T1</t>
        </is>
      </c>
      <c r="BS97" t="n">
        <v>4.851098352471293</v>
      </c>
      <c r="BT97" t="n">
        <v>77530</v>
      </c>
      <c r="BV97" t="n">
        <v>6.786445332001997</v>
      </c>
      <c r="BY97" t="n">
        <v>271865</v>
      </c>
      <c r="BZ97" t="n">
        <v>6.786445332001997</v>
      </c>
      <c r="CP97" t="inlineStr">
        <is>
          <t>CSIG财务管理</t>
        </is>
      </c>
      <c r="CQ97" t="inlineStr">
        <is>
          <t>3,3</t>
        </is>
      </c>
      <c r="CR97" t="n">
        <v>9</v>
      </c>
      <c r="CS97" t="inlineStr">
        <is>
          <t>T1</t>
        </is>
      </c>
      <c r="CT97" t="inlineStr">
        <is>
          <t>N</t>
        </is>
      </c>
    </row>
    <row r="98">
      <c r="A98" t="inlineStr">
        <is>
          <t>carolineYe(叶茜)</t>
        </is>
      </c>
      <c r="C98" t="n">
        <v>61654480</v>
      </c>
      <c r="D98" t="inlineStr">
        <is>
          <t>财经IT管理部</t>
        </is>
      </c>
      <c r="E98" t="inlineStr">
        <is>
          <t>业务开发中心</t>
        </is>
      </c>
      <c r="G98" t="inlineStr">
        <is>
          <t>S2职能系统－财经线/财经IT管理部/业务开发中心</t>
        </is>
      </c>
      <c r="H98" s="188" t="n">
        <v>40307</v>
      </c>
      <c r="I98" t="inlineStr">
        <is>
          <t>社会招聘</t>
        </is>
      </c>
      <c r="J98" t="inlineStr">
        <is>
          <t>技术研发类－TRD</t>
        </is>
      </c>
      <c r="K98" t="inlineStr">
        <is>
          <t>应用开发</t>
        </is>
      </c>
      <c r="L98" t="inlineStr">
        <is>
          <t>T10</t>
        </is>
      </c>
      <c r="N98" t="inlineStr">
        <is>
          <t>Others</t>
        </is>
      </c>
      <c r="Q98" t="inlineStr">
        <is>
          <t>G,U</t>
        </is>
      </c>
      <c r="U98" t="n">
        <v>46332.75</v>
      </c>
      <c r="V98" t="n">
        <v>0.083333</v>
      </c>
      <c r="W98" t="inlineStr">
        <is>
          <t>CNY</t>
        </is>
      </c>
      <c r="X98" t="n">
        <v>1</v>
      </c>
      <c r="Y98" t="n">
        <v>42147.05</v>
      </c>
      <c r="Z98" t="n">
        <v>0</v>
      </c>
      <c r="AA98" t="n">
        <v>46332.75</v>
      </c>
      <c r="AF98" t="n">
        <v>0</v>
      </c>
      <c r="AG98" t="n">
        <v>78367.75</v>
      </c>
      <c r="AH98" t="n">
        <v>1.859388735391919</v>
      </c>
      <c r="AJ98" t="n">
        <v>1.859388735391919</v>
      </c>
      <c r="AK98" t="n">
        <v>1.859388735391919</v>
      </c>
      <c r="AQ98" t="n">
        <v>78367.75</v>
      </c>
      <c r="AR98" t="n">
        <v>1.859388735391919</v>
      </c>
      <c r="AS98" t="n">
        <v>0.5787441843290747</v>
      </c>
      <c r="BL98" t="n">
        <v>1</v>
      </c>
      <c r="BM98" t="n">
        <v>39895</v>
      </c>
      <c r="BN98" t="n">
        <v>0</v>
      </c>
      <c r="BO98" t="n">
        <v>41000</v>
      </c>
      <c r="BP98" t="inlineStr">
        <is>
          <t>G,G</t>
        </is>
      </c>
      <c r="BQ98" t="inlineStr">
        <is>
          <t>Others</t>
        </is>
      </c>
      <c r="BS98" t="n">
        <v>3.39415966913147</v>
      </c>
      <c r="BT98" t="n">
        <v>0</v>
      </c>
      <c r="BV98" t="n">
        <v>3.39415966913147</v>
      </c>
      <c r="BY98" t="n">
        <v>135410</v>
      </c>
      <c r="BZ98" t="n">
        <v>3.39415966913147</v>
      </c>
      <c r="CP98" t="inlineStr">
        <is>
          <t>财经IT管理部</t>
        </is>
      </c>
      <c r="CQ98" t="inlineStr">
        <is>
          <t>3,1</t>
        </is>
      </c>
      <c r="CR98" t="n">
        <v>10</v>
      </c>
      <c r="CS98" t="inlineStr">
        <is>
          <t>Others</t>
        </is>
      </c>
      <c r="CT98" t="inlineStr">
        <is>
          <t>N</t>
        </is>
      </c>
    </row>
    <row r="99">
      <c r="A99" t="inlineStr">
        <is>
          <t>juliaGao(高嘉涵)</t>
        </is>
      </c>
      <c r="C99" t="n">
        <v>36653069</v>
      </c>
      <c r="D99" t="inlineStr">
        <is>
          <t>PCG财务管理</t>
        </is>
      </c>
      <c r="E99" t="inlineStr">
        <is>
          <t>在线视频财务管理中心</t>
        </is>
      </c>
      <c r="G99" t="inlineStr">
        <is>
          <t>S2职能系统－财经线/PCG财务管理/在线视频财务管理中心</t>
        </is>
      </c>
      <c r="H99" s="188" t="n">
        <v>43864</v>
      </c>
      <c r="I99" t="inlineStr">
        <is>
          <t>社会招聘</t>
        </is>
      </c>
      <c r="J99" t="inlineStr">
        <is>
          <t>财经类－FN</t>
        </is>
      </c>
      <c r="K99" t="inlineStr">
        <is>
          <t>财务管理</t>
        </is>
      </c>
      <c r="L99" t="inlineStr">
        <is>
          <t>S6</t>
        </is>
      </c>
      <c r="N99" t="inlineStr">
        <is>
          <t>T1</t>
        </is>
      </c>
      <c r="Q99" t="inlineStr">
        <is>
          <t>U,G</t>
        </is>
      </c>
      <c r="U99" t="n">
        <v>33394.25</v>
      </c>
      <c r="V99" t="n">
        <v>0.083333</v>
      </c>
      <c r="W99" t="inlineStr">
        <is>
          <t>CNY</t>
        </is>
      </c>
      <c r="X99" t="n">
        <v>1</v>
      </c>
      <c r="Y99" t="n">
        <v>30338.72</v>
      </c>
      <c r="Z99" t="n">
        <v>0</v>
      </c>
      <c r="AA99" t="n">
        <v>33394.25</v>
      </c>
      <c r="AF99" t="n">
        <v>0</v>
      </c>
      <c r="AG99" t="n">
        <v>111624.25</v>
      </c>
      <c r="AH99" t="n">
        <v>3.679266956549255</v>
      </c>
      <c r="AJ99" t="n">
        <v>3.679266956549255</v>
      </c>
      <c r="AK99" t="n">
        <v>3.679266956549255</v>
      </c>
      <c r="AQ99" t="n">
        <v>111624.25</v>
      </c>
      <c r="AR99" t="n">
        <v>3.679266956549255</v>
      </c>
      <c r="AS99" t="n">
        <v>0.9480169009299758</v>
      </c>
      <c r="BL99" t="n">
        <v>1</v>
      </c>
      <c r="BM99" t="n">
        <v>26955</v>
      </c>
      <c r="BN99" t="n">
        <v>0</v>
      </c>
      <c r="BO99" t="n">
        <v>28455</v>
      </c>
      <c r="BP99" t="inlineStr">
        <is>
          <t>O,G</t>
        </is>
      </c>
      <c r="BQ99" t="inlineStr">
        <is>
          <t>Others</t>
        </is>
      </c>
      <c r="BS99" t="n">
        <v>4.368206269708774</v>
      </c>
      <c r="BT99" t="n">
        <v>0</v>
      </c>
      <c r="BV99" t="n">
        <v>4.368206269708774</v>
      </c>
      <c r="BY99" t="n">
        <v>117745</v>
      </c>
      <c r="BZ99" t="n">
        <v>4.368206269708774</v>
      </c>
      <c r="CP99" t="inlineStr">
        <is>
          <t>PCG财务管理</t>
        </is>
      </c>
      <c r="CQ99" t="inlineStr">
        <is>
          <t>3,1</t>
        </is>
      </c>
      <c r="CR99" t="n">
        <v>6</v>
      </c>
      <c r="CS99" t="inlineStr">
        <is>
          <t>T1</t>
        </is>
      </c>
      <c r="CT99" t="inlineStr">
        <is>
          <t>N</t>
        </is>
      </c>
    </row>
    <row r="100">
      <c r="A100" t="inlineStr">
        <is>
          <t>loganLuo(罗坚)</t>
        </is>
      </c>
      <c r="C100" t="n">
        <v>19695058</v>
      </c>
      <c r="D100" t="inlineStr">
        <is>
          <t>资金管理</t>
        </is>
      </c>
      <c r="E100" t="inlineStr">
        <is>
          <t>资金结算及风险控制中心</t>
        </is>
      </c>
      <c r="G100" t="inlineStr">
        <is>
          <t>S2职能系统－财经线/资金管理/资金结算及风险控制中心</t>
        </is>
      </c>
      <c r="H100" s="188" t="n">
        <v>43979</v>
      </c>
      <c r="I100" t="inlineStr">
        <is>
          <t>高校招聘</t>
        </is>
      </c>
      <c r="J100" t="inlineStr">
        <is>
          <t>财经类－FN</t>
        </is>
      </c>
      <c r="K100" t="inlineStr">
        <is>
          <t>资金管理</t>
        </is>
      </c>
      <c r="L100" t="inlineStr">
        <is>
          <t>S5</t>
        </is>
      </c>
      <c r="N100" t="inlineStr">
        <is>
          <t>T2</t>
        </is>
      </c>
      <c r="Q100" t="inlineStr">
        <is>
          <t>G,O</t>
        </is>
      </c>
      <c r="U100" t="n">
        <v>23474.1</v>
      </c>
      <c r="V100" t="n">
        <v>0.083333</v>
      </c>
      <c r="W100" t="inlineStr">
        <is>
          <t>CNY</t>
        </is>
      </c>
      <c r="X100" t="n">
        <v>1</v>
      </c>
      <c r="Y100" t="n">
        <v>21269.32</v>
      </c>
      <c r="Z100" t="n">
        <v>0</v>
      </c>
      <c r="AA100" t="n">
        <v>70422.3</v>
      </c>
      <c r="AF100" t="n">
        <v>0</v>
      </c>
      <c r="AG100" t="n">
        <v>96907.3</v>
      </c>
      <c r="AH100" t="n">
        <v>4.556201138541335</v>
      </c>
      <c r="AJ100" t="n">
        <v>4.556201138541335</v>
      </c>
      <c r="AK100" t="n">
        <v>4.556201138541335</v>
      </c>
      <c r="AQ100" t="n">
        <v>96907.3</v>
      </c>
      <c r="AR100" t="n">
        <v>4.556201138541335</v>
      </c>
      <c r="AS100" t="n">
        <v>1.571767091071284</v>
      </c>
      <c r="BL100" t="n">
        <v>1</v>
      </c>
      <c r="BM100" t="n">
        <v>19375</v>
      </c>
      <c r="BN100" t="n">
        <v>0</v>
      </c>
      <c r="BO100" t="n">
        <v>19625</v>
      </c>
      <c r="BP100" t="inlineStr">
        <is>
          <t>G,G</t>
        </is>
      </c>
      <c r="BQ100" t="inlineStr">
        <is>
          <t>T2</t>
        </is>
      </c>
      <c r="BS100" t="n">
        <v>3.182193548387097</v>
      </c>
      <c r="BT100" t="n">
        <v>0</v>
      </c>
      <c r="BV100" t="n">
        <v>3.182193548387097</v>
      </c>
      <c r="BY100" t="n">
        <v>61655</v>
      </c>
      <c r="BZ100" t="n">
        <v>3.182193548387097</v>
      </c>
      <c r="CP100" t="inlineStr">
        <is>
          <t>资金管理</t>
        </is>
      </c>
      <c r="CQ100" t="inlineStr">
        <is>
          <t>5,3</t>
        </is>
      </c>
      <c r="CR100" t="n">
        <v>5</v>
      </c>
      <c r="CS100" t="inlineStr">
        <is>
          <t>T2</t>
        </is>
      </c>
      <c r="CT100" t="inlineStr">
        <is>
          <t>N</t>
        </is>
      </c>
    </row>
    <row r="101">
      <c r="A101" t="inlineStr">
        <is>
          <t>juanHe(何强)</t>
        </is>
      </c>
      <c r="C101" t="n">
        <v>67678333</v>
      </c>
      <c r="D101" t="inlineStr">
        <is>
          <t>预算及职能系统财务管理部</t>
        </is>
      </c>
      <c r="E101" t="inlineStr">
        <is>
          <t>预算管理中心</t>
        </is>
      </c>
      <c r="G101" t="inlineStr">
        <is>
          <t>S2职能系统－财经线/预算及职能系统财务管理部/预算管理中心</t>
        </is>
      </c>
      <c r="H101" s="188" t="n">
        <v>43196</v>
      </c>
      <c r="I101" t="inlineStr">
        <is>
          <t>社会招聘</t>
        </is>
      </c>
      <c r="J101" t="inlineStr">
        <is>
          <t>财经类－FN</t>
        </is>
      </c>
      <c r="K101" t="inlineStr">
        <is>
          <t>预算管理</t>
        </is>
      </c>
      <c r="L101" t="inlineStr">
        <is>
          <t>S7</t>
        </is>
      </c>
      <c r="N101" t="inlineStr">
        <is>
          <t>T2</t>
        </is>
      </c>
      <c r="Q101" t="inlineStr">
        <is>
          <t>G,G</t>
        </is>
      </c>
      <c r="U101" t="n">
        <v>34087.65</v>
      </c>
      <c r="V101" t="n">
        <v>0.083333</v>
      </c>
      <c r="W101" t="inlineStr">
        <is>
          <t>CNY</t>
        </is>
      </c>
      <c r="X101" t="n">
        <v>1</v>
      </c>
      <c r="Y101" t="n">
        <v>32306.54</v>
      </c>
      <c r="Z101" t="n">
        <v>0</v>
      </c>
      <c r="AA101" t="n">
        <v>68175.3</v>
      </c>
      <c r="AF101" t="n">
        <v>0</v>
      </c>
      <c r="AG101" t="n">
        <v>111305.3</v>
      </c>
      <c r="AH101" t="n">
        <v>3.445286929519534</v>
      </c>
      <c r="AJ101" t="n">
        <v>3.445286929519534</v>
      </c>
      <c r="AK101" t="n">
        <v>3.445286929519534</v>
      </c>
      <c r="AQ101" t="n">
        <v>111305.3</v>
      </c>
      <c r="AR101" t="n">
        <v>3.445286929519534</v>
      </c>
      <c r="AS101" t="n">
        <v>0.8377322846498325</v>
      </c>
      <c r="BL101" t="n">
        <v>1</v>
      </c>
      <c r="BM101" t="n">
        <v>29865</v>
      </c>
      <c r="BN101" t="n">
        <v>0</v>
      </c>
      <c r="BO101" t="n">
        <v>31850</v>
      </c>
      <c r="BP101" t="inlineStr">
        <is>
          <t>O,G</t>
        </is>
      </c>
      <c r="BQ101" t="inlineStr">
        <is>
          <t>T2</t>
        </is>
      </c>
      <c r="BS101" t="n">
        <v>4.448853172610079</v>
      </c>
      <c r="BT101" t="n">
        <v>0</v>
      </c>
      <c r="BV101" t="n">
        <v>4.448853172610079</v>
      </c>
      <c r="BY101" t="n">
        <v>132865</v>
      </c>
      <c r="BZ101" t="n">
        <v>4.448853172610079</v>
      </c>
      <c r="CP101" t="inlineStr">
        <is>
          <t>预算及职能系统财务管理部</t>
        </is>
      </c>
      <c r="CQ101" t="inlineStr">
        <is>
          <t>3,3</t>
        </is>
      </c>
      <c r="CR101" t="n">
        <v>7</v>
      </c>
      <c r="CS101" t="inlineStr">
        <is>
          <t>T2</t>
        </is>
      </c>
      <c r="CT101" t="inlineStr">
        <is>
          <t>N</t>
        </is>
      </c>
    </row>
    <row r="102">
      <c r="A102" t="inlineStr">
        <is>
          <t>rileyLiao(廖琪)</t>
        </is>
      </c>
      <c r="C102" t="n">
        <v>64687592</v>
      </c>
      <c r="D102" t="inlineStr">
        <is>
          <t>财会及报告管理部</t>
        </is>
      </c>
      <c r="E102" t="inlineStr">
        <is>
          <t>海外财会管理中心</t>
        </is>
      </c>
      <c r="G102" t="inlineStr">
        <is>
          <t>S2职能系统－财经线/财会及报告管理部/海外财会管理中心</t>
        </is>
      </c>
      <c r="H102" s="188" t="n">
        <v>36779</v>
      </c>
      <c r="I102" t="inlineStr">
        <is>
          <t>高校招聘</t>
        </is>
      </c>
      <c r="J102" t="inlineStr">
        <is>
          <t>财经类－FN</t>
        </is>
      </c>
      <c r="K102" t="inlineStr">
        <is>
          <t>会计</t>
        </is>
      </c>
      <c r="L102" t="inlineStr">
        <is>
          <t>S9</t>
        </is>
      </c>
      <c r="N102" t="inlineStr">
        <is>
          <t>T1</t>
        </is>
      </c>
      <c r="Q102" t="inlineStr">
        <is>
          <t>G,O</t>
        </is>
      </c>
      <c r="U102" t="n">
        <v>43009.9</v>
      </c>
      <c r="V102" t="n">
        <v>0.083333</v>
      </c>
      <c r="W102" t="inlineStr">
        <is>
          <t>CNY</t>
        </is>
      </c>
      <c r="X102" t="n">
        <v>1</v>
      </c>
      <c r="Y102" t="n">
        <v>42550.79</v>
      </c>
      <c r="Z102" t="n">
        <v>0</v>
      </c>
      <c r="AA102" t="n">
        <v>129029.7</v>
      </c>
      <c r="AF102" t="n">
        <v>0</v>
      </c>
      <c r="AG102" t="n">
        <v>270804.7</v>
      </c>
      <c r="AH102" t="n">
        <v>6.364269617555867</v>
      </c>
      <c r="AJ102" t="n">
        <v>6.364269617555867</v>
      </c>
      <c r="AK102" t="n">
        <v>5.195901180683132</v>
      </c>
      <c r="AQ102" t="n">
        <v>270804.7</v>
      </c>
      <c r="AR102" t="n">
        <v>6.364269617555867</v>
      </c>
      <c r="AS102" t="n">
        <v>1.440603787636983</v>
      </c>
      <c r="BL102" t="n">
        <v>1</v>
      </c>
      <c r="BM102" t="n">
        <v>36620</v>
      </c>
      <c r="BN102" t="n">
        <v>0</v>
      </c>
      <c r="BO102" t="n">
        <v>38495</v>
      </c>
      <c r="BP102" t="inlineStr">
        <is>
          <t>G,G</t>
        </is>
      </c>
      <c r="BQ102" t="inlineStr">
        <is>
          <t>T1</t>
        </is>
      </c>
      <c r="BS102" t="n">
        <v>3.281813216821409</v>
      </c>
      <c r="BT102" t="n">
        <v>67800</v>
      </c>
      <c r="BV102" t="n">
        <v>5.133260513380666</v>
      </c>
      <c r="BY102" t="n">
        <v>187980</v>
      </c>
      <c r="BZ102" t="n">
        <v>5.133260513380666</v>
      </c>
      <c r="CP102" t="inlineStr">
        <is>
          <t>财会及报告管理部</t>
        </is>
      </c>
      <c r="CQ102" t="inlineStr">
        <is>
          <t>5,3</t>
        </is>
      </c>
      <c r="CR102" t="n">
        <v>9</v>
      </c>
      <c r="CS102" t="inlineStr">
        <is>
          <t>T1</t>
        </is>
      </c>
      <c r="CT102" t="inlineStr">
        <is>
          <t>N</t>
        </is>
      </c>
    </row>
    <row r="103">
      <c r="A103" t="inlineStr">
        <is>
          <t>lauraRen(任燕媛)</t>
        </is>
      </c>
      <c r="C103" t="n">
        <v>70106260</v>
      </c>
      <c r="D103" t="inlineStr">
        <is>
          <t>审计监察</t>
        </is>
      </c>
      <c r="E103" t="inlineStr">
        <is>
          <t>海外业务审计组</t>
        </is>
      </c>
      <c r="G103" t="inlineStr">
        <is>
          <t>S2职能系统－财经线/审计监察/海外业务审计组</t>
        </is>
      </c>
      <c r="H103" s="188" t="n">
        <v>42815</v>
      </c>
      <c r="I103" t="inlineStr">
        <is>
          <t>社会招聘</t>
        </is>
      </c>
      <c r="J103" t="inlineStr">
        <is>
          <t>财经类－FN</t>
        </is>
      </c>
      <c r="K103" t="inlineStr">
        <is>
          <t>风险管理</t>
        </is>
      </c>
      <c r="L103" t="inlineStr">
        <is>
          <t>S6</t>
        </is>
      </c>
      <c r="N103" t="inlineStr">
        <is>
          <t>T2</t>
        </is>
      </c>
      <c r="Q103" t="inlineStr">
        <is>
          <t>U,G</t>
        </is>
      </c>
      <c r="U103" t="n">
        <v>28624.45</v>
      </c>
      <c r="V103" t="n">
        <v>0.083333</v>
      </c>
      <c r="W103" t="inlineStr">
        <is>
          <t>CNY</t>
        </is>
      </c>
      <c r="X103" t="n">
        <v>1</v>
      </c>
      <c r="Y103" t="n">
        <v>26343.02</v>
      </c>
      <c r="Z103" t="n">
        <v>0</v>
      </c>
      <c r="AA103" t="n">
        <v>28624.45</v>
      </c>
      <c r="AF103" t="n">
        <v>0</v>
      </c>
      <c r="AG103" t="n">
        <v>57774.45</v>
      </c>
      <c r="AH103" t="n">
        <v>2.193159706062555</v>
      </c>
      <c r="AJ103" t="n">
        <v>2.193159706062555</v>
      </c>
      <c r="AK103" t="n">
        <v>2.193159706062555</v>
      </c>
      <c r="AQ103" t="n">
        <v>57774.45</v>
      </c>
      <c r="AR103" t="n">
        <v>2.193159706062555</v>
      </c>
      <c r="AS103" t="n">
        <v>0.5180403496973772</v>
      </c>
      <c r="BL103" t="n">
        <v>1</v>
      </c>
      <c r="BM103" t="n">
        <v>23455</v>
      </c>
      <c r="BN103" t="n">
        <v>0</v>
      </c>
      <c r="BO103" t="n">
        <v>24930</v>
      </c>
      <c r="BP103" t="inlineStr">
        <is>
          <t>G,O</t>
        </is>
      </c>
      <c r="BQ103" t="inlineStr">
        <is>
          <t>T2</t>
        </is>
      </c>
      <c r="BS103" t="n">
        <v>4.754849712214879</v>
      </c>
      <c r="BT103" t="n">
        <v>0</v>
      </c>
      <c r="BV103" t="n">
        <v>4.754849712214879</v>
      </c>
      <c r="BY103" t="n">
        <v>111525</v>
      </c>
      <c r="BZ103" t="n">
        <v>4.754849712214879</v>
      </c>
      <c r="CP103" t="inlineStr">
        <is>
          <t>审计监察</t>
        </is>
      </c>
      <c r="CQ103" t="inlineStr">
        <is>
          <t>3,1</t>
        </is>
      </c>
      <c r="CR103" t="n">
        <v>6</v>
      </c>
      <c r="CS103" t="inlineStr">
        <is>
          <t>T2</t>
        </is>
      </c>
      <c r="CT103" t="inlineStr">
        <is>
          <t>N</t>
        </is>
      </c>
    </row>
    <row r="104">
      <c r="A104" t="inlineStr">
        <is>
          <t>emilyHuang(黄雪)</t>
        </is>
      </c>
      <c r="C104" t="n">
        <v>74401342</v>
      </c>
      <c r="D104" t="inlineStr">
        <is>
          <t>财会及报告管理部</t>
        </is>
      </c>
      <c r="E104" t="inlineStr">
        <is>
          <t>资产管理组</t>
        </is>
      </c>
      <c r="G104" t="inlineStr">
        <is>
          <t>S2职能系统－财经线/财会及报告管理部/资产管理组</t>
        </is>
      </c>
      <c r="H104" s="188" t="n">
        <v>37875</v>
      </c>
      <c r="I104" t="inlineStr">
        <is>
          <t>社会招聘</t>
        </is>
      </c>
      <c r="J104" t="inlineStr">
        <is>
          <t>财经类－FN</t>
        </is>
      </c>
      <c r="K104" t="inlineStr">
        <is>
          <t>会计</t>
        </is>
      </c>
      <c r="L104" t="inlineStr">
        <is>
          <t>S5</t>
        </is>
      </c>
      <c r="N104" t="inlineStr">
        <is>
          <t>T1#</t>
        </is>
      </c>
      <c r="Q104" t="inlineStr">
        <is>
          <t>U,G</t>
        </is>
      </c>
      <c r="U104" t="n">
        <v>29657.3</v>
      </c>
      <c r="V104" t="n">
        <v>0.083333</v>
      </c>
      <c r="W104" t="inlineStr">
        <is>
          <t>CNY</t>
        </is>
      </c>
      <c r="X104" t="n">
        <v>1</v>
      </c>
      <c r="Y104" t="n">
        <v>28200.75</v>
      </c>
      <c r="Z104" t="n">
        <v>0</v>
      </c>
      <c r="AA104" t="n">
        <v>29657.3</v>
      </c>
      <c r="AF104" t="n">
        <v>0</v>
      </c>
      <c r="AG104" t="n">
        <v>121352.3</v>
      </c>
      <c r="AH104" t="n">
        <v>4.303158603937838</v>
      </c>
      <c r="AJ104" t="n">
        <v>4.303158603937838</v>
      </c>
      <c r="AK104" t="n">
        <v>4.303158603937838</v>
      </c>
      <c r="AQ104" t="n">
        <v>121352.3</v>
      </c>
      <c r="AR104" t="n">
        <v>4.303158603937838</v>
      </c>
      <c r="AS104" t="n">
        <v>0.7133964316157667</v>
      </c>
      <c r="BL104" t="n">
        <v>1</v>
      </c>
      <c r="BM104" t="n">
        <v>26000</v>
      </c>
      <c r="BN104" t="n">
        <v>0</v>
      </c>
      <c r="BO104" t="n">
        <v>26300</v>
      </c>
      <c r="BP104" t="inlineStr">
        <is>
          <t>G,G</t>
        </is>
      </c>
      <c r="BQ104" t="inlineStr">
        <is>
          <t>T1#</t>
        </is>
      </c>
      <c r="BS104" t="n">
        <v>5.088076923076923</v>
      </c>
      <c r="BT104" t="n">
        <v>37815</v>
      </c>
      <c r="BV104" t="n">
        <v>6.5425</v>
      </c>
      <c r="BY104" t="n">
        <v>170105</v>
      </c>
      <c r="BZ104" t="n">
        <v>6.5425</v>
      </c>
      <c r="CP104" t="inlineStr">
        <is>
          <t>财会及报告管理部</t>
        </is>
      </c>
      <c r="CQ104" t="inlineStr">
        <is>
          <t>3,1</t>
        </is>
      </c>
      <c r="CR104" t="n">
        <v>5</v>
      </c>
      <c r="CS104" t="inlineStr">
        <is>
          <t>T1#</t>
        </is>
      </c>
      <c r="CT104" t="inlineStr">
        <is>
          <t>N</t>
        </is>
      </c>
    </row>
    <row r="105">
      <c r="A105" t="inlineStr">
        <is>
          <t>noraWang(王涵)</t>
        </is>
      </c>
      <c r="C105" t="n">
        <v>32477024</v>
      </c>
      <c r="D105" t="inlineStr">
        <is>
          <t>财经IT管理部</t>
        </is>
      </c>
      <c r="E105" t="inlineStr">
        <is>
          <t>业务开发中心</t>
        </is>
      </c>
      <c r="G105" t="inlineStr">
        <is>
          <t>S2职能系统－财经线/财经IT管理部/业务开发中心</t>
        </is>
      </c>
      <c r="H105" s="188" t="n">
        <v>36861</v>
      </c>
      <c r="I105" t="inlineStr">
        <is>
          <t>社会招聘</t>
        </is>
      </c>
      <c r="J105" t="inlineStr">
        <is>
          <t>技术研发类－TRD</t>
        </is>
      </c>
      <c r="K105" t="inlineStr">
        <is>
          <t>应用开发</t>
        </is>
      </c>
      <c r="L105" t="inlineStr">
        <is>
          <t>T12</t>
        </is>
      </c>
      <c r="N105" t="inlineStr">
        <is>
          <t>T1</t>
        </is>
      </c>
      <c r="Q105" t="inlineStr">
        <is>
          <t>G,G</t>
        </is>
      </c>
      <c r="U105" t="n">
        <v>61327.25</v>
      </c>
      <c r="V105" t="n">
        <v>0.083333</v>
      </c>
      <c r="W105" t="inlineStr">
        <is>
          <t>CNY</t>
        </is>
      </c>
      <c r="X105" t="n">
        <v>1</v>
      </c>
      <c r="Y105" t="n">
        <v>57608.93</v>
      </c>
      <c r="Z105" t="n">
        <v>0</v>
      </c>
      <c r="AA105" t="n">
        <v>122654.5</v>
      </c>
      <c r="AF105" t="n">
        <v>0</v>
      </c>
      <c r="AG105" t="n">
        <v>343824.5</v>
      </c>
      <c r="AH105" t="n">
        <v>5.968250061231826</v>
      </c>
      <c r="AJ105" t="n">
        <v>5.968250061231826</v>
      </c>
      <c r="AK105" t="n">
        <v>4.310347371492579</v>
      </c>
      <c r="AQ105" t="n">
        <v>343824.5</v>
      </c>
      <c r="AR105" t="n">
        <v>5.968250061231826</v>
      </c>
      <c r="AS105" t="n">
        <v>2.05048008110687</v>
      </c>
      <c r="BL105" t="n">
        <v>1</v>
      </c>
      <c r="BM105" t="n">
        <v>50155</v>
      </c>
      <c r="BN105" t="n">
        <v>0</v>
      </c>
      <c r="BO105" t="n">
        <v>51355</v>
      </c>
      <c r="BP105" t="inlineStr">
        <is>
          <t>U,O</t>
        </is>
      </c>
      <c r="BQ105" t="inlineStr">
        <is>
          <t>T1</t>
        </is>
      </c>
      <c r="BS105" t="n">
        <v>3.343235968497657</v>
      </c>
      <c r="BT105" t="n">
        <v>0</v>
      </c>
      <c r="BV105" t="n">
        <v>3.343235968497657</v>
      </c>
      <c r="BY105" t="n">
        <v>167680</v>
      </c>
      <c r="BZ105" t="n">
        <v>3.343235968497657</v>
      </c>
      <c r="CP105" t="inlineStr">
        <is>
          <t>财经IT管理部</t>
        </is>
      </c>
      <c r="CQ105" t="inlineStr">
        <is>
          <t>3,3</t>
        </is>
      </c>
      <c r="CR105" t="n">
        <v>12</v>
      </c>
      <c r="CS105" t="inlineStr">
        <is>
          <t>T1</t>
        </is>
      </c>
      <c r="CT105" t="inlineStr">
        <is>
          <t>N</t>
        </is>
      </c>
    </row>
    <row r="106">
      <c r="A106" t="inlineStr">
        <is>
          <t>richardHe(何宇刚)</t>
        </is>
      </c>
      <c r="C106" t="n">
        <v>50938378</v>
      </c>
      <c r="D106" t="inlineStr">
        <is>
          <t>审计监察</t>
        </is>
      </c>
      <c r="E106" t="inlineStr">
        <is>
          <t>常规审计组</t>
        </is>
      </c>
      <c r="G106" t="inlineStr">
        <is>
          <t>S2职能系统－财经线/审计监察/常规审计组</t>
        </is>
      </c>
      <c r="H106" s="188" t="n">
        <v>45011</v>
      </c>
      <c r="I106" t="inlineStr">
        <is>
          <t>社会招聘</t>
        </is>
      </c>
      <c r="J106" t="inlineStr">
        <is>
          <t>财经类－FN</t>
        </is>
      </c>
      <c r="K106" t="inlineStr">
        <is>
          <t>风险管理</t>
        </is>
      </c>
      <c r="M106" t="inlineStr">
        <is>
          <t>L2-2</t>
        </is>
      </c>
      <c r="N106" t="inlineStr">
        <is>
          <t>T2</t>
        </is>
      </c>
      <c r="Q106" t="inlineStr">
        <is>
          <t>O,G</t>
        </is>
      </c>
      <c r="U106" t="n">
        <v>75193.5</v>
      </c>
      <c r="V106" t="n">
        <v>0.083333</v>
      </c>
      <c r="W106" t="inlineStr">
        <is>
          <t>CNY</t>
        </is>
      </c>
      <c r="X106" t="n">
        <v>1</v>
      </c>
      <c r="Y106" t="n">
        <v>68804.8</v>
      </c>
      <c r="Z106" t="n">
        <v>0</v>
      </c>
      <c r="AA106" t="n">
        <v>225580.5</v>
      </c>
      <c r="AF106" t="n">
        <v>16975</v>
      </c>
      <c r="AG106" t="n">
        <v>337475.5</v>
      </c>
      <c r="AH106" t="n">
        <v>4.904824954072971</v>
      </c>
      <c r="AJ106" t="n">
        <v>5.151537392740041</v>
      </c>
      <c r="AK106" t="n">
        <v>5.151537392740041</v>
      </c>
      <c r="AQ106" t="n">
        <v>354450.5</v>
      </c>
      <c r="AR106" t="n">
        <v>5.151537392740041</v>
      </c>
      <c r="AS106" t="n">
        <v>7.03065555886145</v>
      </c>
      <c r="BL106" t="n">
        <v>0.7671232876712319</v>
      </c>
      <c r="BM106" t="n">
        <v>63385</v>
      </c>
      <c r="BN106" t="n">
        <v>0</v>
      </c>
      <c r="BO106" t="n">
        <v>65725</v>
      </c>
      <c r="BP106" t="inlineStr">
        <is>
          <t>G,O</t>
        </is>
      </c>
      <c r="BQ106" t="inlineStr">
        <is>
          <t>T2</t>
        </is>
      </c>
      <c r="BS106" t="n">
        <v>0.7953774552338881</v>
      </c>
      <c r="BT106" t="n">
        <v>0</v>
      </c>
      <c r="BV106" t="n">
        <v>0.7953774552338881</v>
      </c>
      <c r="BY106" t="n">
        <v>50415</v>
      </c>
      <c r="BZ106" t="n">
        <v>0.7953774552338881</v>
      </c>
      <c r="CP106" t="inlineStr">
        <is>
          <t>审计监察</t>
        </is>
      </c>
      <c r="CQ106" t="inlineStr">
        <is>
          <t>5,3</t>
        </is>
      </c>
      <c r="CR106" t="inlineStr">
        <is>
          <t>L2-2</t>
        </is>
      </c>
      <c r="CS106" t="inlineStr">
        <is>
          <t>T2</t>
        </is>
      </c>
      <c r="CT106" t="inlineStr">
        <is>
          <t>N</t>
        </is>
      </c>
    </row>
    <row r="107">
      <c r="A107" t="inlineStr">
        <is>
          <t>gregoryLiang(梁华梓)</t>
        </is>
      </c>
      <c r="C107" t="n">
        <v>89699150</v>
      </c>
      <c r="D107" t="inlineStr">
        <is>
          <t>CDG财务管理</t>
        </is>
      </c>
      <c r="E107" t="inlineStr">
        <is>
          <t>CDG财务管理</t>
        </is>
      </c>
      <c r="G107" t="inlineStr">
        <is>
          <t>S2职能系统－财经线/CDG财务管理</t>
        </is>
      </c>
      <c r="H107" s="188" t="n">
        <v>37347</v>
      </c>
      <c r="I107" t="inlineStr">
        <is>
          <t>高校招聘</t>
        </is>
      </c>
      <c r="J107" t="inlineStr">
        <is>
          <t>财经类－FN</t>
        </is>
      </c>
      <c r="K107" t="inlineStr">
        <is>
          <t>财务管理</t>
        </is>
      </c>
      <c r="L107" t="inlineStr">
        <is>
          <t>S9</t>
        </is>
      </c>
      <c r="N107" t="inlineStr">
        <is>
          <t>T1</t>
        </is>
      </c>
      <c r="Q107" t="inlineStr">
        <is>
          <t>G,G</t>
        </is>
      </c>
      <c r="U107" t="n">
        <v>42870</v>
      </c>
      <c r="V107" t="n">
        <v>0.083333</v>
      </c>
      <c r="W107" t="inlineStr">
        <is>
          <t>CNY</t>
        </is>
      </c>
      <c r="X107" t="n">
        <v>1</v>
      </c>
      <c r="Y107" t="n">
        <v>41833.29</v>
      </c>
      <c r="Z107" t="n">
        <v>0</v>
      </c>
      <c r="AA107" t="n">
        <v>85740</v>
      </c>
      <c r="AF107" t="n">
        <v>0</v>
      </c>
      <c r="AG107" t="n">
        <v>261700</v>
      </c>
      <c r="AH107" t="n">
        <v>6.255783372524609</v>
      </c>
      <c r="AJ107" t="n">
        <v>6.255783372524609</v>
      </c>
      <c r="AK107" t="n">
        <v>4.531199912796723</v>
      </c>
      <c r="AQ107" t="n">
        <v>261700</v>
      </c>
      <c r="AR107" t="n">
        <v>6.255783372524609</v>
      </c>
      <c r="AS107" t="n">
        <v>1.534087578404361</v>
      </c>
      <c r="BL107" t="n">
        <v>1</v>
      </c>
      <c r="BM107" t="n">
        <v>34365</v>
      </c>
      <c r="BN107" t="n">
        <v>0</v>
      </c>
      <c r="BO107" t="n">
        <v>34615</v>
      </c>
      <c r="BP107" t="inlineStr">
        <is>
          <t>G,G</t>
        </is>
      </c>
      <c r="BQ107" t="inlineStr">
        <is>
          <t>T1</t>
        </is>
      </c>
      <c r="BS107" t="n">
        <v>3.453513749454387</v>
      </c>
      <c r="BT107" t="n">
        <v>51910</v>
      </c>
      <c r="BV107" t="n">
        <v>4.964062272661137</v>
      </c>
      <c r="BY107" t="n">
        <v>170590</v>
      </c>
      <c r="BZ107" t="n">
        <v>4.964062272661137</v>
      </c>
      <c r="CP107" t="inlineStr">
        <is>
          <t>CDG财务管理</t>
        </is>
      </c>
      <c r="CQ107" t="inlineStr">
        <is>
          <t>3,3</t>
        </is>
      </c>
      <c r="CR107" t="n">
        <v>9</v>
      </c>
      <c r="CS107" t="inlineStr">
        <is>
          <t>T1</t>
        </is>
      </c>
      <c r="CT107" t="inlineStr">
        <is>
          <t>N</t>
        </is>
      </c>
    </row>
    <row r="108">
      <c r="A108" t="inlineStr">
        <is>
          <t>karenQin(秦曼嫣)</t>
        </is>
      </c>
      <c r="C108" t="n">
        <v>96387865</v>
      </c>
      <c r="D108" t="inlineStr">
        <is>
          <t>FiT财务管理</t>
        </is>
      </c>
      <c r="E108" t="inlineStr">
        <is>
          <t>结算支持中心</t>
        </is>
      </c>
      <c r="G108" t="inlineStr">
        <is>
          <t>S2职能系统－财经线/FiT财务管理/结算支持中心</t>
        </is>
      </c>
      <c r="H108" s="188" t="n">
        <v>44788</v>
      </c>
      <c r="I108" t="inlineStr">
        <is>
          <t>高校招聘</t>
        </is>
      </c>
      <c r="J108" t="inlineStr">
        <is>
          <t>财经类－FN</t>
        </is>
      </c>
      <c r="K108" t="inlineStr">
        <is>
          <t>财务管理</t>
        </is>
      </c>
      <c r="L108" t="inlineStr">
        <is>
          <t>S9</t>
        </is>
      </c>
      <c r="N108" t="inlineStr">
        <is>
          <t>T1</t>
        </is>
      </c>
      <c r="Q108" t="inlineStr">
        <is>
          <t>G,G</t>
        </is>
      </c>
      <c r="U108" t="n">
        <v>49212.75</v>
      </c>
      <c r="V108" t="n">
        <v>0.083333</v>
      </c>
      <c r="W108" t="inlineStr">
        <is>
          <t>CNY</t>
        </is>
      </c>
      <c r="X108" t="n">
        <v>1</v>
      </c>
      <c r="Y108" t="n">
        <v>45101.37</v>
      </c>
      <c r="Z108" t="n">
        <v>0</v>
      </c>
      <c r="AA108" t="n">
        <v>98425.5</v>
      </c>
      <c r="AF108" t="n">
        <v>0</v>
      </c>
      <c r="AG108" t="n">
        <v>273275.5</v>
      </c>
      <c r="AH108" t="n">
        <v>6.059139666932512</v>
      </c>
      <c r="AJ108" t="n">
        <v>6.059139666932512</v>
      </c>
      <c r="AK108" t="n">
        <v>4.660290807130692</v>
      </c>
      <c r="AQ108" t="n">
        <v>273275.5</v>
      </c>
      <c r="AR108" t="n">
        <v>6.059139666932512</v>
      </c>
      <c r="AS108" t="n">
        <v>3.007489132229131</v>
      </c>
      <c r="BL108" t="n">
        <v>1</v>
      </c>
      <c r="BM108" t="n">
        <v>41250</v>
      </c>
      <c r="BN108" t="n">
        <v>0</v>
      </c>
      <c r="BO108" t="n">
        <v>43785</v>
      </c>
      <c r="BP108" t="inlineStr">
        <is>
          <t>G,U</t>
        </is>
      </c>
      <c r="BQ108" t="inlineStr">
        <is>
          <t>T1</t>
        </is>
      </c>
      <c r="BS108" t="n">
        <v>2.202787878787879</v>
      </c>
      <c r="BT108" t="n">
        <v>0</v>
      </c>
      <c r="BV108" t="n">
        <v>2.202787878787879</v>
      </c>
      <c r="BY108" t="n">
        <v>90865</v>
      </c>
      <c r="BZ108" t="n">
        <v>2.202787878787879</v>
      </c>
      <c r="CP108" t="inlineStr">
        <is>
          <t>FiT财务管理</t>
        </is>
      </c>
      <c r="CQ108" t="inlineStr">
        <is>
          <t>3,3</t>
        </is>
      </c>
      <c r="CR108" t="n">
        <v>9</v>
      </c>
      <c r="CS108" t="inlineStr">
        <is>
          <t>T1</t>
        </is>
      </c>
      <c r="CT108" t="inlineStr">
        <is>
          <t>N</t>
        </is>
      </c>
    </row>
    <row r="109">
      <c r="A109" t="inlineStr">
        <is>
          <t>donnaGao(高慧)</t>
        </is>
      </c>
      <c r="C109" t="n">
        <v>58410706</v>
      </c>
      <c r="D109" t="inlineStr">
        <is>
          <t>行政支持中心</t>
        </is>
      </c>
      <c r="E109" t="inlineStr">
        <is>
          <t>秘书组</t>
        </is>
      </c>
      <c r="G109" t="inlineStr">
        <is>
          <t>S2职能系统－财经线/行政支持中心/秘书组</t>
        </is>
      </c>
      <c r="H109" s="188" t="n">
        <v>43638</v>
      </c>
      <c r="I109" t="inlineStr">
        <is>
          <t>高校招聘</t>
        </is>
      </c>
      <c r="J109" t="inlineStr">
        <is>
          <t>财经类－FN</t>
        </is>
      </c>
      <c r="K109" t="inlineStr">
        <is>
          <t>公司秘书</t>
        </is>
      </c>
      <c r="L109" t="inlineStr">
        <is>
          <t>S9</t>
        </is>
      </c>
      <c r="N109" t="inlineStr">
        <is>
          <t>T1</t>
        </is>
      </c>
      <c r="Q109" t="inlineStr">
        <is>
          <t>G,G</t>
        </is>
      </c>
      <c r="U109" t="n">
        <v>38387.1</v>
      </c>
      <c r="V109" t="n">
        <v>0.083333</v>
      </c>
      <c r="W109" t="inlineStr">
        <is>
          <t>CNY</t>
        </is>
      </c>
      <c r="X109" t="n">
        <v>1</v>
      </c>
      <c r="Y109" t="n">
        <v>37977.01</v>
      </c>
      <c r="Z109" t="n">
        <v>0</v>
      </c>
      <c r="AA109" t="n">
        <v>76774.2</v>
      </c>
      <c r="AF109" t="n">
        <v>0</v>
      </c>
      <c r="AG109" t="n">
        <v>218784.2</v>
      </c>
      <c r="AH109" t="n">
        <v>5.760964330788548</v>
      </c>
      <c r="AJ109" t="n">
        <v>5.760964330788548</v>
      </c>
      <c r="AK109" t="n">
        <v>4.275986972118131</v>
      </c>
      <c r="AQ109" t="n">
        <v>218784.2</v>
      </c>
      <c r="AR109" t="n">
        <v>5.760964330788548</v>
      </c>
      <c r="AS109" t="n">
        <v>1.396643472709863</v>
      </c>
      <c r="BL109" t="n">
        <v>1</v>
      </c>
      <c r="BM109" t="n">
        <v>33365</v>
      </c>
      <c r="BN109" t="n">
        <v>0</v>
      </c>
      <c r="BO109" t="n">
        <v>34750</v>
      </c>
      <c r="BP109" t="inlineStr">
        <is>
          <t>G,G</t>
        </is>
      </c>
      <c r="BQ109" t="inlineStr">
        <is>
          <t>T1</t>
        </is>
      </c>
      <c r="BS109" t="n">
        <v>3.341225835456317</v>
      </c>
      <c r="BT109" t="n">
        <v>45170</v>
      </c>
      <c r="BV109" t="n">
        <v>4.69503971227334</v>
      </c>
      <c r="BY109" t="n">
        <v>156650</v>
      </c>
      <c r="BZ109" t="n">
        <v>4.69503971227334</v>
      </c>
      <c r="CP109" t="inlineStr">
        <is>
          <t>行政支持中心</t>
        </is>
      </c>
      <c r="CQ109" t="inlineStr">
        <is>
          <t>3,3</t>
        </is>
      </c>
      <c r="CR109" t="n">
        <v>9</v>
      </c>
      <c r="CS109" t="inlineStr">
        <is>
          <t>T1</t>
        </is>
      </c>
      <c r="CT109" t="inlineStr">
        <is>
          <t>N</t>
        </is>
      </c>
    </row>
    <row r="110">
      <c r="A110" t="inlineStr">
        <is>
          <t>lauraYe(叶青)</t>
        </is>
      </c>
      <c r="C110" t="n">
        <v>75107083</v>
      </c>
      <c r="D110" t="inlineStr">
        <is>
          <t>财会及报告管理部</t>
        </is>
      </c>
      <c r="E110" t="inlineStr">
        <is>
          <t>应收管理中心</t>
        </is>
      </c>
      <c r="G110" t="inlineStr">
        <is>
          <t>S2职能系统－财经线/财会及报告管理部/应收管理中心</t>
        </is>
      </c>
      <c r="H110" s="188" t="n">
        <v>36676</v>
      </c>
      <c r="I110" t="inlineStr">
        <is>
          <t>社会招聘</t>
        </is>
      </c>
      <c r="J110" t="inlineStr">
        <is>
          <t>财经类－FN</t>
        </is>
      </c>
      <c r="K110" t="inlineStr">
        <is>
          <t>会计</t>
        </is>
      </c>
      <c r="L110" t="inlineStr">
        <is>
          <t>S7</t>
        </is>
      </c>
      <c r="N110" t="inlineStr">
        <is>
          <t>T1</t>
        </is>
      </c>
      <c r="Q110" t="inlineStr">
        <is>
          <t>O,G</t>
        </is>
      </c>
      <c r="U110" t="n">
        <v>36803.3</v>
      </c>
      <c r="V110" t="n">
        <v>0.083333</v>
      </c>
      <c r="W110" t="inlineStr">
        <is>
          <t>CNY</t>
        </is>
      </c>
      <c r="X110" t="n">
        <v>1</v>
      </c>
      <c r="Y110" t="n">
        <v>35816.59</v>
      </c>
      <c r="Z110" t="n">
        <v>0</v>
      </c>
      <c r="AA110" t="n">
        <v>110409.9</v>
      </c>
      <c r="AF110" t="n">
        <v>0</v>
      </c>
      <c r="AG110" t="n">
        <v>231999.9</v>
      </c>
      <c r="AH110" t="n">
        <v>6.477442436591535</v>
      </c>
      <c r="AJ110" t="n">
        <v>6.477442436591535</v>
      </c>
      <c r="AK110" t="n">
        <v>5.19005019740852</v>
      </c>
      <c r="AQ110" t="n">
        <v>231999.9</v>
      </c>
      <c r="AR110" t="n">
        <v>6.477442436591535</v>
      </c>
      <c r="AS110" t="n">
        <v>1.334061125327046</v>
      </c>
      <c r="BL110" t="n">
        <v>1</v>
      </c>
      <c r="BM110" t="n">
        <v>29945</v>
      </c>
      <c r="BN110" t="n">
        <v>0</v>
      </c>
      <c r="BO110" t="n">
        <v>30985</v>
      </c>
      <c r="BP110" t="inlineStr">
        <is>
          <t>G,O</t>
        </is>
      </c>
      <c r="BQ110" t="inlineStr">
        <is>
          <t>T1</t>
        </is>
      </c>
      <c r="BS110" t="n">
        <v>4.31274002337619</v>
      </c>
      <c r="BT110" t="n">
        <v>44760</v>
      </c>
      <c r="BV110" t="n">
        <v>5.807480380697946</v>
      </c>
      <c r="BY110" t="n">
        <v>173905</v>
      </c>
      <c r="BZ110" t="n">
        <v>5.807480380697946</v>
      </c>
      <c r="CP110" t="inlineStr">
        <is>
          <t>财会及报告管理部</t>
        </is>
      </c>
      <c r="CQ110" t="inlineStr">
        <is>
          <t>5,3</t>
        </is>
      </c>
      <c r="CR110" t="n">
        <v>7</v>
      </c>
      <c r="CS110" t="inlineStr">
        <is>
          <t>T1</t>
        </is>
      </c>
      <c r="CT110" t="inlineStr">
        <is>
          <t>N</t>
        </is>
      </c>
    </row>
    <row r="111">
      <c r="A111" t="inlineStr">
        <is>
          <t>sophiaLi(李玉梦)</t>
        </is>
      </c>
      <c r="C111" t="n">
        <v>50280560</v>
      </c>
      <c r="D111" t="inlineStr">
        <is>
          <t>财经投资并购及管理部</t>
        </is>
      </c>
      <c r="E111" t="inlineStr">
        <is>
          <t>行业及项目管理中心</t>
        </is>
      </c>
      <c r="G111" t="inlineStr">
        <is>
          <t>S2职能系统－财经线/财经投资并购及管理部/行业及项目管理中心</t>
        </is>
      </c>
      <c r="H111" s="188" t="n">
        <v>40062</v>
      </c>
      <c r="I111" t="inlineStr">
        <is>
          <t>社会招聘</t>
        </is>
      </c>
      <c r="J111" t="inlineStr">
        <is>
          <t>财经类－FN</t>
        </is>
      </c>
      <c r="K111" t="inlineStr">
        <is>
          <t>投资并购</t>
        </is>
      </c>
      <c r="L111" t="inlineStr">
        <is>
          <t>S5</t>
        </is>
      </c>
      <c r="N111" t="inlineStr">
        <is>
          <t>Others</t>
        </is>
      </c>
      <c r="Q111" t="inlineStr">
        <is>
          <t>O,G</t>
        </is>
      </c>
      <c r="U111" t="n">
        <v>26400.8</v>
      </c>
      <c r="V111" t="n">
        <v>0.083333</v>
      </c>
      <c r="W111" t="inlineStr">
        <is>
          <t>CNY</t>
        </is>
      </c>
      <c r="X111" t="n">
        <v>1</v>
      </c>
      <c r="Y111" t="n">
        <v>25727.4</v>
      </c>
      <c r="Z111" t="n">
        <v>0</v>
      </c>
      <c r="AA111" t="n">
        <v>79202.39999999999</v>
      </c>
      <c r="AF111" t="n">
        <v>0</v>
      </c>
      <c r="AG111" t="n">
        <v>101467.4</v>
      </c>
      <c r="AH111" t="n">
        <v>3.94394303349736</v>
      </c>
      <c r="AJ111" t="n">
        <v>3.94394303349736</v>
      </c>
      <c r="AK111" t="n">
        <v>3.94394303349736</v>
      </c>
      <c r="AQ111" t="n">
        <v>101467.4</v>
      </c>
      <c r="AR111" t="n">
        <v>3.94394303349736</v>
      </c>
      <c r="AS111" t="n">
        <v>0.6488307702145346</v>
      </c>
      <c r="BL111" t="n">
        <v>1</v>
      </c>
      <c r="BM111" t="n">
        <v>21280</v>
      </c>
      <c r="BN111" t="n">
        <v>0</v>
      </c>
      <c r="BO111" t="n">
        <v>22365</v>
      </c>
      <c r="BP111" t="inlineStr">
        <is>
          <t>G,G</t>
        </is>
      </c>
      <c r="BQ111" t="inlineStr">
        <is>
          <t>T1#</t>
        </is>
      </c>
      <c r="BS111" t="n">
        <v>5.389567669172933</v>
      </c>
      <c r="BT111" t="n">
        <v>41695</v>
      </c>
      <c r="BV111" t="n">
        <v>7.348919172932331</v>
      </c>
      <c r="BY111" t="n">
        <v>156385</v>
      </c>
      <c r="BZ111" t="n">
        <v>7.348919172932331</v>
      </c>
      <c r="CP111" t="inlineStr">
        <is>
          <t>财经投资并购及管理部</t>
        </is>
      </c>
      <c r="CQ111" t="inlineStr">
        <is>
          <t>5,3</t>
        </is>
      </c>
      <c r="CR111" t="n">
        <v>5</v>
      </c>
      <c r="CS111" t="inlineStr">
        <is>
          <t>Others</t>
        </is>
      </c>
      <c r="CT111" t="inlineStr">
        <is>
          <t>N</t>
        </is>
      </c>
    </row>
    <row r="112">
      <c r="A112" t="inlineStr">
        <is>
          <t>kathrynLong(龙琳)</t>
        </is>
      </c>
      <c r="C112" t="n">
        <v>87603918</v>
      </c>
      <c r="D112" t="inlineStr">
        <is>
          <t>财会及报告管理部</t>
        </is>
      </c>
      <c r="E112" t="inlineStr">
        <is>
          <t>应收管理中心</t>
        </is>
      </c>
      <c r="G112" t="inlineStr">
        <is>
          <t>S2职能系统－财经线/财会及报告管理部/应收管理中心</t>
        </is>
      </c>
      <c r="H112" s="188" t="n">
        <v>41264</v>
      </c>
      <c r="I112" t="inlineStr">
        <is>
          <t>高校招聘</t>
        </is>
      </c>
      <c r="J112" t="inlineStr">
        <is>
          <t>财经类－FN</t>
        </is>
      </c>
      <c r="K112" t="inlineStr">
        <is>
          <t>会计</t>
        </is>
      </c>
      <c r="L112" t="inlineStr">
        <is>
          <t>S11</t>
        </is>
      </c>
      <c r="N112" t="inlineStr">
        <is>
          <t>T1#</t>
        </is>
      </c>
      <c r="Q112" t="inlineStr">
        <is>
          <t>G,G</t>
        </is>
      </c>
      <c r="U112" t="n">
        <v>58206.55</v>
      </c>
      <c r="V112" t="n">
        <v>0.083333</v>
      </c>
      <c r="W112" t="inlineStr">
        <is>
          <t>CNY</t>
        </is>
      </c>
      <c r="X112" t="n">
        <v>1</v>
      </c>
      <c r="Y112" t="n">
        <v>52975.86</v>
      </c>
      <c r="Z112" t="n">
        <v>0</v>
      </c>
      <c r="AA112" t="n">
        <v>116413.1</v>
      </c>
      <c r="AF112" t="n">
        <v>0</v>
      </c>
      <c r="AG112" t="n">
        <v>408133.1</v>
      </c>
      <c r="AH112" t="n">
        <v>7.704133543089248</v>
      </c>
      <c r="AJ112" t="n">
        <v>7.704133543089248</v>
      </c>
      <c r="AK112" t="n">
        <v>5.786373265106031</v>
      </c>
      <c r="AQ112" t="n">
        <v>408133.1</v>
      </c>
      <c r="AR112" t="n">
        <v>7.704133543089248</v>
      </c>
      <c r="AS112" t="n">
        <v>1.915173740644283</v>
      </c>
      <c r="BL112" t="n">
        <v>1</v>
      </c>
      <c r="BM112" t="n">
        <v>51105</v>
      </c>
      <c r="BN112" t="n">
        <v>0</v>
      </c>
      <c r="BO112" t="n">
        <v>51670</v>
      </c>
      <c r="BP112" t="inlineStr">
        <is>
          <t>U,G</t>
        </is>
      </c>
      <c r="BQ112" t="inlineStr">
        <is>
          <t>T1#</t>
        </is>
      </c>
      <c r="BS112" t="n">
        <v>4.169944232462577</v>
      </c>
      <c r="BT112" t="n">
        <v>0</v>
      </c>
      <c r="BV112" t="n">
        <v>4.169944232462577</v>
      </c>
      <c r="BY112" t="n">
        <v>213105</v>
      </c>
      <c r="BZ112" t="n">
        <v>4.169944232462577</v>
      </c>
      <c r="CP112" t="inlineStr">
        <is>
          <t>财会及报告管理部</t>
        </is>
      </c>
      <c r="CQ112" t="inlineStr">
        <is>
          <t>3,3</t>
        </is>
      </c>
      <c r="CR112" t="n">
        <v>11</v>
      </c>
      <c r="CS112" t="inlineStr">
        <is>
          <t>T1#</t>
        </is>
      </c>
      <c r="CT112" t="inlineStr">
        <is>
          <t>N</t>
        </is>
      </c>
    </row>
    <row r="113">
      <c r="A113" t="inlineStr">
        <is>
          <t>elenaTan(谭涵)</t>
        </is>
      </c>
      <c r="C113" t="n">
        <v>37988504</v>
      </c>
      <c r="D113" t="inlineStr">
        <is>
          <t>财会及报告管理部</t>
        </is>
      </c>
      <c r="E113" t="inlineStr">
        <is>
          <t>员工报销服务中心</t>
        </is>
      </c>
      <c r="G113" t="inlineStr">
        <is>
          <t>S2职能系统－财经线/财会及报告管理部/员工报销服务中心</t>
        </is>
      </c>
      <c r="H113" s="188" t="n">
        <v>43351</v>
      </c>
      <c r="I113" t="inlineStr">
        <is>
          <t>高校招聘</t>
        </is>
      </c>
      <c r="J113" t="inlineStr">
        <is>
          <t>财经类－FN</t>
        </is>
      </c>
      <c r="K113" t="inlineStr">
        <is>
          <t>会计</t>
        </is>
      </c>
      <c r="L113" t="inlineStr">
        <is>
          <t>S11</t>
        </is>
      </c>
      <c r="N113" t="inlineStr">
        <is>
          <t>T1</t>
        </is>
      </c>
      <c r="Q113" t="inlineStr">
        <is>
          <t>G,O</t>
        </is>
      </c>
      <c r="U113" t="n">
        <v>49332.5</v>
      </c>
      <c r="V113" t="n">
        <v>0.083333</v>
      </c>
      <c r="W113" t="inlineStr">
        <is>
          <t>CNY</t>
        </is>
      </c>
      <c r="X113" t="n">
        <v>1</v>
      </c>
      <c r="Y113" t="n">
        <v>47536.53</v>
      </c>
      <c r="Z113" t="n">
        <v>0</v>
      </c>
      <c r="AA113" t="n">
        <v>147997.5</v>
      </c>
      <c r="AF113" t="n">
        <v>0</v>
      </c>
      <c r="AG113" t="n">
        <v>345502.5</v>
      </c>
      <c r="AH113" t="n">
        <v>7.268147254332615</v>
      </c>
      <c r="AJ113" t="n">
        <v>7.268147254332615</v>
      </c>
      <c r="AK113" t="n">
        <v>5.249068453250585</v>
      </c>
      <c r="AQ113" t="n">
        <v>345502.5</v>
      </c>
      <c r="AR113" t="n">
        <v>7.268147254332615</v>
      </c>
      <c r="AS113" t="n">
        <v>1.442930526843325</v>
      </c>
      <c r="BL113" t="n">
        <v>1</v>
      </c>
      <c r="BM113" t="n">
        <v>41780</v>
      </c>
      <c r="BN113" t="n">
        <v>0</v>
      </c>
      <c r="BO113" t="n">
        <v>45010</v>
      </c>
      <c r="BP113" t="inlineStr">
        <is>
          <t>G,G</t>
        </is>
      </c>
      <c r="BQ113" t="inlineStr">
        <is>
          <t>T1</t>
        </is>
      </c>
      <c r="BS113" t="n">
        <v>3.69985639061752</v>
      </c>
      <c r="BT113" t="n">
        <v>84865</v>
      </c>
      <c r="BV113" t="n">
        <v>5.731091431306846</v>
      </c>
      <c r="BY113" t="n">
        <v>239445</v>
      </c>
      <c r="BZ113" t="n">
        <v>5.731091431306846</v>
      </c>
      <c r="CP113" t="inlineStr">
        <is>
          <t>财会及报告管理部</t>
        </is>
      </c>
      <c r="CQ113" t="inlineStr">
        <is>
          <t>5,3</t>
        </is>
      </c>
      <c r="CR113" t="n">
        <v>11</v>
      </c>
      <c r="CS113" t="inlineStr">
        <is>
          <t>T1</t>
        </is>
      </c>
      <c r="CT113" t="inlineStr">
        <is>
          <t>N</t>
        </is>
      </c>
    </row>
    <row r="114">
      <c r="A114" t="inlineStr">
        <is>
          <t>ryanHong(洪海)</t>
        </is>
      </c>
      <c r="C114" t="n">
        <v>87411951</v>
      </c>
      <c r="D114" t="inlineStr">
        <is>
          <t>PCG财务管理</t>
        </is>
      </c>
      <c r="E114" t="inlineStr">
        <is>
          <t>财务规划及分析组</t>
        </is>
      </c>
      <c r="G114" t="inlineStr">
        <is>
          <t>S2职能系统－财经线/PCG财务管理/财务规划及分析组</t>
        </is>
      </c>
      <c r="H114" s="188" t="n">
        <v>40590</v>
      </c>
      <c r="I114" t="inlineStr">
        <is>
          <t>高校招聘</t>
        </is>
      </c>
      <c r="J114" t="inlineStr">
        <is>
          <t>财经类－FN</t>
        </is>
      </c>
      <c r="K114" t="inlineStr">
        <is>
          <t>财务管理</t>
        </is>
      </c>
      <c r="L114" t="inlineStr">
        <is>
          <t>S7</t>
        </is>
      </c>
      <c r="N114" t="inlineStr">
        <is>
          <t>Others</t>
        </is>
      </c>
      <c r="Q114" t="inlineStr">
        <is>
          <t>G,G</t>
        </is>
      </c>
      <c r="U114" t="n">
        <v>30366.15</v>
      </c>
      <c r="V114" t="n">
        <v>0.083333</v>
      </c>
      <c r="W114" t="inlineStr">
        <is>
          <t>CNY</t>
        </is>
      </c>
      <c r="X114" t="n">
        <v>1</v>
      </c>
      <c r="Y114" t="n">
        <v>27977.26</v>
      </c>
      <c r="Z114" t="n">
        <v>0</v>
      </c>
      <c r="AA114" t="n">
        <v>60732.3</v>
      </c>
      <c r="AF114" t="n">
        <v>0</v>
      </c>
      <c r="AG114" t="n">
        <v>82152.3</v>
      </c>
      <c r="AH114" t="n">
        <v>2.936395486906152</v>
      </c>
      <c r="AJ114" t="n">
        <v>2.936395486906152</v>
      </c>
      <c r="AK114" t="n">
        <v>2.936395486906152</v>
      </c>
      <c r="AQ114" t="n">
        <v>82152.3</v>
      </c>
      <c r="AR114" t="n">
        <v>2.936395486906152</v>
      </c>
      <c r="AS114" t="n">
        <v>2.135212475633528</v>
      </c>
      <c r="BL114" t="n">
        <v>1</v>
      </c>
      <c r="BM114" t="n">
        <v>25535</v>
      </c>
      <c r="BN114" t="n">
        <v>0</v>
      </c>
      <c r="BO114" t="n">
        <v>27695</v>
      </c>
      <c r="BP114" t="inlineStr">
        <is>
          <t>U,U</t>
        </is>
      </c>
      <c r="BQ114" t="inlineStr">
        <is>
          <t>Others</t>
        </is>
      </c>
      <c r="BS114" t="n">
        <v>1.506755433718426</v>
      </c>
      <c r="BT114" t="n">
        <v>0</v>
      </c>
      <c r="BV114" t="n">
        <v>1.506755433718426</v>
      </c>
      <c r="BY114" t="n">
        <v>38475</v>
      </c>
      <c r="BZ114" t="n">
        <v>1.506755433718426</v>
      </c>
      <c r="CP114" t="inlineStr">
        <is>
          <t>PCG财务管理</t>
        </is>
      </c>
      <c r="CQ114" t="inlineStr">
        <is>
          <t>3,3</t>
        </is>
      </c>
      <c r="CR114" t="n">
        <v>7</v>
      </c>
      <c r="CS114" t="inlineStr">
        <is>
          <t>Others</t>
        </is>
      </c>
      <c r="CT114" t="inlineStr">
        <is>
          <t>N</t>
        </is>
      </c>
    </row>
    <row r="115">
      <c r="A115" t="inlineStr">
        <is>
          <t>brooklynJiang(姜琴)</t>
        </is>
      </c>
      <c r="C115" t="n">
        <v>66031275</v>
      </c>
      <c r="D115" t="inlineStr">
        <is>
          <t>应收账款管理中心</t>
        </is>
      </c>
      <c r="E115" t="inlineStr">
        <is>
          <t>应收管理2组</t>
        </is>
      </c>
      <c r="G115" t="inlineStr">
        <is>
          <t>S2职能系统－财经线/应收账款管理中心/应收管理2组</t>
        </is>
      </c>
      <c r="H115" s="188" t="n">
        <v>39907</v>
      </c>
      <c r="I115" t="inlineStr">
        <is>
          <t>社会招聘</t>
        </is>
      </c>
      <c r="J115" t="inlineStr">
        <is>
          <t>财经类－FN</t>
        </is>
      </c>
      <c r="K115" t="inlineStr">
        <is>
          <t>会计</t>
        </is>
      </c>
      <c r="L115" t="inlineStr">
        <is>
          <t>S6</t>
        </is>
      </c>
      <c r="N115" t="inlineStr">
        <is>
          <t>T1#</t>
        </is>
      </c>
      <c r="Q115" t="inlineStr">
        <is>
          <t>G,G</t>
        </is>
      </c>
      <c r="U115" t="n">
        <v>23903.55</v>
      </c>
      <c r="V115" t="n">
        <v>0.083333</v>
      </c>
      <c r="W115" t="inlineStr">
        <is>
          <t>CNY</t>
        </is>
      </c>
      <c r="X115" t="n">
        <v>1</v>
      </c>
      <c r="Y115" t="n">
        <v>22824.63</v>
      </c>
      <c r="Z115" t="n">
        <v>0</v>
      </c>
      <c r="AA115" t="n">
        <v>47807.1</v>
      </c>
      <c r="AF115" t="n">
        <v>0</v>
      </c>
      <c r="AG115" t="n">
        <v>155752.1</v>
      </c>
      <c r="AH115" t="n">
        <v>6.82386089062561</v>
      </c>
      <c r="AJ115" t="n">
        <v>6.82386089062561</v>
      </c>
      <c r="AK115" t="n">
        <v>5.705113292088415</v>
      </c>
      <c r="AQ115" t="n">
        <v>155752.1</v>
      </c>
      <c r="AR115" t="n">
        <v>6.82386089062561</v>
      </c>
      <c r="AS115" t="n">
        <v>1.389651142041399</v>
      </c>
      <c r="BL115" t="n">
        <v>1</v>
      </c>
      <c r="BM115" t="n">
        <v>21425</v>
      </c>
      <c r="BN115" t="n">
        <v>0</v>
      </c>
      <c r="BO115" t="n">
        <v>23345</v>
      </c>
      <c r="BP115" t="inlineStr">
        <is>
          <t>G,G</t>
        </is>
      </c>
      <c r="BQ115" t="inlineStr">
        <is>
          <t>T1</t>
        </is>
      </c>
      <c r="BS115" t="n">
        <v>3.625204200700117</v>
      </c>
      <c r="BT115" t="n">
        <v>34410</v>
      </c>
      <c r="BV115" t="n">
        <v>5.231271878646441</v>
      </c>
      <c r="BY115" t="n">
        <v>112080</v>
      </c>
      <c r="BZ115" t="n">
        <v>5.231271878646441</v>
      </c>
      <c r="CP115" t="inlineStr">
        <is>
          <t>应收账款管理中心</t>
        </is>
      </c>
      <c r="CQ115" t="inlineStr">
        <is>
          <t>3,3</t>
        </is>
      </c>
      <c r="CR115" t="n">
        <v>6</v>
      </c>
      <c r="CS115" t="inlineStr">
        <is>
          <t>T1#</t>
        </is>
      </c>
      <c r="CT115" t="inlineStr">
        <is>
          <t>N</t>
        </is>
      </c>
    </row>
    <row r="116">
      <c r="A116" t="inlineStr">
        <is>
          <t>emilyHe(何诗)</t>
        </is>
      </c>
      <c r="C116" t="n">
        <v>31549065</v>
      </c>
      <c r="D116" t="inlineStr">
        <is>
          <t>IEG财务管理</t>
        </is>
      </c>
      <c r="E116" t="inlineStr">
        <is>
          <t>发行线财务管理组</t>
        </is>
      </c>
      <c r="G116" t="inlineStr">
        <is>
          <t>S2职能系统－财经线/IEG财务管理/发行线财务管理组</t>
        </is>
      </c>
      <c r="H116" s="188" t="n">
        <v>36964</v>
      </c>
      <c r="I116" t="inlineStr">
        <is>
          <t>社会招聘</t>
        </is>
      </c>
      <c r="J116" t="inlineStr">
        <is>
          <t>财经类－FN</t>
        </is>
      </c>
      <c r="K116" t="inlineStr">
        <is>
          <t>财务管理</t>
        </is>
      </c>
      <c r="L116" t="inlineStr">
        <is>
          <t>S7</t>
        </is>
      </c>
      <c r="N116" t="inlineStr">
        <is>
          <t>Others</t>
        </is>
      </c>
      <c r="Q116" t="inlineStr">
        <is>
          <t>G,O</t>
        </is>
      </c>
      <c r="U116" t="n">
        <v>41266.15</v>
      </c>
      <c r="V116" t="n">
        <v>0.083333</v>
      </c>
      <c r="W116" t="inlineStr">
        <is>
          <t>CNY</t>
        </is>
      </c>
      <c r="X116" t="n">
        <v>1</v>
      </c>
      <c r="Y116" t="n">
        <v>40601.33</v>
      </c>
      <c r="Z116" t="n">
        <v>0</v>
      </c>
      <c r="AA116" t="n">
        <v>123798.45</v>
      </c>
      <c r="AF116" t="n">
        <v>0</v>
      </c>
      <c r="AG116" t="n">
        <v>152068.45</v>
      </c>
      <c r="AH116" t="n">
        <v>3.745405630800764</v>
      </c>
      <c r="AJ116" t="n">
        <v>3.745405630800764</v>
      </c>
      <c r="AK116" t="n">
        <v>3.745405630800764</v>
      </c>
      <c r="AQ116" t="n">
        <v>152068.45</v>
      </c>
      <c r="AR116" t="n">
        <v>3.745405630800764</v>
      </c>
      <c r="AS116" t="n">
        <v>1.41176669915982</v>
      </c>
      <c r="BL116" t="n">
        <v>1</v>
      </c>
      <c r="BM116" t="n">
        <v>34420</v>
      </c>
      <c r="BN116" t="n">
        <v>0</v>
      </c>
      <c r="BO116" t="n">
        <v>35255</v>
      </c>
      <c r="BP116" t="inlineStr">
        <is>
          <t>G,G</t>
        </is>
      </c>
      <c r="BQ116" t="inlineStr">
        <is>
          <t>Others</t>
        </is>
      </c>
      <c r="BS116" t="n">
        <v>3.129430563625799</v>
      </c>
      <c r="BT116" t="n">
        <v>0</v>
      </c>
      <c r="BV116" t="n">
        <v>3.129430563625799</v>
      </c>
      <c r="BY116" t="n">
        <v>107715</v>
      </c>
      <c r="BZ116" t="n">
        <v>3.129430563625799</v>
      </c>
      <c r="CP116" t="inlineStr">
        <is>
          <t>IEG财务管理</t>
        </is>
      </c>
      <c r="CQ116" t="inlineStr">
        <is>
          <t>5,3</t>
        </is>
      </c>
      <c r="CR116" t="n">
        <v>7</v>
      </c>
      <c r="CS116" t="inlineStr">
        <is>
          <t>Others</t>
        </is>
      </c>
      <c r="CT116" t="inlineStr">
        <is>
          <t>N</t>
        </is>
      </c>
    </row>
    <row r="117">
      <c r="A117" t="inlineStr">
        <is>
          <t>dennisLv(吕华锐)</t>
        </is>
      </c>
      <c r="C117" t="n">
        <v>16709043</v>
      </c>
      <c r="D117" t="inlineStr">
        <is>
          <t>WXG财务管理</t>
        </is>
      </c>
      <c r="E117" t="inlineStr">
        <is>
          <t>WXG财务管理</t>
        </is>
      </c>
      <c r="G117" t="inlineStr">
        <is>
          <t>S2职能系统－财经线/WXG财务管理</t>
        </is>
      </c>
      <c r="H117" s="188" t="n">
        <v>38985</v>
      </c>
      <c r="I117" t="inlineStr">
        <is>
          <t>高校招聘</t>
        </is>
      </c>
      <c r="J117" t="inlineStr">
        <is>
          <t>财经类－FN</t>
        </is>
      </c>
      <c r="K117" t="inlineStr">
        <is>
          <t>财务管理</t>
        </is>
      </c>
      <c r="L117" t="inlineStr">
        <is>
          <t>S10</t>
        </is>
      </c>
      <c r="N117" t="inlineStr">
        <is>
          <t>T1</t>
        </is>
      </c>
      <c r="Q117" t="inlineStr">
        <is>
          <t>G,G</t>
        </is>
      </c>
      <c r="U117" t="n">
        <v>36422.85</v>
      </c>
      <c r="V117" t="n">
        <v>0.083333</v>
      </c>
      <c r="W117" t="inlineStr">
        <is>
          <t>CNY</t>
        </is>
      </c>
      <c r="X117" t="n">
        <v>1</v>
      </c>
      <c r="Y117" t="n">
        <v>35144.12</v>
      </c>
      <c r="Z117" t="n">
        <v>0</v>
      </c>
      <c r="AA117" t="n">
        <v>72845.7</v>
      </c>
      <c r="AF117" t="n">
        <v>0</v>
      </c>
      <c r="AG117" t="n">
        <v>193360.7</v>
      </c>
      <c r="AH117" t="n">
        <v>5.501936027989888</v>
      </c>
      <c r="AJ117" t="n">
        <v>5.501936027989888</v>
      </c>
      <c r="AK117" t="n">
        <v>4.423661767601522</v>
      </c>
      <c r="AQ117" t="n">
        <v>193360.7</v>
      </c>
      <c r="AR117" t="n">
        <v>5.501936027989888</v>
      </c>
      <c r="AS117" t="n">
        <v>1.069532053764036</v>
      </c>
      <c r="BL117" t="n">
        <v>1</v>
      </c>
      <c r="BM117" t="n">
        <v>30250</v>
      </c>
      <c r="BN117" t="n">
        <v>0</v>
      </c>
      <c r="BO117" t="n">
        <v>32065</v>
      </c>
      <c r="BP117" t="inlineStr">
        <is>
          <t>O,G</t>
        </is>
      </c>
      <c r="BQ117" t="inlineStr">
        <is>
          <t>T1</t>
        </is>
      </c>
      <c r="BS117" t="n">
        <v>4.339669421487604</v>
      </c>
      <c r="BT117" t="n">
        <v>49515</v>
      </c>
      <c r="BV117" t="n">
        <v>5.976528925619835</v>
      </c>
      <c r="BY117" t="n">
        <v>180790</v>
      </c>
      <c r="BZ117" t="n">
        <v>5.976528925619835</v>
      </c>
      <c r="CP117" t="inlineStr">
        <is>
          <t>WXG财务管理</t>
        </is>
      </c>
      <c r="CQ117" t="inlineStr">
        <is>
          <t>3,3</t>
        </is>
      </c>
      <c r="CR117" t="n">
        <v>10</v>
      </c>
      <c r="CS117" t="inlineStr">
        <is>
          <t>T1</t>
        </is>
      </c>
      <c r="CT117" t="inlineStr">
        <is>
          <t>N</t>
        </is>
      </c>
    </row>
    <row r="118">
      <c r="A118" t="inlineStr">
        <is>
          <t>walterDong(董超晨)</t>
        </is>
      </c>
      <c r="C118" t="n">
        <v>30880325</v>
      </c>
      <c r="D118" t="inlineStr">
        <is>
          <t>财经IT管理部</t>
        </is>
      </c>
      <c r="E118" t="inlineStr">
        <is>
          <t>业务开发中心</t>
        </is>
      </c>
      <c r="G118" t="inlineStr">
        <is>
          <t>S2职能系统－财经线/财经IT管理部/业务开发中心</t>
        </is>
      </c>
      <c r="H118" s="188" t="n">
        <v>38852</v>
      </c>
      <c r="I118" t="inlineStr">
        <is>
          <t>社会招聘</t>
        </is>
      </c>
      <c r="J118" t="inlineStr">
        <is>
          <t>技术研发类－TRD</t>
        </is>
      </c>
      <c r="K118" t="inlineStr">
        <is>
          <t>应用开发</t>
        </is>
      </c>
      <c r="L118" t="inlineStr">
        <is>
          <t>T7</t>
        </is>
      </c>
      <c r="N118" t="inlineStr">
        <is>
          <t>T1#</t>
        </is>
      </c>
      <c r="Q118" t="inlineStr">
        <is>
          <t>G,G</t>
        </is>
      </c>
      <c r="U118" t="n">
        <v>31733.55</v>
      </c>
      <c r="V118" t="n">
        <v>0.083333</v>
      </c>
      <c r="W118" t="inlineStr">
        <is>
          <t>CNY</t>
        </is>
      </c>
      <c r="X118" t="n">
        <v>1</v>
      </c>
      <c r="Y118" t="n">
        <v>29159.21</v>
      </c>
      <c r="Z118" t="n">
        <v>0</v>
      </c>
      <c r="AA118" t="n">
        <v>63467.1</v>
      </c>
      <c r="AF118" t="n">
        <v>0</v>
      </c>
      <c r="AG118" t="n">
        <v>221977.1</v>
      </c>
      <c r="AH118" t="n">
        <v>7.612589641488916</v>
      </c>
      <c r="AJ118" t="n">
        <v>7.612589641488916</v>
      </c>
      <c r="AK118" t="n">
        <v>5.464897711563516</v>
      </c>
      <c r="AQ118" t="n">
        <v>221977.1</v>
      </c>
      <c r="AR118" t="n">
        <v>7.612589641488916</v>
      </c>
      <c r="AS118" t="n">
        <v>1.23988772831369</v>
      </c>
      <c r="BL118" t="n">
        <v>1</v>
      </c>
      <c r="BM118" t="n">
        <v>28060</v>
      </c>
      <c r="BN118" t="n">
        <v>0</v>
      </c>
      <c r="BO118" t="n">
        <v>28745</v>
      </c>
      <c r="BP118" t="inlineStr">
        <is>
          <t>G,G</t>
        </is>
      </c>
      <c r="BQ118" t="inlineStr">
        <is>
          <t>T1#</t>
        </is>
      </c>
      <c r="BS118" t="n">
        <v>5.159301496792588</v>
      </c>
      <c r="BT118" t="n">
        <v>34260</v>
      </c>
      <c r="BV118" t="n">
        <v>6.380256593014968</v>
      </c>
      <c r="BY118" t="n">
        <v>179030</v>
      </c>
      <c r="BZ118" t="n">
        <v>6.380256593014968</v>
      </c>
      <c r="CP118" t="inlineStr">
        <is>
          <t>财经IT管理部</t>
        </is>
      </c>
      <c r="CQ118" t="inlineStr">
        <is>
          <t>3,3</t>
        </is>
      </c>
      <c r="CR118" t="n">
        <v>7</v>
      </c>
      <c r="CS118" t="inlineStr">
        <is>
          <t>T1#</t>
        </is>
      </c>
      <c r="CT118" t="inlineStr">
        <is>
          <t>N</t>
        </is>
      </c>
    </row>
    <row r="119">
      <c r="A119" t="inlineStr">
        <is>
          <t>claireZhou(周涵)</t>
        </is>
      </c>
      <c r="C119" t="n">
        <v>82815513</v>
      </c>
      <c r="D119" t="inlineStr">
        <is>
          <t>资金管理</t>
        </is>
      </c>
      <c r="E119" t="inlineStr">
        <is>
          <t>融资及资金筹划中心</t>
        </is>
      </c>
      <c r="G119" t="inlineStr">
        <is>
          <t>S2职能系统－财经线/资金管理/融资及资金筹划中心</t>
        </is>
      </c>
      <c r="H119" s="188" t="n">
        <v>36932</v>
      </c>
      <c r="I119" t="inlineStr">
        <is>
          <t>社会招聘</t>
        </is>
      </c>
      <c r="J119" t="inlineStr">
        <is>
          <t>财经类－FN</t>
        </is>
      </c>
      <c r="K119" t="inlineStr">
        <is>
          <t>资金管理</t>
        </is>
      </c>
      <c r="L119" t="inlineStr">
        <is>
          <t>S5</t>
        </is>
      </c>
      <c r="N119" t="inlineStr">
        <is>
          <t>T1</t>
        </is>
      </c>
      <c r="Q119" t="inlineStr">
        <is>
          <t>G,G</t>
        </is>
      </c>
      <c r="U119" t="n">
        <v>24386.4</v>
      </c>
      <c r="V119" t="n">
        <v>0.083333</v>
      </c>
      <c r="W119" t="inlineStr">
        <is>
          <t>CNY</t>
        </is>
      </c>
      <c r="X119" t="n">
        <v>1</v>
      </c>
      <c r="Y119" t="n">
        <v>23402.38</v>
      </c>
      <c r="Z119" t="n">
        <v>0</v>
      </c>
      <c r="AA119" t="n">
        <v>48772.8</v>
      </c>
      <c r="AF119" t="n">
        <v>0</v>
      </c>
      <c r="AG119" t="n">
        <v>124897.8</v>
      </c>
      <c r="AH119" t="n">
        <v>5.336970000487129</v>
      </c>
      <c r="AJ119" t="n">
        <v>5.336970000487129</v>
      </c>
      <c r="AK119" t="n">
        <v>4.27511218944398</v>
      </c>
      <c r="AQ119" t="n">
        <v>124897.8</v>
      </c>
      <c r="AR119" t="n">
        <v>5.336970000487129</v>
      </c>
      <c r="AS119" t="n">
        <v>1.231733727810651</v>
      </c>
      <c r="BL119" t="n">
        <v>1</v>
      </c>
      <c r="BM119" t="n">
        <v>21400</v>
      </c>
      <c r="BN119" t="n">
        <v>0</v>
      </c>
      <c r="BO119" t="n">
        <v>22265</v>
      </c>
      <c r="BP119" t="inlineStr">
        <is>
          <t>G,G</t>
        </is>
      </c>
      <c r="BQ119" t="inlineStr">
        <is>
          <t>T1</t>
        </is>
      </c>
      <c r="BS119" t="n">
        <v>3.543691588785047</v>
      </c>
      <c r="BT119" t="n">
        <v>25565</v>
      </c>
      <c r="BV119" t="n">
        <v>4.738317757009346</v>
      </c>
      <c r="BY119" t="n">
        <v>101400</v>
      </c>
      <c r="BZ119" t="n">
        <v>4.738317757009346</v>
      </c>
      <c r="CP119" t="inlineStr">
        <is>
          <t>资金管理</t>
        </is>
      </c>
      <c r="CQ119" t="inlineStr">
        <is>
          <t>3,3</t>
        </is>
      </c>
      <c r="CR119" t="n">
        <v>5</v>
      </c>
      <c r="CS119" t="inlineStr">
        <is>
          <t>T1</t>
        </is>
      </c>
      <c r="CT119" t="inlineStr">
        <is>
          <t>N</t>
        </is>
      </c>
    </row>
    <row r="120">
      <c r="A120" t="inlineStr">
        <is>
          <t>lauraChang(常雅梦)</t>
        </is>
      </c>
      <c r="C120" t="n">
        <v>98397758</v>
      </c>
      <c r="D120" t="inlineStr">
        <is>
          <t>FiT财务管理</t>
        </is>
      </c>
      <c r="E120" t="inlineStr">
        <is>
          <t>结算支持中心</t>
        </is>
      </c>
      <c r="G120" t="inlineStr">
        <is>
          <t>S2职能系统－财经线/FiT财务管理/结算支持中心</t>
        </is>
      </c>
      <c r="H120" s="188" t="n">
        <v>43606</v>
      </c>
      <c r="I120" t="inlineStr">
        <is>
          <t>社会招聘</t>
        </is>
      </c>
      <c r="J120" t="inlineStr">
        <is>
          <t>财经类－FN</t>
        </is>
      </c>
      <c r="K120" t="inlineStr">
        <is>
          <t>财务管理</t>
        </is>
      </c>
      <c r="L120" t="inlineStr">
        <is>
          <t>S7</t>
        </is>
      </c>
      <c r="N120" t="inlineStr">
        <is>
          <t>T1#</t>
        </is>
      </c>
      <c r="Q120" t="inlineStr">
        <is>
          <t>G,G</t>
        </is>
      </c>
      <c r="U120" t="n">
        <v>42766.95</v>
      </c>
      <c r="V120" t="n">
        <v>0.083333</v>
      </c>
      <c r="W120" t="inlineStr">
        <is>
          <t>CNY</t>
        </is>
      </c>
      <c r="X120" t="n">
        <v>1</v>
      </c>
      <c r="Y120" t="n">
        <v>41930.2</v>
      </c>
      <c r="Z120" t="n">
        <v>0</v>
      </c>
      <c r="AA120" t="n">
        <v>85533.89999999999</v>
      </c>
      <c r="AF120" t="n">
        <v>0</v>
      </c>
      <c r="AG120" t="n">
        <v>274823.9</v>
      </c>
      <c r="AH120" t="n">
        <v>6.554318844174367</v>
      </c>
      <c r="AJ120" t="n">
        <v>6.554318844174367</v>
      </c>
      <c r="AK120" t="n">
        <v>5.270399378013938</v>
      </c>
      <c r="AQ120" t="n">
        <v>274823.9</v>
      </c>
      <c r="AR120" t="n">
        <v>6.554318844174367</v>
      </c>
      <c r="AS120" t="n">
        <v>1.129243127747874</v>
      </c>
      <c r="BL120" t="n">
        <v>1</v>
      </c>
      <c r="BM120" t="n">
        <v>36410</v>
      </c>
      <c r="BN120" t="n">
        <v>0</v>
      </c>
      <c r="BO120" t="n">
        <v>36940</v>
      </c>
      <c r="BP120" t="inlineStr">
        <is>
          <t>G,G</t>
        </is>
      </c>
      <c r="BQ120" t="inlineStr">
        <is>
          <t>T1#</t>
        </is>
      </c>
      <c r="BS120" t="n">
        <v>5.330403735237572</v>
      </c>
      <c r="BT120" t="n">
        <v>49290</v>
      </c>
      <c r="BV120" t="n">
        <v>6.684152705300741</v>
      </c>
      <c r="BY120" t="n">
        <v>243370</v>
      </c>
      <c r="BZ120" t="n">
        <v>6.684152705300741</v>
      </c>
      <c r="CP120" t="inlineStr">
        <is>
          <t>FiT财务管理</t>
        </is>
      </c>
      <c r="CQ120" t="inlineStr">
        <is>
          <t>3,3</t>
        </is>
      </c>
      <c r="CR120" t="n">
        <v>7</v>
      </c>
      <c r="CS120" t="inlineStr">
        <is>
          <t>T1#</t>
        </is>
      </c>
      <c r="CT120" t="inlineStr">
        <is>
          <t>N</t>
        </is>
      </c>
    </row>
    <row r="121">
      <c r="A121" t="inlineStr">
        <is>
          <t>arthurHu(胡然)</t>
        </is>
      </c>
      <c r="C121" t="n">
        <v>98234022</v>
      </c>
      <c r="D121" t="inlineStr">
        <is>
          <t>财经投资并购及管理部</t>
        </is>
      </c>
      <c r="E121" t="inlineStr">
        <is>
          <t>运营支持中心</t>
        </is>
      </c>
      <c r="G121" t="inlineStr">
        <is>
          <t>S2职能系统－财经线/财经投资并购及管理部/运营支持中心</t>
        </is>
      </c>
      <c r="H121" s="188" t="n">
        <v>37602</v>
      </c>
      <c r="I121" t="inlineStr">
        <is>
          <t>高校招聘</t>
        </is>
      </c>
      <c r="J121" t="inlineStr">
        <is>
          <t>财经类－FN</t>
        </is>
      </c>
      <c r="K121" t="inlineStr">
        <is>
          <t>投资并购</t>
        </is>
      </c>
      <c r="L121" t="inlineStr">
        <is>
          <t>S9</t>
        </is>
      </c>
      <c r="N121" t="inlineStr">
        <is>
          <t>T1#</t>
        </is>
      </c>
      <c r="Q121" t="inlineStr">
        <is>
          <t>G,G</t>
        </is>
      </c>
      <c r="U121" t="n">
        <v>50151.15</v>
      </c>
      <c r="V121" t="n">
        <v>0.083333</v>
      </c>
      <c r="W121" t="inlineStr">
        <is>
          <t>CNY</t>
        </is>
      </c>
      <c r="X121" t="n">
        <v>1</v>
      </c>
      <c r="Y121" t="n">
        <v>46342.47</v>
      </c>
      <c r="Z121" t="n">
        <v>0</v>
      </c>
      <c r="AA121" t="n">
        <v>100302.3</v>
      </c>
      <c r="AF121" t="n">
        <v>0</v>
      </c>
      <c r="AG121" t="n">
        <v>325842.3</v>
      </c>
      <c r="AH121" t="n">
        <v>7.031181117450148</v>
      </c>
      <c r="AJ121" t="n">
        <v>7.031181117450148</v>
      </c>
      <c r="AK121" t="n">
        <v>5.888384887555627</v>
      </c>
      <c r="AQ121" t="n">
        <v>325842.3</v>
      </c>
      <c r="AR121" t="n">
        <v>7.031181117450148</v>
      </c>
      <c r="AS121" t="n">
        <v>1.176857065462754</v>
      </c>
      <c r="BL121" t="n">
        <v>1</v>
      </c>
      <c r="BM121" t="n">
        <v>41560</v>
      </c>
      <c r="BN121" t="n">
        <v>0</v>
      </c>
      <c r="BO121" t="n">
        <v>41735</v>
      </c>
      <c r="BP121" t="inlineStr">
        <is>
          <t>G,G</t>
        </is>
      </c>
      <c r="BQ121" t="inlineStr">
        <is>
          <t>T1#</t>
        </is>
      </c>
      <c r="BS121" t="n">
        <v>5.169153031761309</v>
      </c>
      <c r="BT121" t="n">
        <v>62045</v>
      </c>
      <c r="BV121" t="n">
        <v>6.662054860442733</v>
      </c>
      <c r="BY121" t="n">
        <v>276875</v>
      </c>
      <c r="BZ121" t="n">
        <v>6.662054860442733</v>
      </c>
      <c r="CP121" t="inlineStr">
        <is>
          <t>财经投资并购及管理部</t>
        </is>
      </c>
      <c r="CQ121" t="inlineStr">
        <is>
          <t>3,3</t>
        </is>
      </c>
      <c r="CR121" t="n">
        <v>9</v>
      </c>
      <c r="CS121" t="inlineStr">
        <is>
          <t>T1#</t>
        </is>
      </c>
      <c r="CT121" t="inlineStr">
        <is>
          <t>N</t>
        </is>
      </c>
    </row>
    <row r="122">
      <c r="A122" t="inlineStr">
        <is>
          <t>jessicaTian(田雅雪)</t>
        </is>
      </c>
      <c r="C122" t="n">
        <v>52822396</v>
      </c>
      <c r="D122" t="inlineStr">
        <is>
          <t>财会及报告管理部</t>
        </is>
      </c>
      <c r="E122" t="inlineStr">
        <is>
          <t>账务中心</t>
        </is>
      </c>
      <c r="G122" t="inlineStr">
        <is>
          <t>S2职能系统－财经线/财会及报告管理部/账务中心</t>
        </is>
      </c>
      <c r="H122" s="188" t="n">
        <v>36794</v>
      </c>
      <c r="I122" t="inlineStr">
        <is>
          <t>社会招聘</t>
        </is>
      </c>
      <c r="J122" t="inlineStr">
        <is>
          <t>财经类－FN</t>
        </is>
      </c>
      <c r="K122" t="inlineStr">
        <is>
          <t>会计</t>
        </is>
      </c>
      <c r="L122" t="inlineStr">
        <is>
          <t>S9</t>
        </is>
      </c>
      <c r="N122" t="inlineStr">
        <is>
          <t>T1</t>
        </is>
      </c>
      <c r="Q122" t="inlineStr">
        <is>
          <t>O,U</t>
        </is>
      </c>
      <c r="U122" t="n">
        <v>47301.65</v>
      </c>
      <c r="V122" t="n">
        <v>0.083333</v>
      </c>
      <c r="W122" t="inlineStr">
        <is>
          <t>CNY</t>
        </is>
      </c>
      <c r="X122" t="n">
        <v>1</v>
      </c>
      <c r="Y122" t="n">
        <v>46469.07</v>
      </c>
      <c r="Z122" t="n">
        <v>0</v>
      </c>
      <c r="AA122" t="n">
        <v>94603.3</v>
      </c>
      <c r="AF122" t="n">
        <v>0</v>
      </c>
      <c r="AG122" t="n">
        <v>195123.3</v>
      </c>
      <c r="AH122" t="n">
        <v>4.198993007606995</v>
      </c>
      <c r="AJ122" t="n">
        <v>4.198993007606995</v>
      </c>
      <c r="AK122" t="n">
        <v>4.198993007606995</v>
      </c>
      <c r="AQ122" t="n">
        <v>195123.3</v>
      </c>
      <c r="AR122" t="n">
        <v>4.198993007606995</v>
      </c>
      <c r="AS122" t="n">
        <v>0.9136055249912208</v>
      </c>
      <c r="BL122" t="n">
        <v>1</v>
      </c>
      <c r="BM122" t="n">
        <v>38500</v>
      </c>
      <c r="BN122" t="n">
        <v>0</v>
      </c>
      <c r="BO122" t="n">
        <v>41545</v>
      </c>
      <c r="BP122" t="inlineStr">
        <is>
          <t>G,G</t>
        </is>
      </c>
      <c r="BQ122" t="inlineStr">
        <is>
          <t>T1</t>
        </is>
      </c>
      <c r="BS122" t="n">
        <v>3.575064935064935</v>
      </c>
      <c r="BT122" t="n">
        <v>75935</v>
      </c>
      <c r="BV122" t="n">
        <v>5.547402597402598</v>
      </c>
      <c r="BY122" t="n">
        <v>213575</v>
      </c>
      <c r="BZ122" t="n">
        <v>5.547402597402598</v>
      </c>
      <c r="CP122" t="inlineStr">
        <is>
          <t>财会及报告管理部</t>
        </is>
      </c>
      <c r="CQ122" t="inlineStr">
        <is>
          <t>5,1</t>
        </is>
      </c>
      <c r="CR122" t="n">
        <v>9</v>
      </c>
      <c r="CS122" t="inlineStr">
        <is>
          <t>T1</t>
        </is>
      </c>
      <c r="CT122" t="inlineStr">
        <is>
          <t>N</t>
        </is>
      </c>
    </row>
    <row r="123">
      <c r="A123" t="inlineStr">
        <is>
          <t>janetHao(郝璇)</t>
        </is>
      </c>
      <c r="C123" t="n">
        <v>95248687</v>
      </c>
      <c r="D123" t="inlineStr">
        <is>
          <t>财会及报告管理部</t>
        </is>
      </c>
      <c r="E123" t="inlineStr">
        <is>
          <t>供应商支付管理中心</t>
        </is>
      </c>
      <c r="G123" t="inlineStr">
        <is>
          <t>S2职能系统－财经线/财会及报告管理部/供应商支付管理中心</t>
        </is>
      </c>
      <c r="H123" s="188" t="n">
        <v>43472</v>
      </c>
      <c r="I123" t="inlineStr">
        <is>
          <t>社会招聘</t>
        </is>
      </c>
      <c r="J123" t="inlineStr">
        <is>
          <t>财经类－FN</t>
        </is>
      </c>
      <c r="K123" t="inlineStr">
        <is>
          <t>会计</t>
        </is>
      </c>
      <c r="L123" t="inlineStr">
        <is>
          <t>S7</t>
        </is>
      </c>
      <c r="N123" t="inlineStr">
        <is>
          <t>T2</t>
        </is>
      </c>
      <c r="Q123" t="inlineStr">
        <is>
          <t>G,O</t>
        </is>
      </c>
      <c r="U123" t="n">
        <v>41358.75</v>
      </c>
      <c r="V123" t="n">
        <v>0.083333</v>
      </c>
      <c r="W123" t="inlineStr">
        <is>
          <t>CNY</t>
        </is>
      </c>
      <c r="X123" t="n">
        <v>1</v>
      </c>
      <c r="Y123" t="n">
        <v>37570.74</v>
      </c>
      <c r="Z123" t="n">
        <v>0</v>
      </c>
      <c r="AA123" t="n">
        <v>124076.25</v>
      </c>
      <c r="AF123" t="n">
        <v>0</v>
      </c>
      <c r="AG123" t="n">
        <v>165921.25</v>
      </c>
      <c r="AH123" t="n">
        <v>4.416235879303948</v>
      </c>
      <c r="AJ123" t="n">
        <v>4.416235879303948</v>
      </c>
      <c r="AK123" t="n">
        <v>4.416235879303948</v>
      </c>
      <c r="AQ123" t="n">
        <v>165921.25</v>
      </c>
      <c r="AR123" t="n">
        <v>4.416235879303948</v>
      </c>
      <c r="AS123" t="n">
        <v>1.136291261471031</v>
      </c>
      <c r="BL123" t="n">
        <v>1</v>
      </c>
      <c r="BM123" t="n">
        <v>33340</v>
      </c>
      <c r="BN123" t="n">
        <v>0</v>
      </c>
      <c r="BO123" t="n">
        <v>35165</v>
      </c>
      <c r="BP123" t="inlineStr">
        <is>
          <t>O,G</t>
        </is>
      </c>
      <c r="BQ123" t="inlineStr">
        <is>
          <t>Others</t>
        </is>
      </c>
      <c r="BS123" t="n">
        <v>4.379724055188962</v>
      </c>
      <c r="BT123" t="n">
        <v>0</v>
      </c>
      <c r="BV123" t="n">
        <v>4.379724055188962</v>
      </c>
      <c r="BY123" t="n">
        <v>146020</v>
      </c>
      <c r="BZ123" t="n">
        <v>4.379724055188962</v>
      </c>
      <c r="CP123" t="inlineStr">
        <is>
          <t>财会及报告管理部</t>
        </is>
      </c>
      <c r="CQ123" t="inlineStr">
        <is>
          <t>5,3</t>
        </is>
      </c>
      <c r="CR123" t="n">
        <v>7</v>
      </c>
      <c r="CS123" t="inlineStr">
        <is>
          <t>T2</t>
        </is>
      </c>
      <c r="CT123" t="inlineStr">
        <is>
          <t>N</t>
        </is>
      </c>
    </row>
    <row r="124">
      <c r="A124" t="inlineStr">
        <is>
          <t>johnHe(何宁俊)</t>
        </is>
      </c>
      <c r="C124" t="n">
        <v>24046692</v>
      </c>
      <c r="D124" t="inlineStr">
        <is>
          <t>CFO办公室</t>
        </is>
      </c>
      <c r="E124" t="inlineStr">
        <is>
          <t>ESG协同办公室</t>
        </is>
      </c>
      <c r="G124" t="inlineStr">
        <is>
          <t>S2职能系统－财经线/CFO办公室/ESG协同办公室</t>
        </is>
      </c>
      <c r="H124" s="188" t="n">
        <v>36825</v>
      </c>
      <c r="I124" t="inlineStr">
        <is>
          <t>社会招聘</t>
        </is>
      </c>
      <c r="J124" t="inlineStr">
        <is>
          <t>财经类－FN</t>
        </is>
      </c>
      <c r="K124" t="inlineStr">
        <is>
          <t>投资者关系</t>
        </is>
      </c>
      <c r="L124" t="inlineStr">
        <is>
          <t>S10</t>
        </is>
      </c>
      <c r="N124" t="inlineStr">
        <is>
          <t>T1</t>
        </is>
      </c>
      <c r="Q124" t="inlineStr">
        <is>
          <t>G,G</t>
        </is>
      </c>
      <c r="U124" t="n">
        <v>35133.95</v>
      </c>
      <c r="V124" t="n">
        <v>0.083333</v>
      </c>
      <c r="W124" t="inlineStr">
        <is>
          <t>CNY</t>
        </is>
      </c>
      <c r="X124" t="n">
        <v>1</v>
      </c>
      <c r="Y124" t="n">
        <v>33909.68</v>
      </c>
      <c r="Z124" t="n">
        <v>0</v>
      </c>
      <c r="AA124" t="n">
        <v>70267.89999999999</v>
      </c>
      <c r="AF124" t="n">
        <v>0</v>
      </c>
      <c r="AG124" t="n">
        <v>187767.9</v>
      </c>
      <c r="AH124" t="n">
        <v>5.537294955304798</v>
      </c>
      <c r="AJ124" t="n">
        <v>5.537294955304798</v>
      </c>
      <c r="AK124" t="n">
        <v>4.38850794227489</v>
      </c>
      <c r="AQ124" t="n">
        <v>187767.9</v>
      </c>
      <c r="AR124" t="n">
        <v>5.537294955304798</v>
      </c>
      <c r="AS124" t="n">
        <v>1.240825375846688</v>
      </c>
      <c r="BL124" t="n">
        <v>1</v>
      </c>
      <c r="BM124" t="n">
        <v>31135</v>
      </c>
      <c r="BN124" t="n">
        <v>0</v>
      </c>
      <c r="BO124" t="n">
        <v>32020</v>
      </c>
      <c r="BP124" t="inlineStr">
        <is>
          <t>G,G</t>
        </is>
      </c>
      <c r="BQ124" t="inlineStr">
        <is>
          <t>T1</t>
        </is>
      </c>
      <c r="BS124" t="n">
        <v>3.207965312349446</v>
      </c>
      <c r="BT124" t="n">
        <v>51445</v>
      </c>
      <c r="BV124" t="n">
        <v>4.860285851935121</v>
      </c>
      <c r="BY124" t="n">
        <v>151325</v>
      </c>
      <c r="BZ124" t="n">
        <v>4.860285851935121</v>
      </c>
      <c r="CP124" t="inlineStr">
        <is>
          <t>CFO办公室</t>
        </is>
      </c>
      <c r="CQ124" t="inlineStr">
        <is>
          <t>3,3</t>
        </is>
      </c>
      <c r="CR124" t="n">
        <v>10</v>
      </c>
      <c r="CS124" t="inlineStr">
        <is>
          <t>T1</t>
        </is>
      </c>
      <c r="CT124" t="inlineStr">
        <is>
          <t>N</t>
        </is>
      </c>
    </row>
    <row r="125">
      <c r="A125" t="inlineStr">
        <is>
          <t>emmaLi(李敏君)</t>
        </is>
      </c>
      <c r="C125" t="n">
        <v>38430930</v>
      </c>
      <c r="D125" t="inlineStr">
        <is>
          <t>CSIG财务管理</t>
        </is>
      </c>
      <c r="E125" t="inlineStr">
        <is>
          <t>产品财务管理中心</t>
        </is>
      </c>
      <c r="G125" t="inlineStr">
        <is>
          <t>S2职能系统－财经线/CSIG财务管理/产品财务管理中心</t>
        </is>
      </c>
      <c r="H125" s="188" t="n">
        <v>43706</v>
      </c>
      <c r="I125" t="inlineStr">
        <is>
          <t>社会招聘</t>
        </is>
      </c>
      <c r="J125" t="inlineStr">
        <is>
          <t>财经类－FN</t>
        </is>
      </c>
      <c r="K125" t="inlineStr">
        <is>
          <t>财务管理</t>
        </is>
      </c>
      <c r="L125" t="inlineStr">
        <is>
          <t>S7</t>
        </is>
      </c>
      <c r="N125" t="inlineStr">
        <is>
          <t>T2</t>
        </is>
      </c>
      <c r="Q125" t="inlineStr">
        <is>
          <t>U,G</t>
        </is>
      </c>
      <c r="U125" t="n">
        <v>28003.15</v>
      </c>
      <c r="V125" t="n">
        <v>0.083333</v>
      </c>
      <c r="W125" t="inlineStr">
        <is>
          <t>CNY</t>
        </is>
      </c>
      <c r="X125" t="n">
        <v>1</v>
      </c>
      <c r="Y125" t="n">
        <v>26232.14</v>
      </c>
      <c r="Z125" t="n">
        <v>0</v>
      </c>
      <c r="AA125" t="n">
        <v>28003.15</v>
      </c>
      <c r="AF125" t="n">
        <v>0</v>
      </c>
      <c r="AG125" t="n">
        <v>66043.14999999999</v>
      </c>
      <c r="AH125" t="n">
        <v>2.517642479797683</v>
      </c>
      <c r="AJ125" t="n">
        <v>2.517642479797683</v>
      </c>
      <c r="AK125" t="n">
        <v>2.517642479797683</v>
      </c>
      <c r="AQ125" t="n">
        <v>66043.14999999999</v>
      </c>
      <c r="AR125" t="n">
        <v>2.517642479797683</v>
      </c>
      <c r="AS125" t="n">
        <v>0.8129388232397833</v>
      </c>
      <c r="BL125" t="n">
        <v>1</v>
      </c>
      <c r="BM125" t="n">
        <v>23150</v>
      </c>
      <c r="BN125" t="n">
        <v>0</v>
      </c>
      <c r="BO125" t="n">
        <v>24040</v>
      </c>
      <c r="BP125" t="inlineStr">
        <is>
          <t>G,G</t>
        </is>
      </c>
      <c r="BQ125" t="inlineStr">
        <is>
          <t>T2</t>
        </is>
      </c>
      <c r="BS125" t="n">
        <v>3.509287257019439</v>
      </c>
      <c r="BT125" t="n">
        <v>0</v>
      </c>
      <c r="BV125" t="n">
        <v>3.509287257019439</v>
      </c>
      <c r="BY125" t="n">
        <v>81240</v>
      </c>
      <c r="BZ125" t="n">
        <v>3.509287257019439</v>
      </c>
      <c r="CP125" t="inlineStr">
        <is>
          <t>CSIG财务管理</t>
        </is>
      </c>
      <c r="CQ125" t="inlineStr">
        <is>
          <t>3,1</t>
        </is>
      </c>
      <c r="CR125" t="n">
        <v>7</v>
      </c>
      <c r="CS125" t="inlineStr">
        <is>
          <t>T2</t>
        </is>
      </c>
      <c r="CT125" t="inlineStr">
        <is>
          <t>N</t>
        </is>
      </c>
    </row>
    <row r="126">
      <c r="A126" t="inlineStr">
        <is>
          <t>blakeTian(田凯嘉)</t>
        </is>
      </c>
      <c r="C126" t="n">
        <v>36277768</v>
      </c>
      <c r="D126" t="inlineStr">
        <is>
          <t>财经IT管理部</t>
        </is>
      </c>
      <c r="E126" t="inlineStr">
        <is>
          <t>国际业务支持中心</t>
        </is>
      </c>
      <c r="G126" t="inlineStr">
        <is>
          <t>S2职能系统－财经线/财经IT管理部/国际业务支持中心</t>
        </is>
      </c>
      <c r="H126" s="188" t="n">
        <v>45186</v>
      </c>
      <c r="I126" t="inlineStr">
        <is>
          <t>社会招聘</t>
        </is>
      </c>
      <c r="J126" t="inlineStr">
        <is>
          <t>技术研发类－TRD</t>
        </is>
      </c>
      <c r="K126" t="inlineStr">
        <is>
          <t>应用开发</t>
        </is>
      </c>
      <c r="L126" t="inlineStr">
        <is>
          <t>T6</t>
        </is>
      </c>
      <c r="N126" t="inlineStr">
        <is>
          <t>T1</t>
        </is>
      </c>
      <c r="Q126" t="inlineStr">
        <is>
          <t>G,G</t>
        </is>
      </c>
      <c r="U126" t="n">
        <v>28268.1</v>
      </c>
      <c r="V126" t="n">
        <v>0.083333</v>
      </c>
      <c r="W126" t="inlineStr">
        <is>
          <t>CNY</t>
        </is>
      </c>
      <c r="X126" t="n">
        <v>1</v>
      </c>
      <c r="Y126" t="n">
        <v>27405.61</v>
      </c>
      <c r="Z126" t="n">
        <v>0</v>
      </c>
      <c r="AA126" t="n">
        <v>56536.2</v>
      </c>
      <c r="AF126" t="n">
        <v>0</v>
      </c>
      <c r="AG126" t="n">
        <v>175971.2</v>
      </c>
      <c r="AH126" t="n">
        <v>6.420991906401646</v>
      </c>
      <c r="AJ126" t="n">
        <v>6.420991906401646</v>
      </c>
      <c r="AK126" t="n">
        <v>4.615887039186502</v>
      </c>
      <c r="AQ126" t="n">
        <v>175971.2</v>
      </c>
      <c r="AR126" t="n">
        <v>6.420991906401646</v>
      </c>
      <c r="AS126" t="n">
        <v>24.32221147201106</v>
      </c>
      <c r="BL126" t="n">
        <v>0.287671232876712</v>
      </c>
      <c r="BM126" t="n">
        <v>25155</v>
      </c>
      <c r="BN126" t="n">
        <v>0</v>
      </c>
      <c r="BO126" t="n">
        <v>25155</v>
      </c>
      <c r="BP126" t="inlineStr">
        <is>
          <t>N,O</t>
        </is>
      </c>
      <c r="BQ126" t="inlineStr">
        <is>
          <t>T1</t>
        </is>
      </c>
      <c r="BS126" t="n">
        <v>0.287616775988869</v>
      </c>
      <c r="BT126" t="n">
        <v>0</v>
      </c>
      <c r="BV126" t="n">
        <v>0.287616775988869</v>
      </c>
      <c r="BY126" t="n">
        <v>7235</v>
      </c>
      <c r="BZ126" t="n">
        <v>0.287616775988869</v>
      </c>
      <c r="CP126" t="inlineStr">
        <is>
          <t>财经IT管理部</t>
        </is>
      </c>
      <c r="CQ126" t="inlineStr">
        <is>
          <t>3,3</t>
        </is>
      </c>
      <c r="CR126" t="n">
        <v>6</v>
      </c>
      <c r="CS126" t="inlineStr">
        <is>
          <t>T1</t>
        </is>
      </c>
      <c r="CT126" t="inlineStr">
        <is>
          <t>N</t>
        </is>
      </c>
    </row>
    <row r="127">
      <c r="A127" t="inlineStr">
        <is>
          <t>howardLai(赖成)</t>
        </is>
      </c>
      <c r="C127" t="n">
        <v>78402084</v>
      </c>
      <c r="D127" t="inlineStr">
        <is>
          <t>税务部</t>
        </is>
      </c>
      <c r="E127" t="inlineStr">
        <is>
          <t>海外税务中心</t>
        </is>
      </c>
      <c r="G127" t="inlineStr">
        <is>
          <t>S2职能系统－财经线/税务部/海外税务中心</t>
        </is>
      </c>
      <c r="H127" s="188" t="n">
        <v>42704</v>
      </c>
      <c r="I127" t="inlineStr">
        <is>
          <t>社会招聘</t>
        </is>
      </c>
      <c r="J127" t="inlineStr">
        <is>
          <t>财经类－FN</t>
        </is>
      </c>
      <c r="K127" t="inlineStr">
        <is>
          <t>税务</t>
        </is>
      </c>
      <c r="L127" t="inlineStr">
        <is>
          <t>S7</t>
        </is>
      </c>
      <c r="N127" t="inlineStr">
        <is>
          <t>T2</t>
        </is>
      </c>
      <c r="Q127" t="inlineStr">
        <is>
          <t>G,G</t>
        </is>
      </c>
      <c r="U127" t="n">
        <v>41095.3</v>
      </c>
      <c r="V127" t="n">
        <v>0.083333</v>
      </c>
      <c r="W127" t="inlineStr">
        <is>
          <t>CNY</t>
        </is>
      </c>
      <c r="X127" t="n">
        <v>1</v>
      </c>
      <c r="Y127" t="n">
        <v>37237.72</v>
      </c>
      <c r="Z127" t="n">
        <v>0</v>
      </c>
      <c r="AA127" t="n">
        <v>82190.60000000001</v>
      </c>
      <c r="AF127" t="n">
        <v>0</v>
      </c>
      <c r="AG127" t="n">
        <v>125445.6</v>
      </c>
      <c r="AH127" t="n">
        <v>3.368777680266139</v>
      </c>
      <c r="AJ127" t="n">
        <v>3.368777680266139</v>
      </c>
      <c r="AK127" t="n">
        <v>3.368777680266139</v>
      </c>
      <c r="AQ127" t="n">
        <v>125445.6</v>
      </c>
      <c r="AR127" t="n">
        <v>3.368777680266139</v>
      </c>
      <c r="AS127" t="n">
        <v>1.110088934117959</v>
      </c>
      <c r="BL127" t="n">
        <v>1</v>
      </c>
      <c r="BM127" t="n">
        <v>35290</v>
      </c>
      <c r="BN127" t="n">
        <v>0</v>
      </c>
      <c r="BO127" t="n">
        <v>37040</v>
      </c>
      <c r="BP127" t="inlineStr">
        <is>
          <t>G,G</t>
        </is>
      </c>
      <c r="BQ127" t="inlineStr">
        <is>
          <t>T2</t>
        </is>
      </c>
      <c r="BS127" t="n">
        <v>3.202181921224143</v>
      </c>
      <c r="BT127" t="n">
        <v>0</v>
      </c>
      <c r="BV127" t="n">
        <v>3.202181921224143</v>
      </c>
      <c r="BY127" t="n">
        <v>113005</v>
      </c>
      <c r="BZ127" t="n">
        <v>3.202181921224143</v>
      </c>
      <c r="CP127" t="inlineStr">
        <is>
          <t>税务部</t>
        </is>
      </c>
      <c r="CQ127" t="inlineStr">
        <is>
          <t>3,3</t>
        </is>
      </c>
      <c r="CR127" t="n">
        <v>7</v>
      </c>
      <c r="CS127" t="inlineStr">
        <is>
          <t>T2</t>
        </is>
      </c>
      <c r="CT127" t="inlineStr">
        <is>
          <t>N</t>
        </is>
      </c>
    </row>
    <row r="128">
      <c r="A128" t="inlineStr">
        <is>
          <t>marcusLong(龙立炜)</t>
        </is>
      </c>
      <c r="C128" t="n">
        <v>57915941</v>
      </c>
      <c r="D128" t="inlineStr">
        <is>
          <t>财会及报告管理部</t>
        </is>
      </c>
      <c r="E128" t="inlineStr">
        <is>
          <t>资产管理组</t>
        </is>
      </c>
      <c r="G128" t="inlineStr">
        <is>
          <t>S2职能系统－财经线/财会及报告管理部/资产管理组</t>
        </is>
      </c>
      <c r="H128" s="188" t="n">
        <v>39132</v>
      </c>
      <c r="I128" t="inlineStr">
        <is>
          <t>高校招聘</t>
        </is>
      </c>
      <c r="J128" t="inlineStr">
        <is>
          <t>财经类－FN</t>
        </is>
      </c>
      <c r="K128" t="inlineStr">
        <is>
          <t>会计</t>
        </is>
      </c>
      <c r="L128" t="inlineStr">
        <is>
          <t>S10</t>
        </is>
      </c>
      <c r="N128" t="inlineStr">
        <is>
          <t>T1</t>
        </is>
      </c>
      <c r="Q128" t="inlineStr">
        <is>
          <t>G,G</t>
        </is>
      </c>
      <c r="U128" t="n">
        <v>64404.8</v>
      </c>
      <c r="V128" t="n">
        <v>0.083333</v>
      </c>
      <c r="W128" t="inlineStr">
        <is>
          <t>CNY</t>
        </is>
      </c>
      <c r="X128" t="n">
        <v>1</v>
      </c>
      <c r="Y128" t="n">
        <v>61531.92</v>
      </c>
      <c r="Z128" t="n">
        <v>0</v>
      </c>
      <c r="AA128" t="n">
        <v>128809.6</v>
      </c>
      <c r="AF128" t="n">
        <v>0</v>
      </c>
      <c r="AG128" t="n">
        <v>329914.6</v>
      </c>
      <c r="AH128" t="n">
        <v>5.361682196817521</v>
      </c>
      <c r="AJ128" t="n">
        <v>5.361682196817521</v>
      </c>
      <c r="AK128" t="n">
        <v>4.265015621160529</v>
      </c>
      <c r="AQ128" t="n">
        <v>329914.6</v>
      </c>
      <c r="AR128" t="n">
        <v>5.361682196817521</v>
      </c>
      <c r="AS128" t="n">
        <v>1.041035625256382</v>
      </c>
      <c r="BL128" t="n">
        <v>1</v>
      </c>
      <c r="BM128" t="n">
        <v>52990</v>
      </c>
      <c r="BN128" t="n">
        <v>0</v>
      </c>
      <c r="BO128" t="n">
        <v>57305</v>
      </c>
      <c r="BP128" t="inlineStr">
        <is>
          <t>O,G</t>
        </is>
      </c>
      <c r="BQ128" t="inlineStr">
        <is>
          <t>T1</t>
        </is>
      </c>
      <c r="BS128" t="n">
        <v>4.43800717116437</v>
      </c>
      <c r="BT128" t="n">
        <v>81740</v>
      </c>
      <c r="BV128" t="n">
        <v>5.980562370258539</v>
      </c>
      <c r="BY128" t="n">
        <v>316910</v>
      </c>
      <c r="BZ128" t="n">
        <v>5.980562370258539</v>
      </c>
      <c r="CP128" t="inlineStr">
        <is>
          <t>财会及报告管理部</t>
        </is>
      </c>
      <c r="CQ128" t="inlineStr">
        <is>
          <t>3,3</t>
        </is>
      </c>
      <c r="CR128" t="n">
        <v>10</v>
      </c>
      <c r="CS128" t="inlineStr">
        <is>
          <t>T1</t>
        </is>
      </c>
      <c r="CT128" t="inlineStr">
        <is>
          <t>N</t>
        </is>
      </c>
    </row>
    <row r="129">
      <c r="A129" t="inlineStr">
        <is>
          <t>joycePeng(彭菲诗)</t>
        </is>
      </c>
      <c r="C129" t="n">
        <v>40195371</v>
      </c>
      <c r="D129" t="inlineStr">
        <is>
          <t>CFO办公室</t>
        </is>
      </c>
      <c r="E129" t="inlineStr">
        <is>
          <t>财经专业通道委员会</t>
        </is>
      </c>
      <c r="G129" t="inlineStr">
        <is>
          <t>S2职能系统－财经线/CFO办公室/财经专业通道委员会</t>
        </is>
      </c>
      <c r="H129" s="188" t="n">
        <v>40592</v>
      </c>
      <c r="I129" t="inlineStr">
        <is>
          <t>社会招聘</t>
        </is>
      </c>
      <c r="J129" t="inlineStr">
        <is>
          <t>财经类－FN</t>
        </is>
      </c>
      <c r="K129" t="inlineStr">
        <is>
          <t>投资者关系</t>
        </is>
      </c>
      <c r="L129" t="inlineStr">
        <is>
          <t>S9</t>
        </is>
      </c>
      <c r="N129" t="inlineStr">
        <is>
          <t>T2</t>
        </is>
      </c>
      <c r="Q129" t="inlineStr">
        <is>
          <t>G,G</t>
        </is>
      </c>
      <c r="U129" t="n">
        <v>32840.2</v>
      </c>
      <c r="V129" t="n">
        <v>0.083333</v>
      </c>
      <c r="W129" t="inlineStr">
        <is>
          <t>CNY</t>
        </is>
      </c>
      <c r="X129" t="n">
        <v>1</v>
      </c>
      <c r="Y129" t="n">
        <v>32462.62</v>
      </c>
      <c r="Z129" t="n">
        <v>0</v>
      </c>
      <c r="AA129" t="n">
        <v>65680.39999999999</v>
      </c>
      <c r="AF129" t="n">
        <v>0</v>
      </c>
      <c r="AG129" t="n">
        <v>112940.4</v>
      </c>
      <c r="AH129" t="n">
        <v>3.47909072034235</v>
      </c>
      <c r="AJ129" t="n">
        <v>3.47909072034235</v>
      </c>
      <c r="AK129" t="n">
        <v>3.47909072034235</v>
      </c>
      <c r="AQ129" t="n">
        <v>112940.4</v>
      </c>
      <c r="AR129" t="n">
        <v>3.47909072034235</v>
      </c>
      <c r="AS129" t="n">
        <v>1.225548261081873</v>
      </c>
      <c r="BL129" t="n">
        <v>1</v>
      </c>
      <c r="BM129" t="n">
        <v>27135</v>
      </c>
      <c r="BN129" t="n">
        <v>0</v>
      </c>
      <c r="BO129" t="n">
        <v>28305</v>
      </c>
      <c r="BP129" t="inlineStr">
        <is>
          <t>U,O</t>
        </is>
      </c>
      <c r="BQ129" t="inlineStr">
        <is>
          <t>T2</t>
        </is>
      </c>
      <c r="BS129" t="n">
        <v>3.396167311590197</v>
      </c>
      <c r="BT129" t="n">
        <v>0</v>
      </c>
      <c r="BV129" t="n">
        <v>3.396167311590197</v>
      </c>
      <c r="BY129" t="n">
        <v>92155</v>
      </c>
      <c r="BZ129" t="n">
        <v>3.396167311590197</v>
      </c>
      <c r="CP129" t="inlineStr">
        <is>
          <t>CFO办公室</t>
        </is>
      </c>
      <c r="CQ129" t="inlineStr">
        <is>
          <t>3,3</t>
        </is>
      </c>
      <c r="CR129" t="n">
        <v>9</v>
      </c>
      <c r="CS129" t="inlineStr">
        <is>
          <t>T2</t>
        </is>
      </c>
      <c r="CT129" t="inlineStr">
        <is>
          <t>N</t>
        </is>
      </c>
    </row>
    <row r="130">
      <c r="A130" t="inlineStr">
        <is>
          <t>bryanXiao(萧豪磊)</t>
        </is>
      </c>
      <c r="C130" t="n">
        <v>97065359</v>
      </c>
      <c r="D130" t="inlineStr">
        <is>
          <t>基建财务管理</t>
        </is>
      </c>
      <c r="E130" t="inlineStr">
        <is>
          <t>基建财务管理</t>
        </is>
      </c>
      <c r="G130" t="inlineStr">
        <is>
          <t>S2职能系统－财经线/基建财务管理</t>
        </is>
      </c>
      <c r="H130" s="188" t="n">
        <v>44154</v>
      </c>
      <c r="I130" t="inlineStr">
        <is>
          <t>高校招聘</t>
        </is>
      </c>
      <c r="J130" t="inlineStr">
        <is>
          <t>财经类－FN</t>
        </is>
      </c>
      <c r="K130" t="inlineStr">
        <is>
          <t>财务管理</t>
        </is>
      </c>
      <c r="L130" t="inlineStr">
        <is>
          <t>S10</t>
        </is>
      </c>
      <c r="N130" t="inlineStr">
        <is>
          <t>T2</t>
        </is>
      </c>
      <c r="Q130" t="inlineStr">
        <is>
          <t>G,G</t>
        </is>
      </c>
      <c r="U130" t="n">
        <v>59384.15</v>
      </c>
      <c r="V130" t="n">
        <v>0.083333</v>
      </c>
      <c r="W130" t="inlineStr">
        <is>
          <t>CNY</t>
        </is>
      </c>
      <c r="X130" t="n">
        <v>1</v>
      </c>
      <c r="Y130" t="n">
        <v>56185.84</v>
      </c>
      <c r="Z130" t="n">
        <v>0</v>
      </c>
      <c r="AA130" t="n">
        <v>118768.3</v>
      </c>
      <c r="AF130" t="n">
        <v>0</v>
      </c>
      <c r="AG130" t="n">
        <v>205838.3</v>
      </c>
      <c r="AH130" t="n">
        <v>3.663526255013719</v>
      </c>
      <c r="AJ130" t="n">
        <v>3.663526255013719</v>
      </c>
      <c r="AK130" t="n">
        <v>3.663526255013719</v>
      </c>
      <c r="AQ130" t="n">
        <v>205838.3</v>
      </c>
      <c r="AR130" t="n">
        <v>3.663526255013719</v>
      </c>
      <c r="AS130" t="n">
        <v>1.808851882771651</v>
      </c>
      <c r="BL130" t="n">
        <v>1</v>
      </c>
      <c r="BM130" t="n">
        <v>51850</v>
      </c>
      <c r="BN130" t="n">
        <v>0</v>
      </c>
      <c r="BO130" t="n">
        <v>52285</v>
      </c>
      <c r="BP130" t="inlineStr">
        <is>
          <t>G,U</t>
        </is>
      </c>
      <c r="BQ130" t="inlineStr">
        <is>
          <t>T2</t>
        </is>
      </c>
      <c r="BS130" t="n">
        <v>2.194696239151398</v>
      </c>
      <c r="BT130" t="n">
        <v>0</v>
      </c>
      <c r="BV130" t="n">
        <v>2.194696239151398</v>
      </c>
      <c r="BY130" t="n">
        <v>113795</v>
      </c>
      <c r="BZ130" t="n">
        <v>2.194696239151398</v>
      </c>
      <c r="CP130" t="inlineStr">
        <is>
          <t>基建财务管理</t>
        </is>
      </c>
      <c r="CQ130" t="inlineStr">
        <is>
          <t>3,3</t>
        </is>
      </c>
      <c r="CR130" t="n">
        <v>10</v>
      </c>
      <c r="CS130" t="inlineStr">
        <is>
          <t>T2</t>
        </is>
      </c>
      <c r="CT130" t="inlineStr">
        <is>
          <t>N</t>
        </is>
      </c>
    </row>
    <row r="131">
      <c r="A131" t="inlineStr">
        <is>
          <t>janetPeng(彭莹)</t>
        </is>
      </c>
      <c r="C131" t="n">
        <v>21668825</v>
      </c>
      <c r="D131" t="inlineStr">
        <is>
          <t>财经IT管理部</t>
        </is>
      </c>
      <c r="E131" t="inlineStr">
        <is>
          <t>国际业务支持中心</t>
        </is>
      </c>
      <c r="G131" t="inlineStr">
        <is>
          <t>S2职能系统－财经线/财经IT管理部/国际业务支持中心</t>
        </is>
      </c>
      <c r="H131" s="188" t="n">
        <v>44904</v>
      </c>
      <c r="I131" t="inlineStr">
        <is>
          <t>高校招聘</t>
        </is>
      </c>
      <c r="J131" t="inlineStr">
        <is>
          <t>技术研发类－TRD</t>
        </is>
      </c>
      <c r="K131" t="inlineStr">
        <is>
          <t>应用开发</t>
        </is>
      </c>
      <c r="L131" t="inlineStr">
        <is>
          <t>T9</t>
        </is>
      </c>
      <c r="N131" t="inlineStr">
        <is>
          <t>T1#</t>
        </is>
      </c>
      <c r="Q131" t="inlineStr">
        <is>
          <t>O,G</t>
        </is>
      </c>
      <c r="U131" t="n">
        <v>53515.7</v>
      </c>
      <c r="V131" t="n">
        <v>0.083333</v>
      </c>
      <c r="W131" t="inlineStr">
        <is>
          <t>CNY</t>
        </is>
      </c>
      <c r="X131" t="n">
        <v>1</v>
      </c>
      <c r="Y131" t="n">
        <v>52714.83</v>
      </c>
      <c r="Z131" t="n">
        <v>0</v>
      </c>
      <c r="AA131" t="n">
        <v>160547.1</v>
      </c>
      <c r="AF131" t="n">
        <v>0</v>
      </c>
      <c r="AG131" t="n">
        <v>404147.1</v>
      </c>
      <c r="AH131" t="n">
        <v>7.666667994566234</v>
      </c>
      <c r="AJ131" t="n">
        <v>7.666667994566234</v>
      </c>
      <c r="AK131" t="n">
        <v>6.171927330506424</v>
      </c>
      <c r="AQ131" t="n">
        <v>404147.1</v>
      </c>
      <c r="AR131" t="n">
        <v>7.666667994566234</v>
      </c>
      <c r="AS131" t="n">
        <v>1.298402004722664</v>
      </c>
      <c r="BL131" t="n">
        <v>1</v>
      </c>
      <c r="BM131" t="n">
        <v>47310</v>
      </c>
      <c r="BN131" t="n">
        <v>0</v>
      </c>
      <c r="BO131" t="n">
        <v>48440</v>
      </c>
      <c r="BP131" t="inlineStr">
        <is>
          <t>G,G</t>
        </is>
      </c>
      <c r="BQ131" t="inlineStr">
        <is>
          <t>T1#</t>
        </is>
      </c>
      <c r="BS131" t="n">
        <v>5.431198478123019</v>
      </c>
      <c r="BT131" t="n">
        <v>54315</v>
      </c>
      <c r="BV131" t="n">
        <v>6.579264426125555</v>
      </c>
      <c r="BY131" t="n">
        <v>311265</v>
      </c>
      <c r="BZ131" t="n">
        <v>6.579264426125555</v>
      </c>
      <c r="CP131" t="inlineStr">
        <is>
          <t>财经IT管理部</t>
        </is>
      </c>
      <c r="CQ131" t="inlineStr">
        <is>
          <t>5,3</t>
        </is>
      </c>
      <c r="CR131" t="n">
        <v>9</v>
      </c>
      <c r="CS131" t="inlineStr">
        <is>
          <t>T1#</t>
        </is>
      </c>
      <c r="CT131" t="inlineStr">
        <is>
          <t>N</t>
        </is>
      </c>
    </row>
    <row r="132">
      <c r="A132" t="inlineStr">
        <is>
          <t>ethanNiu(牛勇志)</t>
        </is>
      </c>
      <c r="C132" t="n">
        <v>53964320</v>
      </c>
      <c r="D132" t="inlineStr">
        <is>
          <t>PCG财务管理</t>
        </is>
      </c>
      <c r="E132" t="inlineStr">
        <is>
          <t>在线视频财务管理中心</t>
        </is>
      </c>
      <c r="G132" t="inlineStr">
        <is>
          <t>S2职能系统－财经线/PCG财务管理/在线视频财务管理中心</t>
        </is>
      </c>
      <c r="H132" s="188" t="n">
        <v>42787</v>
      </c>
      <c r="I132" t="inlineStr">
        <is>
          <t>高校招聘</t>
        </is>
      </c>
      <c r="J132" t="inlineStr">
        <is>
          <t>财经类－FN</t>
        </is>
      </c>
      <c r="K132" t="inlineStr">
        <is>
          <t>财务管理</t>
        </is>
      </c>
      <c r="L132" t="inlineStr">
        <is>
          <t>S5</t>
        </is>
      </c>
      <c r="N132" t="inlineStr">
        <is>
          <t>T1</t>
        </is>
      </c>
      <c r="Q132" t="inlineStr">
        <is>
          <t>G,G</t>
        </is>
      </c>
      <c r="U132" t="n">
        <v>30340.25</v>
      </c>
      <c r="V132" t="n">
        <v>0.083333</v>
      </c>
      <c r="W132" t="inlineStr">
        <is>
          <t>CNY</t>
        </is>
      </c>
      <c r="X132" t="n">
        <v>1</v>
      </c>
      <c r="Y132" t="n">
        <v>28324.33</v>
      </c>
      <c r="Z132" t="n">
        <v>0</v>
      </c>
      <c r="AA132" t="n">
        <v>60680.5</v>
      </c>
      <c r="AF132" t="n">
        <v>0</v>
      </c>
      <c r="AG132" t="n">
        <v>163720.5</v>
      </c>
      <c r="AH132" t="n">
        <v>5.780207334118759</v>
      </c>
      <c r="AJ132" t="n">
        <v>5.780207334118759</v>
      </c>
      <c r="AK132" t="n">
        <v>4.343103614454428</v>
      </c>
      <c r="AQ132" t="n">
        <v>163720.5</v>
      </c>
      <c r="AR132" t="n">
        <v>5.780207334118759</v>
      </c>
      <c r="AS132" t="n">
        <v>2.069529768676526</v>
      </c>
      <c r="BL132" t="n">
        <v>1</v>
      </c>
      <c r="BM132" t="n">
        <v>25000</v>
      </c>
      <c r="BN132" t="n">
        <v>0</v>
      </c>
      <c r="BO132" t="n">
        <v>25390</v>
      </c>
      <c r="BP132" t="inlineStr">
        <is>
          <t>G,G</t>
        </is>
      </c>
      <c r="BQ132" t="inlineStr">
        <is>
          <t>T2</t>
        </is>
      </c>
      <c r="BS132" t="n">
        <v>3.1644</v>
      </c>
      <c r="BT132" t="n">
        <v>0</v>
      </c>
      <c r="BV132" t="n">
        <v>3.1644</v>
      </c>
      <c r="BY132" t="n">
        <v>79110</v>
      </c>
      <c r="BZ132" t="n">
        <v>3.1644</v>
      </c>
      <c r="CP132" t="inlineStr">
        <is>
          <t>PCG财务管理</t>
        </is>
      </c>
      <c r="CQ132" t="inlineStr">
        <is>
          <t>3,3</t>
        </is>
      </c>
      <c r="CR132" t="n">
        <v>5</v>
      </c>
      <c r="CS132" t="inlineStr">
        <is>
          <t>T1</t>
        </is>
      </c>
      <c r="CT132" t="inlineStr">
        <is>
          <t>N</t>
        </is>
      </c>
    </row>
    <row r="133">
      <c r="A133" t="inlineStr">
        <is>
          <t>ralphTan(谭波)</t>
        </is>
      </c>
      <c r="C133" t="n">
        <v>70522497</v>
      </c>
      <c r="D133" t="inlineStr">
        <is>
          <t>风险管理和内部控制</t>
        </is>
      </c>
      <c r="E133" t="inlineStr">
        <is>
          <t>S系统风控组</t>
        </is>
      </c>
      <c r="G133" t="inlineStr">
        <is>
          <t>S2职能系统－财经线/风险管理和内部控制/S系统风控组</t>
        </is>
      </c>
      <c r="H133" s="188" t="n">
        <v>43895</v>
      </c>
      <c r="I133" t="inlineStr">
        <is>
          <t>社会招聘</t>
        </is>
      </c>
      <c r="J133" t="inlineStr">
        <is>
          <t>财经类－FN</t>
        </is>
      </c>
      <c r="K133" t="inlineStr">
        <is>
          <t>风险管理</t>
        </is>
      </c>
      <c r="M133" t="inlineStr">
        <is>
          <t>L2-1</t>
        </is>
      </c>
      <c r="N133" t="inlineStr">
        <is>
          <t>T2</t>
        </is>
      </c>
      <c r="Q133" t="inlineStr">
        <is>
          <t>G,G</t>
        </is>
      </c>
      <c r="U133" t="n">
        <v>69362</v>
      </c>
      <c r="V133" t="n">
        <v>0.083333</v>
      </c>
      <c r="W133" t="inlineStr">
        <is>
          <t>CNY</t>
        </is>
      </c>
      <c r="X133" t="n">
        <v>1</v>
      </c>
      <c r="Y133" t="n">
        <v>67849.63</v>
      </c>
      <c r="Z133" t="n">
        <v>0</v>
      </c>
      <c r="AA133" t="n">
        <v>138724</v>
      </c>
      <c r="AF133" t="n">
        <v>14740</v>
      </c>
      <c r="AG133" t="n">
        <v>214479</v>
      </c>
      <c r="AH133" t="n">
        <v>3.161093140817422</v>
      </c>
      <c r="AJ133" t="n">
        <v>3.378338245912321</v>
      </c>
      <c r="AK133" t="n">
        <v>3.378338245912321</v>
      </c>
      <c r="AQ133" t="n">
        <v>229219</v>
      </c>
      <c r="AR133" t="n">
        <v>3.378338245912321</v>
      </c>
      <c r="AS133" t="n">
        <v>1.317047805102275</v>
      </c>
      <c r="BL133" t="n">
        <v>1</v>
      </c>
      <c r="BM133" t="n">
        <v>56765</v>
      </c>
      <c r="BN133" t="n">
        <v>0</v>
      </c>
      <c r="BO133" t="n">
        <v>57500</v>
      </c>
      <c r="BP133" t="inlineStr">
        <is>
          <t>G,G</t>
        </is>
      </c>
      <c r="BQ133" t="inlineStr">
        <is>
          <t>T2</t>
        </is>
      </c>
      <c r="BS133" t="n">
        <v>3.06597375143134</v>
      </c>
      <c r="BT133" t="n">
        <v>0</v>
      </c>
      <c r="BV133" t="n">
        <v>3.06597375143134</v>
      </c>
      <c r="BY133" t="n">
        <v>174040</v>
      </c>
      <c r="BZ133" t="n">
        <v>3.06597375143134</v>
      </c>
      <c r="CP133" t="inlineStr">
        <is>
          <t>风险管理和内部控制</t>
        </is>
      </c>
      <c r="CQ133" t="inlineStr">
        <is>
          <t>3,3</t>
        </is>
      </c>
      <c r="CR133" t="inlineStr">
        <is>
          <t>L2-1</t>
        </is>
      </c>
      <c r="CS133" t="inlineStr">
        <is>
          <t>T2</t>
        </is>
      </c>
      <c r="CT133" t="inlineStr">
        <is>
          <t>N</t>
        </is>
      </c>
    </row>
    <row r="134">
      <c r="A134" t="inlineStr">
        <is>
          <t>rebeccaWu(吴冰)</t>
        </is>
      </c>
      <c r="C134" t="n">
        <v>32997973</v>
      </c>
      <c r="D134" t="inlineStr">
        <is>
          <t>CSIG财务管理</t>
        </is>
      </c>
      <c r="E134" t="inlineStr">
        <is>
          <t>综合财务管理中心</t>
        </is>
      </c>
      <c r="G134" t="inlineStr">
        <is>
          <t>S2职能系统－财经线/CSIG财务管理/综合财务管理中心</t>
        </is>
      </c>
      <c r="H134" s="188" t="n">
        <v>38030</v>
      </c>
      <c r="I134" t="inlineStr">
        <is>
          <t>高校招聘</t>
        </is>
      </c>
      <c r="J134" t="inlineStr">
        <is>
          <t>财经类－FN</t>
        </is>
      </c>
      <c r="K134" t="inlineStr">
        <is>
          <t>财务管理</t>
        </is>
      </c>
      <c r="L134" t="inlineStr">
        <is>
          <t>S10</t>
        </is>
      </c>
      <c r="N134" t="inlineStr">
        <is>
          <t>T1</t>
        </is>
      </c>
      <c r="Q134" t="inlineStr">
        <is>
          <t>G,G</t>
        </is>
      </c>
      <c r="U134" t="n">
        <v>46576.55</v>
      </c>
      <c r="V134" t="n">
        <v>0.083333</v>
      </c>
      <c r="W134" t="inlineStr">
        <is>
          <t>CNY</t>
        </is>
      </c>
      <c r="X134" t="n">
        <v>1</v>
      </c>
      <c r="Y134" t="n">
        <v>41936.75</v>
      </c>
      <c r="Z134" t="n">
        <v>0</v>
      </c>
      <c r="AA134" t="n">
        <v>93153.10000000001</v>
      </c>
      <c r="AF134" t="n">
        <v>0</v>
      </c>
      <c r="AG134" t="n">
        <v>244318.1</v>
      </c>
      <c r="AH134" t="n">
        <v>5.825871103507067</v>
      </c>
      <c r="AJ134" t="n">
        <v>5.825871103507067</v>
      </c>
      <c r="AK134" t="n">
        <v>4.616430696227057</v>
      </c>
      <c r="AQ134" t="n">
        <v>244318.1</v>
      </c>
      <c r="AR134" t="n">
        <v>5.825871103507067</v>
      </c>
      <c r="AS134" t="n">
        <v>0.8234516346477924</v>
      </c>
      <c r="BL134" t="n">
        <v>1</v>
      </c>
      <c r="BM134" t="n">
        <v>41540</v>
      </c>
      <c r="BN134" t="n">
        <v>0</v>
      </c>
      <c r="BO134" t="n">
        <v>44095</v>
      </c>
      <c r="BP134" t="inlineStr">
        <is>
          <t>O,O</t>
        </is>
      </c>
      <c r="BQ134" t="inlineStr">
        <is>
          <t>T1</t>
        </is>
      </c>
      <c r="BS134" t="n">
        <v>5.678382282137699</v>
      </c>
      <c r="BT134" t="n">
        <v>60820</v>
      </c>
      <c r="BV134" t="n">
        <v>7.142513240250361</v>
      </c>
      <c r="BY134" t="n">
        <v>296700</v>
      </c>
      <c r="BZ134" t="n">
        <v>7.142513240250361</v>
      </c>
      <c r="CP134" t="inlineStr">
        <is>
          <t>CSIG财务管理</t>
        </is>
      </c>
      <c r="CQ134" t="inlineStr">
        <is>
          <t>3,3</t>
        </is>
      </c>
      <c r="CR134" t="n">
        <v>10</v>
      </c>
      <c r="CS134" t="inlineStr">
        <is>
          <t>T1</t>
        </is>
      </c>
      <c r="CT134" t="inlineStr">
        <is>
          <t>N</t>
        </is>
      </c>
    </row>
    <row r="135">
      <c r="A135" t="inlineStr">
        <is>
          <t>edwardWu(武熙)</t>
        </is>
      </c>
      <c r="C135" t="n">
        <v>68971332</v>
      </c>
      <c r="D135" t="inlineStr">
        <is>
          <t>风险管理和内部控制</t>
        </is>
      </c>
      <c r="E135" t="inlineStr">
        <is>
          <t>CSIG风控中心</t>
        </is>
      </c>
      <c r="G135" t="inlineStr">
        <is>
          <t>S2职能系统－财经线/风险管理和内部控制/CSIG风控中心</t>
        </is>
      </c>
      <c r="H135" s="188" t="n">
        <v>36754</v>
      </c>
      <c r="I135" t="inlineStr">
        <is>
          <t>社会招聘</t>
        </is>
      </c>
      <c r="J135" t="inlineStr">
        <is>
          <t>财经类－FN</t>
        </is>
      </c>
      <c r="K135" t="inlineStr">
        <is>
          <t>风险管理</t>
        </is>
      </c>
      <c r="L135" t="inlineStr">
        <is>
          <t>S9</t>
        </is>
      </c>
      <c r="N135" t="inlineStr">
        <is>
          <t>T1#</t>
        </is>
      </c>
      <c r="Q135" t="inlineStr">
        <is>
          <t>G,G</t>
        </is>
      </c>
      <c r="U135" t="n">
        <v>32017.35</v>
      </c>
      <c r="V135" t="n">
        <v>0.083333</v>
      </c>
      <c r="W135" t="inlineStr">
        <is>
          <t>CNY</t>
        </is>
      </c>
      <c r="X135" t="n">
        <v>1</v>
      </c>
      <c r="Y135" t="n">
        <v>30238.26</v>
      </c>
      <c r="Z135" t="n">
        <v>0</v>
      </c>
      <c r="AA135" t="n">
        <v>64034.7</v>
      </c>
      <c r="AF135" t="n">
        <v>0</v>
      </c>
      <c r="AG135" t="n">
        <v>218714.7</v>
      </c>
      <c r="AH135" t="n">
        <v>7.233045155376004</v>
      </c>
      <c r="AJ135" t="n">
        <v>7.233045155376004</v>
      </c>
      <c r="AK135" t="n">
        <v>5.819107977773854</v>
      </c>
      <c r="AQ135" t="n">
        <v>218714.7</v>
      </c>
      <c r="AR135" t="n">
        <v>7.233045155376004</v>
      </c>
      <c r="AS135" t="n">
        <v>1.213564710778194</v>
      </c>
      <c r="BL135" t="n">
        <v>1</v>
      </c>
      <c r="BM135" t="n">
        <v>26955</v>
      </c>
      <c r="BN135" t="n">
        <v>0</v>
      </c>
      <c r="BO135" t="n">
        <v>27185</v>
      </c>
      <c r="BP135" t="inlineStr">
        <is>
          <t>G,G</t>
        </is>
      </c>
      <c r="BQ135" t="inlineStr">
        <is>
          <t>T1#</t>
        </is>
      </c>
      <c r="BS135" t="n">
        <v>5.486551660174364</v>
      </c>
      <c r="BT135" t="n">
        <v>32335</v>
      </c>
      <c r="BV135" t="n">
        <v>6.686143572621035</v>
      </c>
      <c r="BY135" t="n">
        <v>180225</v>
      </c>
      <c r="BZ135" t="n">
        <v>6.686143572621035</v>
      </c>
      <c r="CP135" t="inlineStr">
        <is>
          <t>风险管理和内部控制</t>
        </is>
      </c>
      <c r="CQ135" t="inlineStr">
        <is>
          <t>3,3</t>
        </is>
      </c>
      <c r="CR135" t="n">
        <v>9</v>
      </c>
      <c r="CS135" t="inlineStr">
        <is>
          <t>T1#</t>
        </is>
      </c>
      <c r="CT135" t="inlineStr">
        <is>
          <t>N</t>
        </is>
      </c>
    </row>
    <row r="136">
      <c r="A136" t="inlineStr">
        <is>
          <t>haroldYin(尹华)</t>
        </is>
      </c>
      <c r="C136" t="n">
        <v>77028725</v>
      </c>
      <c r="D136" t="inlineStr">
        <is>
          <t>在线视频财务管理中心</t>
        </is>
      </c>
      <c r="E136" t="inlineStr">
        <is>
          <t>OVB长视频财务管理组</t>
        </is>
      </c>
      <c r="G136" t="inlineStr">
        <is>
          <t>S2职能系统－财经线/在线视频财务管理中心/OVB长视频财务管理组</t>
        </is>
      </c>
      <c r="H136" s="188" t="n">
        <v>36143</v>
      </c>
      <c r="I136" t="inlineStr">
        <is>
          <t>社会招聘</t>
        </is>
      </c>
      <c r="J136" t="inlineStr">
        <is>
          <t>财经类－FN</t>
        </is>
      </c>
      <c r="K136" t="inlineStr">
        <is>
          <t>财务管理</t>
        </is>
      </c>
      <c r="L136" t="inlineStr">
        <is>
          <t>S8</t>
        </is>
      </c>
      <c r="N136" t="inlineStr">
        <is>
          <t>Others</t>
        </is>
      </c>
      <c r="Q136" t="inlineStr">
        <is>
          <t>G,G</t>
        </is>
      </c>
      <c r="U136" t="n">
        <v>43503.75</v>
      </c>
      <c r="V136" t="n">
        <v>0.083333</v>
      </c>
      <c r="W136" t="inlineStr">
        <is>
          <t>CNY</t>
        </is>
      </c>
      <c r="X136" t="n">
        <v>1</v>
      </c>
      <c r="Y136" t="n">
        <v>39468.85</v>
      </c>
      <c r="Z136" t="n">
        <v>0</v>
      </c>
      <c r="AA136" t="n">
        <v>87007.5</v>
      </c>
      <c r="AF136" t="n">
        <v>0</v>
      </c>
      <c r="AG136" t="n">
        <v>113172.5</v>
      </c>
      <c r="AH136" t="n">
        <v>2.867387826095769</v>
      </c>
      <c r="AJ136" t="n">
        <v>2.867387826095769</v>
      </c>
      <c r="AK136" t="n">
        <v>2.867387826095769</v>
      </c>
      <c r="AQ136" t="n">
        <v>113172.5</v>
      </c>
      <c r="AR136" t="n">
        <v>2.867387826095769</v>
      </c>
      <c r="AS136" t="n">
        <v>0.9631292285434663</v>
      </c>
      <c r="BL136" t="n">
        <v>1</v>
      </c>
      <c r="BM136" t="n">
        <v>34900</v>
      </c>
      <c r="BN136" t="n">
        <v>0</v>
      </c>
      <c r="BO136" t="n">
        <v>36445</v>
      </c>
      <c r="BP136" t="inlineStr">
        <is>
          <t>G,G</t>
        </is>
      </c>
      <c r="BQ136" t="inlineStr">
        <is>
          <t>Others</t>
        </is>
      </c>
      <c r="BS136" t="n">
        <v>3.366905444126075</v>
      </c>
      <c r="BT136" t="n">
        <v>0</v>
      </c>
      <c r="BV136" t="n">
        <v>3.366905444126075</v>
      </c>
      <c r="BY136" t="n">
        <v>117505</v>
      </c>
      <c r="BZ136" t="n">
        <v>3.366905444126075</v>
      </c>
      <c r="CP136" t="inlineStr">
        <is>
          <t>在线视频财务管理中心</t>
        </is>
      </c>
      <c r="CQ136" t="inlineStr">
        <is>
          <t>3,3</t>
        </is>
      </c>
      <c r="CR136" t="n">
        <v>8</v>
      </c>
      <c r="CS136" t="inlineStr">
        <is>
          <t>Others</t>
        </is>
      </c>
      <c r="CT136" t="inlineStr">
        <is>
          <t>N</t>
        </is>
      </c>
    </row>
    <row r="137">
      <c r="A137" t="inlineStr">
        <is>
          <t>marthaXiao(萧姗)</t>
        </is>
      </c>
      <c r="C137" t="n">
        <v>10456173</v>
      </c>
      <c r="D137" t="inlineStr">
        <is>
          <t>财经IT管理部</t>
        </is>
      </c>
      <c r="E137" t="inlineStr">
        <is>
          <t>中台开发中心</t>
        </is>
      </c>
      <c r="G137" t="inlineStr">
        <is>
          <t>S2职能系统－财经线/财经IT管理部/中台开发中心</t>
        </is>
      </c>
      <c r="H137" s="188" t="n">
        <v>45504</v>
      </c>
      <c r="I137" t="inlineStr">
        <is>
          <t>社会招聘</t>
        </is>
      </c>
      <c r="J137" t="inlineStr">
        <is>
          <t>技术研发类－TRD</t>
        </is>
      </c>
      <c r="K137" t="inlineStr">
        <is>
          <t>应用开发</t>
        </is>
      </c>
      <c r="L137" t="inlineStr">
        <is>
          <t>T11</t>
        </is>
      </c>
      <c r="N137" t="inlineStr">
        <is>
          <t>T1</t>
        </is>
      </c>
      <c r="Q137" t="inlineStr">
        <is>
          <t>N,G</t>
        </is>
      </c>
      <c r="U137" t="n">
        <v>67499.05</v>
      </c>
      <c r="V137" t="n">
        <v>0.083333</v>
      </c>
      <c r="W137" t="inlineStr">
        <is>
          <t>CNY</t>
        </is>
      </c>
      <c r="X137" t="n">
        <v>0.419178</v>
      </c>
      <c r="Y137" t="n">
        <v>67499.05</v>
      </c>
      <c r="Z137" t="n">
        <v>0</v>
      </c>
      <c r="AA137" t="n">
        <v>28294.12</v>
      </c>
      <c r="AF137" t="n">
        <v>0</v>
      </c>
      <c r="AG137" t="n">
        <v>28294.12</v>
      </c>
      <c r="AH137" t="n">
        <v>0.4191780476910416</v>
      </c>
      <c r="AJ137" t="n">
        <v>0.4191780476910416</v>
      </c>
      <c r="AK137" t="n">
        <v>0.4191780476910416</v>
      </c>
      <c r="AQ137" t="n">
        <v>28294.12</v>
      </c>
      <c r="AR137" t="n">
        <v>0.4191780476910416</v>
      </c>
      <c r="BM137" t="n">
        <v>0</v>
      </c>
      <c r="BN137" t="n">
        <v>0</v>
      </c>
      <c r="BO137" t="n">
        <v>0</v>
      </c>
      <c r="BT137" t="n">
        <v>0</v>
      </c>
      <c r="BY137" t="n">
        <v>0</v>
      </c>
      <c r="CP137" t="inlineStr">
        <is>
          <t>财经IT管理部</t>
        </is>
      </c>
      <c r="CQ137" t="n">
        <v>3</v>
      </c>
      <c r="CR137" t="n">
        <v>11</v>
      </c>
      <c r="CS137" t="inlineStr">
        <is>
          <t>T1</t>
        </is>
      </c>
      <c r="CT137" t="inlineStr">
        <is>
          <t>N</t>
        </is>
      </c>
    </row>
    <row r="138">
      <c r="A138" t="inlineStr">
        <is>
          <t>ernestWan(万荣力)</t>
        </is>
      </c>
      <c r="C138" t="n">
        <v>93134386</v>
      </c>
      <c r="D138" t="inlineStr">
        <is>
          <t>财会及报告管理部</t>
        </is>
      </c>
      <c r="E138" t="inlineStr">
        <is>
          <t>海外财会管理中心</t>
        </is>
      </c>
      <c r="G138" t="inlineStr">
        <is>
          <t>S2职能系统－财经线/财会及报告管理部/海外财会管理中心</t>
        </is>
      </c>
      <c r="H138" s="188" t="n">
        <v>38731</v>
      </c>
      <c r="I138" t="inlineStr">
        <is>
          <t>社会招聘</t>
        </is>
      </c>
      <c r="J138" t="inlineStr">
        <is>
          <t>财经类－FN</t>
        </is>
      </c>
      <c r="K138" t="inlineStr">
        <is>
          <t>会计</t>
        </is>
      </c>
      <c r="L138" t="inlineStr">
        <is>
          <t>S9</t>
        </is>
      </c>
      <c r="N138" t="inlineStr">
        <is>
          <t>T2</t>
        </is>
      </c>
      <c r="Q138" t="inlineStr">
        <is>
          <t>O,G</t>
        </is>
      </c>
      <c r="U138" t="n">
        <v>41519.9</v>
      </c>
      <c r="V138" t="n">
        <v>0.083333</v>
      </c>
      <c r="W138" t="inlineStr">
        <is>
          <t>CNY</t>
        </is>
      </c>
      <c r="X138" t="n">
        <v>1</v>
      </c>
      <c r="Y138" t="n">
        <v>38710.03</v>
      </c>
      <c r="Z138" t="n">
        <v>0</v>
      </c>
      <c r="AA138" t="n">
        <v>124559.7</v>
      </c>
      <c r="AF138" t="n">
        <v>0</v>
      </c>
      <c r="AG138" t="n">
        <v>171879.7</v>
      </c>
      <c r="AH138" t="n">
        <v>4.440185140647011</v>
      </c>
      <c r="AJ138" t="n">
        <v>4.440185140647011</v>
      </c>
      <c r="AK138" t="n">
        <v>4.440185140647011</v>
      </c>
      <c r="AQ138" t="n">
        <v>171879.7</v>
      </c>
      <c r="AR138" t="n">
        <v>4.440185140647011</v>
      </c>
      <c r="AS138" t="n">
        <v>1.058177060887767</v>
      </c>
      <c r="BL138" t="n">
        <v>1</v>
      </c>
      <c r="BM138" t="n">
        <v>35815</v>
      </c>
      <c r="BN138" t="n">
        <v>0</v>
      </c>
      <c r="BO138" t="n">
        <v>38140</v>
      </c>
      <c r="BP138" t="inlineStr">
        <is>
          <t>G,O</t>
        </is>
      </c>
      <c r="BQ138" t="inlineStr">
        <is>
          <t>T2</t>
        </is>
      </c>
      <c r="BS138" t="n">
        <v>4.535250593326818</v>
      </c>
      <c r="BT138" t="n">
        <v>0</v>
      </c>
      <c r="BV138" t="n">
        <v>4.535250593326818</v>
      </c>
      <c r="BY138" t="n">
        <v>162430</v>
      </c>
      <c r="BZ138" t="n">
        <v>4.535250593326818</v>
      </c>
      <c r="CP138" t="inlineStr">
        <is>
          <t>财会及报告管理部</t>
        </is>
      </c>
      <c r="CQ138" t="inlineStr">
        <is>
          <t>5,3</t>
        </is>
      </c>
      <c r="CR138" t="n">
        <v>9</v>
      </c>
      <c r="CS138" t="inlineStr">
        <is>
          <t>T2</t>
        </is>
      </c>
      <c r="CT138" t="inlineStr">
        <is>
          <t>N</t>
        </is>
      </c>
    </row>
    <row r="139">
      <c r="A139" t="inlineStr">
        <is>
          <t>chloeLu(陆玲曼)</t>
        </is>
      </c>
      <c r="C139" t="n">
        <v>73978729</v>
      </c>
      <c r="D139" t="inlineStr">
        <is>
          <t>税务部</t>
        </is>
      </c>
      <c r="E139" t="inlineStr">
        <is>
          <t>印章及文档管理组</t>
        </is>
      </c>
      <c r="G139" t="inlineStr">
        <is>
          <t>S2职能系统－财经线/税务部/印章及文档管理组</t>
        </is>
      </c>
      <c r="H139" s="188" t="n">
        <v>40847</v>
      </c>
      <c r="I139" t="inlineStr">
        <is>
          <t>高校招聘</t>
        </is>
      </c>
      <c r="J139" t="inlineStr">
        <is>
          <t>财经类－FN</t>
        </is>
      </c>
      <c r="K139" t="inlineStr">
        <is>
          <t>税务</t>
        </is>
      </c>
      <c r="M139" t="inlineStr">
        <is>
          <t>L3-3</t>
        </is>
      </c>
      <c r="N139" t="inlineStr">
        <is>
          <t>T1</t>
        </is>
      </c>
      <c r="Q139" t="inlineStr">
        <is>
          <t>G,O</t>
        </is>
      </c>
      <c r="U139" t="n">
        <v>59850</v>
      </c>
      <c r="V139" t="n">
        <v>0.083333</v>
      </c>
      <c r="W139" t="inlineStr">
        <is>
          <t>CNY</t>
        </is>
      </c>
      <c r="X139" t="n">
        <v>1</v>
      </c>
      <c r="Y139" t="n">
        <v>56907.32</v>
      </c>
      <c r="Z139" t="n">
        <v>0</v>
      </c>
      <c r="AA139" t="n">
        <v>179550</v>
      </c>
      <c r="AF139" t="n">
        <v>3275</v>
      </c>
      <c r="AG139" t="n">
        <v>410300</v>
      </c>
      <c r="AH139" t="n">
        <v>7.209968770274193</v>
      </c>
      <c r="AJ139" t="n">
        <v>7.267518484441018</v>
      </c>
      <c r="AK139" t="n">
        <v>5.489012661288565</v>
      </c>
      <c r="AQ139" t="n">
        <v>413575</v>
      </c>
      <c r="AR139" t="n">
        <v>7.267518484441018</v>
      </c>
      <c r="AS139" t="n">
        <v>1.568383928402131</v>
      </c>
      <c r="BL139" t="n">
        <v>1</v>
      </c>
      <c r="BM139" t="n">
        <v>47905</v>
      </c>
      <c r="BN139" t="n">
        <v>0</v>
      </c>
      <c r="BO139" t="n">
        <v>49410</v>
      </c>
      <c r="BP139" t="inlineStr">
        <is>
          <t>G,O</t>
        </is>
      </c>
      <c r="BQ139" t="inlineStr">
        <is>
          <t>T1</t>
        </is>
      </c>
      <c r="BS139" t="n">
        <v>4.440246320843336</v>
      </c>
      <c r="BT139" t="n">
        <v>50985</v>
      </c>
      <c r="BV139" t="n">
        <v>5.504540235883519</v>
      </c>
      <c r="BY139" t="n">
        <v>263695</v>
      </c>
      <c r="BZ139" t="n">
        <v>5.504540235883519</v>
      </c>
      <c r="CP139" t="inlineStr">
        <is>
          <t>税务部</t>
        </is>
      </c>
      <c r="CQ139" t="inlineStr">
        <is>
          <t>5,3</t>
        </is>
      </c>
      <c r="CR139" t="inlineStr">
        <is>
          <t>L3-3</t>
        </is>
      </c>
      <c r="CS139" t="inlineStr">
        <is>
          <t>T1</t>
        </is>
      </c>
      <c r="CT139" t="inlineStr">
        <is>
          <t>N</t>
        </is>
      </c>
    </row>
    <row r="140">
      <c r="A140" t="inlineStr">
        <is>
          <t>andrewTan(谭宏博)</t>
        </is>
      </c>
      <c r="C140" t="n">
        <v>47219179</v>
      </c>
      <c r="D140" t="inlineStr">
        <is>
          <t>财经IT管理部</t>
        </is>
      </c>
      <c r="E140" t="inlineStr">
        <is>
          <t>中台开发中心</t>
        </is>
      </c>
      <c r="G140" t="inlineStr">
        <is>
          <t>S2职能系统－财经线/财经IT管理部/中台开发中心</t>
        </is>
      </c>
      <c r="H140" s="188" t="n">
        <v>42005</v>
      </c>
      <c r="I140" t="inlineStr">
        <is>
          <t>社会招聘</t>
        </is>
      </c>
      <c r="J140" t="inlineStr">
        <is>
          <t>技术研发类－TRD</t>
        </is>
      </c>
      <c r="K140" t="inlineStr">
        <is>
          <t>应用开发</t>
        </is>
      </c>
      <c r="L140" t="inlineStr">
        <is>
          <t>T10</t>
        </is>
      </c>
      <c r="N140" t="inlineStr">
        <is>
          <t>T1#</t>
        </is>
      </c>
      <c r="Q140" t="inlineStr">
        <is>
          <t>G,O</t>
        </is>
      </c>
      <c r="U140" t="n">
        <v>42315.15</v>
      </c>
      <c r="V140" t="n">
        <v>0.083333</v>
      </c>
      <c r="W140" t="inlineStr">
        <is>
          <t>CNY</t>
        </is>
      </c>
      <c r="X140" t="n">
        <v>1</v>
      </c>
      <c r="Y140" t="n">
        <v>40534.16</v>
      </c>
      <c r="Z140" t="n">
        <v>0</v>
      </c>
      <c r="AA140" t="n">
        <v>126945.45</v>
      </c>
      <c r="AF140" t="n">
        <v>0</v>
      </c>
      <c r="AG140" t="n">
        <v>338995.45</v>
      </c>
      <c r="AH140" t="n">
        <v>8.363204023470573</v>
      </c>
      <c r="AJ140" t="n">
        <v>8.363204023470573</v>
      </c>
      <c r="AK140" t="n">
        <v>6.72051548619732</v>
      </c>
      <c r="AQ140" t="n">
        <v>338995.45</v>
      </c>
      <c r="AR140" t="n">
        <v>8.363204023470573</v>
      </c>
      <c r="AS140" t="n">
        <v>1.204589048397413</v>
      </c>
      <c r="BL140" t="n">
        <v>1</v>
      </c>
      <c r="BM140" t="n">
        <v>35945</v>
      </c>
      <c r="BN140" t="n">
        <v>0</v>
      </c>
      <c r="BO140" t="n">
        <v>36565</v>
      </c>
      <c r="BP140" t="inlineStr">
        <is>
          <t>G,O</t>
        </is>
      </c>
      <c r="BQ140" t="inlineStr">
        <is>
          <t>T1#</t>
        </is>
      </c>
      <c r="BS140" t="n">
        <v>6.519404645986924</v>
      </c>
      <c r="BT140" t="n">
        <v>47080</v>
      </c>
      <c r="BV140" t="n">
        <v>7.829183474753095</v>
      </c>
      <c r="BY140" t="n">
        <v>281420</v>
      </c>
      <c r="BZ140" t="n">
        <v>7.829183474753095</v>
      </c>
      <c r="CP140" t="inlineStr">
        <is>
          <t>财经IT管理部</t>
        </is>
      </c>
      <c r="CQ140" t="inlineStr">
        <is>
          <t>5,3</t>
        </is>
      </c>
      <c r="CR140" t="n">
        <v>10</v>
      </c>
      <c r="CS140" t="inlineStr">
        <is>
          <t>T1#</t>
        </is>
      </c>
      <c r="CT140" t="inlineStr">
        <is>
          <t>N</t>
        </is>
      </c>
    </row>
    <row r="141">
      <c r="A141" t="inlineStr">
        <is>
          <t>madelynHu(胡颖)</t>
        </is>
      </c>
      <c r="C141" t="n">
        <v>8109977</v>
      </c>
      <c r="D141" t="inlineStr">
        <is>
          <t>资金管理</t>
        </is>
      </c>
      <c r="E141" t="inlineStr">
        <is>
          <t>融资及资金筹划中心</t>
        </is>
      </c>
      <c r="G141" t="inlineStr">
        <is>
          <t>S2职能系统－财经线/资金管理/融资及资金筹划中心</t>
        </is>
      </c>
      <c r="H141" s="188" t="n">
        <v>43591</v>
      </c>
      <c r="I141" t="inlineStr">
        <is>
          <t>社会招聘</t>
        </is>
      </c>
      <c r="J141" t="inlineStr">
        <is>
          <t>财经类－FN</t>
        </is>
      </c>
      <c r="K141" t="inlineStr">
        <is>
          <t>资金管理</t>
        </is>
      </c>
      <c r="L141" t="inlineStr">
        <is>
          <t>S8</t>
        </is>
      </c>
      <c r="N141" t="inlineStr">
        <is>
          <t>T2</t>
        </is>
      </c>
      <c r="Q141" t="inlineStr">
        <is>
          <t>G,G</t>
        </is>
      </c>
      <c r="U141" t="n">
        <v>51337.3</v>
      </c>
      <c r="V141" t="n">
        <v>0.083333</v>
      </c>
      <c r="W141" t="inlineStr">
        <is>
          <t>CNY</t>
        </is>
      </c>
      <c r="X141" t="n">
        <v>1</v>
      </c>
      <c r="Y141" t="n">
        <v>48072.81</v>
      </c>
      <c r="Z141" t="n">
        <v>0</v>
      </c>
      <c r="AA141" t="n">
        <v>102674.6</v>
      </c>
      <c r="AF141" t="n">
        <v>0</v>
      </c>
      <c r="AG141" t="n">
        <v>155654.6</v>
      </c>
      <c r="AH141" t="n">
        <v>3.237892688195261</v>
      </c>
      <c r="AJ141" t="n">
        <v>3.237892688195261</v>
      </c>
      <c r="AK141" t="n">
        <v>3.237892688195261</v>
      </c>
      <c r="AQ141" t="n">
        <v>155654.6</v>
      </c>
      <c r="AR141" t="n">
        <v>3.237892688195261</v>
      </c>
      <c r="AS141" t="n">
        <v>1.210660340670452</v>
      </c>
      <c r="BL141" t="n">
        <v>1</v>
      </c>
      <c r="BM141" t="n">
        <v>42440</v>
      </c>
      <c r="BN141" t="n">
        <v>0</v>
      </c>
      <c r="BO141" t="n">
        <v>42790</v>
      </c>
      <c r="BP141" t="inlineStr">
        <is>
          <t>G,G</t>
        </is>
      </c>
      <c r="BQ141" t="inlineStr">
        <is>
          <t>T2</t>
        </is>
      </c>
      <c r="BS141" t="n">
        <v>3.029453345900094</v>
      </c>
      <c r="BT141" t="n">
        <v>0</v>
      </c>
      <c r="BV141" t="n">
        <v>3.029453345900094</v>
      </c>
      <c r="BY141" t="n">
        <v>128570</v>
      </c>
      <c r="BZ141" t="n">
        <v>3.029453345900094</v>
      </c>
      <c r="CP141" t="inlineStr">
        <is>
          <t>资金管理</t>
        </is>
      </c>
      <c r="CQ141" t="inlineStr">
        <is>
          <t>3,3</t>
        </is>
      </c>
      <c r="CR141" t="n">
        <v>8</v>
      </c>
      <c r="CS141" t="inlineStr">
        <is>
          <t>T2</t>
        </is>
      </c>
      <c r="CT141" t="inlineStr">
        <is>
          <t>N</t>
        </is>
      </c>
    </row>
    <row r="142">
      <c r="A142" t="inlineStr">
        <is>
          <t>lisaXu(徐冰)</t>
        </is>
      </c>
      <c r="C142" t="n">
        <v>24412806</v>
      </c>
      <c r="D142" t="inlineStr">
        <is>
          <t>TEG财务管理</t>
        </is>
      </c>
      <c r="E142" t="inlineStr">
        <is>
          <t>TEG财务管理</t>
        </is>
      </c>
      <c r="G142" t="inlineStr">
        <is>
          <t>S2职能系统－财经线/TEG财务管理</t>
        </is>
      </c>
      <c r="H142" s="188" t="n">
        <v>37623</v>
      </c>
      <c r="I142" t="inlineStr">
        <is>
          <t>社会招聘</t>
        </is>
      </c>
      <c r="J142" t="inlineStr">
        <is>
          <t>财经类－FN</t>
        </is>
      </c>
      <c r="K142" t="inlineStr">
        <is>
          <t>财务管理</t>
        </is>
      </c>
      <c r="M142" t="inlineStr">
        <is>
          <t>L3-2</t>
        </is>
      </c>
      <c r="N142" t="inlineStr">
        <is>
          <t>T1</t>
        </is>
      </c>
      <c r="Q142" t="inlineStr">
        <is>
          <t>U,G</t>
        </is>
      </c>
      <c r="U142" t="n">
        <v>57193.65</v>
      </c>
      <c r="V142" t="n">
        <v>0.083333</v>
      </c>
      <c r="W142" t="inlineStr">
        <is>
          <t>CNY</t>
        </is>
      </c>
      <c r="X142" t="n">
        <v>1</v>
      </c>
      <c r="Y142" t="n">
        <v>51900.9</v>
      </c>
      <c r="Z142" t="n">
        <v>0</v>
      </c>
      <c r="AA142" t="n">
        <v>57193.65</v>
      </c>
      <c r="AF142" t="n">
        <v>16925</v>
      </c>
      <c r="AG142" t="n">
        <v>172413.65</v>
      </c>
      <c r="AH142" t="n">
        <v>3.321978038916473</v>
      </c>
      <c r="AJ142" t="n">
        <v>3.648080283771572</v>
      </c>
      <c r="AK142" t="n">
        <v>3.648080283771572</v>
      </c>
      <c r="AQ142" t="n">
        <v>189338.65</v>
      </c>
      <c r="AR142" t="n">
        <v>3.648080283771572</v>
      </c>
      <c r="AS142" t="n">
        <v>0.4932813578751286</v>
      </c>
      <c r="BL142" t="n">
        <v>1</v>
      </c>
      <c r="BM142" t="n">
        <v>47905</v>
      </c>
      <c r="BN142" t="n">
        <v>0</v>
      </c>
      <c r="BO142" t="n">
        <v>51865</v>
      </c>
      <c r="BP142" t="inlineStr">
        <is>
          <t>O,G</t>
        </is>
      </c>
      <c r="BQ142" t="inlineStr">
        <is>
          <t>T1#</t>
        </is>
      </c>
      <c r="BS142" t="n">
        <v>6.699091952823296</v>
      </c>
      <c r="BT142" t="n">
        <v>62915</v>
      </c>
      <c r="BV142" t="n">
        <v>8.01242041540549</v>
      </c>
      <c r="BY142" t="n">
        <v>383835</v>
      </c>
      <c r="BZ142" t="n">
        <v>8.01242041540549</v>
      </c>
      <c r="CP142" t="inlineStr">
        <is>
          <t>TEG财务管理</t>
        </is>
      </c>
      <c r="CQ142" t="inlineStr">
        <is>
          <t>3,1</t>
        </is>
      </c>
      <c r="CR142" t="inlineStr">
        <is>
          <t>L3-2</t>
        </is>
      </c>
      <c r="CS142" t="inlineStr">
        <is>
          <t>T1</t>
        </is>
      </c>
      <c r="CT142" t="inlineStr">
        <is>
          <t>N</t>
        </is>
      </c>
    </row>
    <row r="143">
      <c r="A143" t="inlineStr">
        <is>
          <t>zoeDai(戴蓉莉)</t>
        </is>
      </c>
      <c r="C143" t="n">
        <v>70788350</v>
      </c>
      <c r="D143" t="inlineStr">
        <is>
          <t>风险管理和内部控制</t>
        </is>
      </c>
      <c r="E143" t="inlineStr">
        <is>
          <t>IEG风控中心</t>
        </is>
      </c>
      <c r="G143" t="inlineStr">
        <is>
          <t>S2职能系统－财经线/风险管理和内部控制/IEG风控中心</t>
        </is>
      </c>
      <c r="H143" s="188" t="n">
        <v>40612</v>
      </c>
      <c r="I143" t="inlineStr">
        <is>
          <t>社会招聘</t>
        </is>
      </c>
      <c r="J143" t="inlineStr">
        <is>
          <t>财经类－FN</t>
        </is>
      </c>
      <c r="K143" t="inlineStr">
        <is>
          <t>风险管理</t>
        </is>
      </c>
      <c r="L143" t="inlineStr">
        <is>
          <t>S8</t>
        </is>
      </c>
      <c r="N143" t="inlineStr">
        <is>
          <t>T1</t>
        </is>
      </c>
      <c r="Q143" t="inlineStr">
        <is>
          <t>G,U</t>
        </is>
      </c>
      <c r="U143" t="n">
        <v>41354.05</v>
      </c>
      <c r="V143" t="n">
        <v>0.083333</v>
      </c>
      <c r="W143" t="inlineStr">
        <is>
          <t>CNY</t>
        </is>
      </c>
      <c r="X143" t="n">
        <v>1</v>
      </c>
      <c r="Y143" t="n">
        <v>37237.66</v>
      </c>
      <c r="Z143" t="n">
        <v>0</v>
      </c>
      <c r="AA143" t="n">
        <v>41354.05</v>
      </c>
      <c r="AF143" t="n">
        <v>0</v>
      </c>
      <c r="AG143" t="n">
        <v>131334.05</v>
      </c>
      <c r="AH143" t="n">
        <v>3.526914687979856</v>
      </c>
      <c r="AJ143" t="n">
        <v>3.526914687979856</v>
      </c>
      <c r="AK143" t="n">
        <v>3.526914687979856</v>
      </c>
      <c r="AQ143" t="n">
        <v>131334.05</v>
      </c>
      <c r="AR143" t="n">
        <v>3.526914687979856</v>
      </c>
      <c r="AS143" t="n">
        <v>0.5485623290102959</v>
      </c>
      <c r="BL143" t="n">
        <v>1</v>
      </c>
      <c r="BM143" t="n">
        <v>35880</v>
      </c>
      <c r="BN143" t="n">
        <v>0</v>
      </c>
      <c r="BO143" t="n">
        <v>38410</v>
      </c>
      <c r="BP143" t="inlineStr">
        <is>
          <t>G,O</t>
        </is>
      </c>
      <c r="BQ143" t="inlineStr">
        <is>
          <t>T1</t>
        </is>
      </c>
      <c r="BS143" t="n">
        <v>4.540273132664437</v>
      </c>
      <c r="BT143" t="n">
        <v>76510</v>
      </c>
      <c r="BV143" t="n">
        <v>6.672658862876254</v>
      </c>
      <c r="BY143" t="n">
        <v>239415</v>
      </c>
      <c r="BZ143" t="n">
        <v>6.672658862876254</v>
      </c>
      <c r="CP143" t="inlineStr">
        <is>
          <t>风险管理和内部控制</t>
        </is>
      </c>
      <c r="CQ143" t="inlineStr">
        <is>
          <t>3,1</t>
        </is>
      </c>
      <c r="CR143" t="n">
        <v>8</v>
      </c>
      <c r="CS143" t="inlineStr">
        <is>
          <t>T1</t>
        </is>
      </c>
      <c r="CT143" t="inlineStr">
        <is>
          <t>N</t>
        </is>
      </c>
    </row>
    <row r="144">
      <c r="A144" t="inlineStr">
        <is>
          <t>madisonXiao(萧琳)</t>
        </is>
      </c>
      <c r="C144" t="n">
        <v>4519272</v>
      </c>
      <c r="D144" t="inlineStr">
        <is>
          <t>PCG财务管理</t>
        </is>
      </c>
      <c r="E144" t="inlineStr">
        <is>
          <t>在线视频财务管理中心</t>
        </is>
      </c>
      <c r="G144" t="inlineStr">
        <is>
          <t>S2职能系统－财经线/PCG财务管理/在线视频财务管理中心</t>
        </is>
      </c>
      <c r="H144" s="188" t="n">
        <v>45112</v>
      </c>
      <c r="I144" t="inlineStr">
        <is>
          <t>社会招聘</t>
        </is>
      </c>
      <c r="J144" t="inlineStr">
        <is>
          <t>财经类－FN</t>
        </is>
      </c>
      <c r="K144" t="inlineStr">
        <is>
          <t>财务管理</t>
        </is>
      </c>
      <c r="L144" t="inlineStr">
        <is>
          <t>S6</t>
        </is>
      </c>
      <c r="N144" t="inlineStr">
        <is>
          <t>T1</t>
        </is>
      </c>
      <c r="Q144" t="inlineStr">
        <is>
          <t>G,G</t>
        </is>
      </c>
      <c r="U144" t="n">
        <v>36593.65</v>
      </c>
      <c r="V144" t="n">
        <v>0.083333</v>
      </c>
      <c r="W144" t="inlineStr">
        <is>
          <t>CNY</t>
        </is>
      </c>
      <c r="X144" t="n">
        <v>1</v>
      </c>
      <c r="Y144" t="n">
        <v>35256.97</v>
      </c>
      <c r="Z144" t="n">
        <v>0</v>
      </c>
      <c r="AA144" t="n">
        <v>73187.3</v>
      </c>
      <c r="AF144" t="n">
        <v>0</v>
      </c>
      <c r="AG144" t="n">
        <v>217762.3</v>
      </c>
      <c r="AH144" t="n">
        <v>6.176432631618655</v>
      </c>
      <c r="AJ144" t="n">
        <v>6.176432631618655</v>
      </c>
      <c r="AK144" t="n">
        <v>4.581287047639091</v>
      </c>
      <c r="AQ144" t="n">
        <v>217762.3</v>
      </c>
      <c r="AR144" t="n">
        <v>6.176432631618655</v>
      </c>
      <c r="AS144" t="n">
        <v>15.10664585501214</v>
      </c>
      <c r="BL144" t="n">
        <v>0.490410958904109</v>
      </c>
      <c r="BM144" t="n">
        <v>29400</v>
      </c>
      <c r="BN144" t="n">
        <v>0</v>
      </c>
      <c r="BO144" t="n">
        <v>29400</v>
      </c>
      <c r="BP144" t="inlineStr">
        <is>
          <t>N,G</t>
        </is>
      </c>
      <c r="BQ144" t="inlineStr">
        <is>
          <t>T1</t>
        </is>
      </c>
      <c r="BS144" t="n">
        <v>0.4903061224489796</v>
      </c>
      <c r="BT144" t="n">
        <v>0</v>
      </c>
      <c r="BV144" t="n">
        <v>0.4903061224489796</v>
      </c>
      <c r="BY144" t="n">
        <v>14415</v>
      </c>
      <c r="BZ144" t="n">
        <v>0.4903061224489796</v>
      </c>
      <c r="CP144" t="inlineStr">
        <is>
          <t>PCG财务管理</t>
        </is>
      </c>
      <c r="CQ144" t="inlineStr">
        <is>
          <t>3,3</t>
        </is>
      </c>
      <c r="CR144" t="n">
        <v>6</v>
      </c>
      <c r="CS144" t="inlineStr">
        <is>
          <t>T1</t>
        </is>
      </c>
      <c r="CT144" t="inlineStr">
        <is>
          <t>N</t>
        </is>
      </c>
    </row>
    <row r="145">
      <c r="A145" t="inlineStr">
        <is>
          <t>albertDuan(段韬洋)</t>
        </is>
      </c>
      <c r="C145" t="n">
        <v>27332631</v>
      </c>
      <c r="D145" t="inlineStr">
        <is>
          <t>海外财经中心</t>
        </is>
      </c>
      <c r="E145" t="inlineStr">
        <is>
          <t>海外本地财务</t>
        </is>
      </c>
      <c r="G145" t="inlineStr">
        <is>
          <t>S2职能系统－财经线/海外财经中心/海外本地财务</t>
        </is>
      </c>
      <c r="H145" s="188" t="n">
        <v>43867</v>
      </c>
      <c r="I145" t="inlineStr">
        <is>
          <t>社会招聘</t>
        </is>
      </c>
      <c r="J145" t="inlineStr">
        <is>
          <t>财经类－FN</t>
        </is>
      </c>
      <c r="K145" t="inlineStr">
        <is>
          <t>财务管理</t>
        </is>
      </c>
      <c r="L145" t="inlineStr">
        <is>
          <t>S7</t>
        </is>
      </c>
      <c r="N145" t="inlineStr">
        <is>
          <t>T2</t>
        </is>
      </c>
      <c r="Q145" t="inlineStr">
        <is>
          <t>G,O</t>
        </is>
      </c>
      <c r="U145" t="n">
        <v>37324.7</v>
      </c>
      <c r="V145" t="n">
        <v>0.083333</v>
      </c>
      <c r="W145" t="inlineStr">
        <is>
          <t>CNY</t>
        </is>
      </c>
      <c r="X145" t="n">
        <v>1</v>
      </c>
      <c r="Y145" t="n">
        <v>36910.94</v>
      </c>
      <c r="Z145" t="n">
        <v>0</v>
      </c>
      <c r="AA145" t="n">
        <v>111974.1</v>
      </c>
      <c r="AF145" t="n">
        <v>0</v>
      </c>
      <c r="AG145" t="n">
        <v>152609.1</v>
      </c>
      <c r="AH145" t="n">
        <v>4.134522176893896</v>
      </c>
      <c r="AJ145" t="n">
        <v>4.134522176893896</v>
      </c>
      <c r="AK145" t="n">
        <v>4.134522176893896</v>
      </c>
      <c r="AQ145" t="n">
        <v>152609.1</v>
      </c>
      <c r="AR145" t="n">
        <v>4.134522176893896</v>
      </c>
      <c r="AS145" t="n">
        <v>1.090727227245113</v>
      </c>
      <c r="BL145" t="n">
        <v>1</v>
      </c>
      <c r="BM145" t="n">
        <v>32920</v>
      </c>
      <c r="BN145" t="n">
        <v>0</v>
      </c>
      <c r="BO145" t="n">
        <v>33565</v>
      </c>
      <c r="BP145" t="inlineStr">
        <is>
          <t>O,G</t>
        </is>
      </c>
      <c r="BQ145" t="inlineStr">
        <is>
          <t>T2</t>
        </is>
      </c>
      <c r="BS145" t="n">
        <v>4.250151883353585</v>
      </c>
      <c r="BT145" t="n">
        <v>0</v>
      </c>
      <c r="BV145" t="n">
        <v>4.250151883353585</v>
      </c>
      <c r="BY145" t="n">
        <v>139915</v>
      </c>
      <c r="BZ145" t="n">
        <v>4.250151883353585</v>
      </c>
      <c r="CP145" t="inlineStr">
        <is>
          <t>海外财经中心</t>
        </is>
      </c>
      <c r="CQ145" t="inlineStr">
        <is>
          <t>5,3</t>
        </is>
      </c>
      <c r="CR145" t="n">
        <v>7</v>
      </c>
      <c r="CS145" t="inlineStr">
        <is>
          <t>T2</t>
        </is>
      </c>
      <c r="CT145" t="inlineStr">
        <is>
          <t>N</t>
        </is>
      </c>
    </row>
    <row r="146">
      <c r="A146" t="inlineStr">
        <is>
          <t>austinJiang(蒋波)</t>
        </is>
      </c>
      <c r="C146" t="n">
        <v>45492235</v>
      </c>
      <c r="D146" t="inlineStr">
        <is>
          <t>FiT财务管理</t>
        </is>
      </c>
      <c r="E146" t="inlineStr">
        <is>
          <t>结算支持中心</t>
        </is>
      </c>
      <c r="G146" t="inlineStr">
        <is>
          <t>S2职能系统－财经线/FiT财务管理/结算支持中心</t>
        </is>
      </c>
      <c r="H146" s="188" t="n">
        <v>37645</v>
      </c>
      <c r="I146" t="inlineStr">
        <is>
          <t>高校招聘</t>
        </is>
      </c>
      <c r="J146" t="inlineStr">
        <is>
          <t>财经类－FN</t>
        </is>
      </c>
      <c r="K146" t="inlineStr">
        <is>
          <t>财务管理</t>
        </is>
      </c>
      <c r="L146" t="inlineStr">
        <is>
          <t>S11</t>
        </is>
      </c>
      <c r="N146" t="inlineStr">
        <is>
          <t>T1#</t>
        </is>
      </c>
      <c r="Q146" t="inlineStr">
        <is>
          <t>G,G</t>
        </is>
      </c>
      <c r="U146" t="n">
        <v>62439.25</v>
      </c>
      <c r="V146" t="n">
        <v>0.083333</v>
      </c>
      <c r="W146" t="inlineStr">
        <is>
          <t>CNY</t>
        </is>
      </c>
      <c r="X146" t="n">
        <v>1</v>
      </c>
      <c r="Y146" t="n">
        <v>57772.18</v>
      </c>
      <c r="Z146" t="n">
        <v>0</v>
      </c>
      <c r="AA146" t="n">
        <v>124878.5</v>
      </c>
      <c r="AF146" t="n">
        <v>0</v>
      </c>
      <c r="AG146" t="n">
        <v>446523.5</v>
      </c>
      <c r="AH146" t="n">
        <v>7.729040171238129</v>
      </c>
      <c r="AJ146" t="n">
        <v>7.729040171238129</v>
      </c>
      <c r="AK146" t="n">
        <v>5.705834538353927</v>
      </c>
      <c r="AQ146" t="n">
        <v>446523.5</v>
      </c>
      <c r="AR146" t="n">
        <v>7.729040171238129</v>
      </c>
      <c r="AS146" t="n">
        <v>1.221762090430262</v>
      </c>
      <c r="BL146" t="n">
        <v>1</v>
      </c>
      <c r="BM146" t="n">
        <v>55525</v>
      </c>
      <c r="BN146" t="n">
        <v>0</v>
      </c>
      <c r="BO146" t="n">
        <v>57820</v>
      </c>
      <c r="BP146" t="inlineStr">
        <is>
          <t>G,G</t>
        </is>
      </c>
      <c r="BQ146" t="inlineStr">
        <is>
          <t>T1#</t>
        </is>
      </c>
      <c r="BS146" t="n">
        <v>5.294912201710941</v>
      </c>
      <c r="BT146" t="n">
        <v>71475</v>
      </c>
      <c r="BV146" t="n">
        <v>6.582170193606483</v>
      </c>
      <c r="BY146" t="n">
        <v>365475</v>
      </c>
      <c r="BZ146" t="n">
        <v>6.582170193606483</v>
      </c>
      <c r="CP146" t="inlineStr">
        <is>
          <t>FiT财务管理</t>
        </is>
      </c>
      <c r="CQ146" t="inlineStr">
        <is>
          <t>3,3</t>
        </is>
      </c>
      <c r="CR146" t="n">
        <v>11</v>
      </c>
      <c r="CS146" t="inlineStr">
        <is>
          <t>T1#</t>
        </is>
      </c>
      <c r="CT146" t="inlineStr">
        <is>
          <t>N</t>
        </is>
      </c>
    </row>
    <row r="147">
      <c r="A147" t="inlineStr">
        <is>
          <t>miaJiang(姜涵)</t>
        </is>
      </c>
      <c r="C147" t="n">
        <v>6113345</v>
      </c>
      <c r="D147" t="inlineStr">
        <is>
          <t>税务部</t>
        </is>
      </c>
      <c r="E147" t="inlineStr">
        <is>
          <t>税务部</t>
        </is>
      </c>
      <c r="G147" t="inlineStr">
        <is>
          <t>S2职能系统－财经线/税务部</t>
        </is>
      </c>
      <c r="H147" s="188" t="n">
        <v>41028</v>
      </c>
      <c r="I147" t="inlineStr">
        <is>
          <t>高校招聘</t>
        </is>
      </c>
      <c r="J147" t="inlineStr">
        <is>
          <t>财经类－FN</t>
        </is>
      </c>
      <c r="K147" t="inlineStr">
        <is>
          <t>税务</t>
        </is>
      </c>
      <c r="L147" t="inlineStr">
        <is>
          <t>S11</t>
        </is>
      </c>
      <c r="N147" t="inlineStr">
        <is>
          <t>T1</t>
        </is>
      </c>
      <c r="Q147" t="inlineStr">
        <is>
          <t>O,G</t>
        </is>
      </c>
      <c r="U147" t="n">
        <v>58993.85</v>
      </c>
      <c r="V147" t="n">
        <v>0.083333</v>
      </c>
      <c r="W147" t="inlineStr">
        <is>
          <t>CNY</t>
        </is>
      </c>
      <c r="X147" t="n">
        <v>1</v>
      </c>
      <c r="Y147" t="n">
        <v>58187.72</v>
      </c>
      <c r="Z147" t="n">
        <v>0</v>
      </c>
      <c r="AA147" t="n">
        <v>176981.55</v>
      </c>
      <c r="AF147" t="n">
        <v>0</v>
      </c>
      <c r="AG147" t="n">
        <v>413391.55</v>
      </c>
      <c r="AH147" t="n">
        <v>7.104446608322168</v>
      </c>
      <c r="AJ147" t="n">
        <v>7.104446608322168</v>
      </c>
      <c r="AK147" t="n">
        <v>5.260414912287334</v>
      </c>
      <c r="AQ147" t="n">
        <v>413391.55</v>
      </c>
      <c r="AR147" t="n">
        <v>7.104446608322168</v>
      </c>
      <c r="AS147" t="n">
        <v>1.842208333333333</v>
      </c>
      <c r="BL147" t="n">
        <v>1</v>
      </c>
      <c r="BM147" t="n">
        <v>47995</v>
      </c>
      <c r="BN147" t="n">
        <v>0</v>
      </c>
      <c r="BO147" t="n">
        <v>50320</v>
      </c>
      <c r="BP147" t="inlineStr">
        <is>
          <t>G,G</t>
        </is>
      </c>
      <c r="BQ147" t="inlineStr">
        <is>
          <t>T1</t>
        </is>
      </c>
      <c r="BS147" t="n">
        <v>3.514011876237108</v>
      </c>
      <c r="BT147" t="n">
        <v>55745</v>
      </c>
      <c r="BV147" t="n">
        <v>4.675487029898948</v>
      </c>
      <c r="BY147" t="n">
        <v>224400</v>
      </c>
      <c r="BZ147" t="n">
        <v>4.675487029898948</v>
      </c>
      <c r="CP147" t="inlineStr">
        <is>
          <t>税务部</t>
        </is>
      </c>
      <c r="CQ147" t="inlineStr">
        <is>
          <t>5,3</t>
        </is>
      </c>
      <c r="CR147" t="n">
        <v>11</v>
      </c>
      <c r="CS147" t="inlineStr">
        <is>
          <t>T1</t>
        </is>
      </c>
      <c r="CT147" t="inlineStr">
        <is>
          <t>N</t>
        </is>
      </c>
    </row>
    <row r="148">
      <c r="A148" t="inlineStr">
        <is>
          <t>royDuan(段晨)</t>
        </is>
      </c>
      <c r="C148" t="n">
        <v>1915881</v>
      </c>
      <c r="D148" t="inlineStr">
        <is>
          <t>财会及报告管理部</t>
        </is>
      </c>
      <c r="E148" t="inlineStr">
        <is>
          <t>海外财会管理中心</t>
        </is>
      </c>
      <c r="G148" t="inlineStr">
        <is>
          <t>S2职能系统－财经线/财会及报告管理部/海外财会管理中心</t>
        </is>
      </c>
      <c r="H148" s="188" t="n">
        <v>40862</v>
      </c>
      <c r="I148" t="inlineStr">
        <is>
          <t>社会招聘</t>
        </is>
      </c>
      <c r="J148" t="inlineStr">
        <is>
          <t>财经类－FN</t>
        </is>
      </c>
      <c r="K148" t="inlineStr">
        <is>
          <t>会计</t>
        </is>
      </c>
      <c r="L148" t="inlineStr">
        <is>
          <t>S6</t>
        </is>
      </c>
      <c r="N148" t="inlineStr">
        <is>
          <t>T2</t>
        </is>
      </c>
      <c r="Q148" t="inlineStr">
        <is>
          <t>G,G</t>
        </is>
      </c>
      <c r="U148" t="n">
        <v>26234.55</v>
      </c>
      <c r="V148" t="n">
        <v>0.083333</v>
      </c>
      <c r="W148" t="inlineStr">
        <is>
          <t>CNY</t>
        </is>
      </c>
      <c r="X148" t="n">
        <v>1</v>
      </c>
      <c r="Y148" t="n">
        <v>25096.37</v>
      </c>
      <c r="Z148" t="n">
        <v>0</v>
      </c>
      <c r="AA148" t="n">
        <v>52469.1</v>
      </c>
      <c r="AF148" t="n">
        <v>0</v>
      </c>
      <c r="AG148" t="n">
        <v>81314.10000000001</v>
      </c>
      <c r="AH148" t="n">
        <v>3.240074162119861</v>
      </c>
      <c r="AJ148" t="n">
        <v>3.240074162119861</v>
      </c>
      <c r="AK148" t="n">
        <v>3.240074162119861</v>
      </c>
      <c r="AQ148" t="n">
        <v>81314.10000000001</v>
      </c>
      <c r="AR148" t="n">
        <v>3.240074162119861</v>
      </c>
      <c r="AS148" t="n">
        <v>1.440207226354942</v>
      </c>
      <c r="BL148" t="n">
        <v>1</v>
      </c>
      <c r="BM148" t="n">
        <v>23465</v>
      </c>
      <c r="BN148" t="n">
        <v>0</v>
      </c>
      <c r="BO148" t="n">
        <v>25380</v>
      </c>
      <c r="BP148" t="inlineStr">
        <is>
          <t>G,U</t>
        </is>
      </c>
      <c r="BQ148" t="inlineStr">
        <is>
          <t>T2</t>
        </is>
      </c>
      <c r="BS148" t="n">
        <v>2.4061367994886</v>
      </c>
      <c r="BT148" t="n">
        <v>0</v>
      </c>
      <c r="BV148" t="n">
        <v>2.4061367994886</v>
      </c>
      <c r="BY148" t="n">
        <v>56460</v>
      </c>
      <c r="BZ148" t="n">
        <v>2.4061367994886</v>
      </c>
      <c r="CP148" t="inlineStr">
        <is>
          <t>财会及报告管理部</t>
        </is>
      </c>
      <c r="CQ148" t="inlineStr">
        <is>
          <t>3,3</t>
        </is>
      </c>
      <c r="CR148" t="n">
        <v>6</v>
      </c>
      <c r="CS148" t="inlineStr">
        <is>
          <t>T2</t>
        </is>
      </c>
      <c r="CT148" t="inlineStr">
        <is>
          <t>N</t>
        </is>
      </c>
    </row>
    <row r="149">
      <c r="A149" t="inlineStr">
        <is>
          <t>lucyJin(金露)</t>
        </is>
      </c>
      <c r="C149" t="n">
        <v>58562359</v>
      </c>
      <c r="D149" t="inlineStr">
        <is>
          <t>海外财经中心</t>
        </is>
      </c>
      <c r="E149" t="inlineStr">
        <is>
          <t>海外本地财务</t>
        </is>
      </c>
      <c r="G149" t="inlineStr">
        <is>
          <t>S2职能系统－财经线/海外财经中心/海外本地财务</t>
        </is>
      </c>
      <c r="H149" s="188" t="n">
        <v>41952</v>
      </c>
      <c r="I149" t="inlineStr">
        <is>
          <t>社会招聘</t>
        </is>
      </c>
      <c r="J149" t="inlineStr">
        <is>
          <t>财经类－FN</t>
        </is>
      </c>
      <c r="K149" t="inlineStr">
        <is>
          <t>财务管理</t>
        </is>
      </c>
      <c r="L149" t="inlineStr">
        <is>
          <t>S9</t>
        </is>
      </c>
      <c r="N149" t="inlineStr">
        <is>
          <t>T2</t>
        </is>
      </c>
      <c r="Q149" t="inlineStr">
        <is>
          <t>U,G</t>
        </is>
      </c>
      <c r="U149" t="n">
        <v>56646</v>
      </c>
      <c r="V149" t="n">
        <v>0.083333</v>
      </c>
      <c r="W149" t="inlineStr">
        <is>
          <t>CNY</t>
        </is>
      </c>
      <c r="X149" t="n">
        <v>1</v>
      </c>
      <c r="Y149" t="n">
        <v>54242.01</v>
      </c>
      <c r="Z149" t="n">
        <v>0</v>
      </c>
      <c r="AA149" t="n">
        <v>56646</v>
      </c>
      <c r="AF149" t="n">
        <v>0</v>
      </c>
      <c r="AG149" t="n">
        <v>114971</v>
      </c>
      <c r="AH149" t="n">
        <v>2.119593282033612</v>
      </c>
      <c r="AJ149" t="n">
        <v>2.119593282033612</v>
      </c>
      <c r="AK149" t="n">
        <v>2.119593282033612</v>
      </c>
      <c r="AQ149" t="n">
        <v>114971</v>
      </c>
      <c r="AR149" t="n">
        <v>2.119593282033612</v>
      </c>
      <c r="AS149" t="n">
        <v>0.513435301998437</v>
      </c>
      <c r="BL149" t="n">
        <v>1</v>
      </c>
      <c r="BM149" t="n">
        <v>48590</v>
      </c>
      <c r="BN149" t="n">
        <v>0</v>
      </c>
      <c r="BO149" t="n">
        <v>51575</v>
      </c>
      <c r="BP149" t="inlineStr">
        <is>
          <t>G,O</t>
        </is>
      </c>
      <c r="BQ149" t="inlineStr">
        <is>
          <t>T2</t>
        </is>
      </c>
      <c r="BS149" t="n">
        <v>4.608458530561844</v>
      </c>
      <c r="BT149" t="n">
        <v>0</v>
      </c>
      <c r="BV149" t="n">
        <v>4.608458530561844</v>
      </c>
      <c r="BY149" t="n">
        <v>223925</v>
      </c>
      <c r="BZ149" t="n">
        <v>4.608458530561844</v>
      </c>
      <c r="CP149" t="inlineStr">
        <is>
          <t>海外财经中心</t>
        </is>
      </c>
      <c r="CQ149" t="inlineStr">
        <is>
          <t>3,1</t>
        </is>
      </c>
      <c r="CR149" t="n">
        <v>9</v>
      </c>
      <c r="CS149" t="inlineStr">
        <is>
          <t>T2</t>
        </is>
      </c>
      <c r="CT149" t="inlineStr">
        <is>
          <t>N</t>
        </is>
      </c>
    </row>
    <row r="150">
      <c r="A150" t="inlineStr">
        <is>
          <t>patriciaWang(王雅沁)</t>
        </is>
      </c>
      <c r="C150" t="n">
        <v>7267693</v>
      </c>
      <c r="D150" t="inlineStr">
        <is>
          <t>财经线-公共</t>
        </is>
      </c>
      <c r="E150" t="inlineStr">
        <is>
          <t>财经线-公共</t>
        </is>
      </c>
      <c r="G150" t="inlineStr">
        <is>
          <t>S2职能系统－财经线/财经线-公共</t>
        </is>
      </c>
      <c r="H150" s="188" t="n">
        <v>37022</v>
      </c>
      <c r="I150" t="inlineStr">
        <is>
          <t>社会招聘</t>
        </is>
      </c>
      <c r="J150" t="inlineStr">
        <is>
          <t>财经类－FN</t>
        </is>
      </c>
      <c r="K150" t="inlineStr">
        <is>
          <t>财务管理</t>
        </is>
      </c>
      <c r="L150" t="inlineStr">
        <is>
          <t>S9</t>
        </is>
      </c>
      <c r="N150" t="inlineStr">
        <is>
          <t>Others</t>
        </is>
      </c>
      <c r="Q150" t="inlineStr">
        <is>
          <t>G,U</t>
        </is>
      </c>
      <c r="U150" t="n">
        <v>48583.8</v>
      </c>
      <c r="V150" t="n">
        <v>0.083333</v>
      </c>
      <c r="W150" t="inlineStr">
        <is>
          <t>CNY</t>
        </is>
      </c>
      <c r="X150" t="n">
        <v>1</v>
      </c>
      <c r="Y150" t="n">
        <v>44244.45</v>
      </c>
      <c r="Z150" t="n">
        <v>0</v>
      </c>
      <c r="AA150" t="n">
        <v>48583.8</v>
      </c>
      <c r="AF150" t="n">
        <v>0</v>
      </c>
      <c r="AG150" t="n">
        <v>81838.8</v>
      </c>
      <c r="AH150" t="n">
        <v>1.849696402599648</v>
      </c>
      <c r="AJ150" t="n">
        <v>1.849696402599648</v>
      </c>
      <c r="AK150" t="n">
        <v>1.849696402599648</v>
      </c>
      <c r="AQ150" t="n">
        <v>81838.8</v>
      </c>
      <c r="AR150" t="n">
        <v>1.849696402599648</v>
      </c>
      <c r="AS150" t="n">
        <v>0.2965711179561515</v>
      </c>
      <c r="BL150" t="n">
        <v>1</v>
      </c>
      <c r="BM150" t="n">
        <v>39380</v>
      </c>
      <c r="BN150" t="n">
        <v>0</v>
      </c>
      <c r="BO150" t="n">
        <v>39970</v>
      </c>
      <c r="BP150" t="inlineStr">
        <is>
          <t>G,G</t>
        </is>
      </c>
      <c r="BQ150" t="inlineStr">
        <is>
          <t>T1#</t>
        </is>
      </c>
      <c r="BS150" t="n">
        <v>5.348908075165059</v>
      </c>
      <c r="BT150" t="n">
        <v>65310</v>
      </c>
      <c r="BV150" t="n">
        <v>7.007364144235653</v>
      </c>
      <c r="BY150" t="n">
        <v>275950</v>
      </c>
      <c r="BZ150" t="n">
        <v>7.007364144235653</v>
      </c>
      <c r="CP150" t="inlineStr">
        <is>
          <t>财经线-公共</t>
        </is>
      </c>
      <c r="CQ150" t="inlineStr">
        <is>
          <t>3,1</t>
        </is>
      </c>
      <c r="CR150" t="n">
        <v>9</v>
      </c>
      <c r="CS150" t="inlineStr">
        <is>
          <t>Others</t>
        </is>
      </c>
      <c r="CT150" t="inlineStr">
        <is>
          <t>N</t>
        </is>
      </c>
    </row>
    <row r="151">
      <c r="A151" t="inlineStr">
        <is>
          <t>jacobJiang(蒋然锋)</t>
        </is>
      </c>
      <c r="C151" t="n">
        <v>38408559</v>
      </c>
      <c r="D151" t="inlineStr">
        <is>
          <t>财会及报告管理部</t>
        </is>
      </c>
      <c r="E151" t="inlineStr">
        <is>
          <t>供应商支付管理中心</t>
        </is>
      </c>
      <c r="G151" t="inlineStr">
        <is>
          <t>S2职能系统－财经线/财会及报告管理部/供应商支付管理中心</t>
        </is>
      </c>
      <c r="H151" s="188" t="n">
        <v>37358</v>
      </c>
      <c r="I151" t="inlineStr">
        <is>
          <t>社会招聘</t>
        </is>
      </c>
      <c r="J151" t="inlineStr">
        <is>
          <t>财经类－FN</t>
        </is>
      </c>
      <c r="K151" t="inlineStr">
        <is>
          <t>会计</t>
        </is>
      </c>
      <c r="L151" t="inlineStr">
        <is>
          <t>S10</t>
        </is>
      </c>
      <c r="N151" t="inlineStr">
        <is>
          <t>T2</t>
        </is>
      </c>
      <c r="Q151" t="inlineStr">
        <is>
          <t>G,G</t>
        </is>
      </c>
      <c r="U151" t="n">
        <v>45048.15</v>
      </c>
      <c r="V151" t="n">
        <v>0.083333</v>
      </c>
      <c r="W151" t="inlineStr">
        <is>
          <t>CNY</t>
        </is>
      </c>
      <c r="X151" t="n">
        <v>1</v>
      </c>
      <c r="Y151" t="n">
        <v>42379.02</v>
      </c>
      <c r="Z151" t="n">
        <v>0</v>
      </c>
      <c r="AA151" t="n">
        <v>90096.3</v>
      </c>
      <c r="AF151" t="n">
        <v>0</v>
      </c>
      <c r="AG151" t="n">
        <v>142801.3</v>
      </c>
      <c r="AH151" t="n">
        <v>3.369622516046855</v>
      </c>
      <c r="AJ151" t="n">
        <v>3.369622516046855</v>
      </c>
      <c r="AK151" t="n">
        <v>3.369622516046855</v>
      </c>
      <c r="AQ151" t="n">
        <v>142801.3</v>
      </c>
      <c r="AR151" t="n">
        <v>3.369622516046855</v>
      </c>
      <c r="AS151" t="n">
        <v>1.592520352403256</v>
      </c>
      <c r="BL151" t="n">
        <v>1</v>
      </c>
      <c r="BM151" t="n">
        <v>36960</v>
      </c>
      <c r="BN151" t="n">
        <v>0</v>
      </c>
      <c r="BO151" t="n">
        <v>40325</v>
      </c>
      <c r="BP151" t="inlineStr">
        <is>
          <t>G,U</t>
        </is>
      </c>
      <c r="BQ151" t="inlineStr">
        <is>
          <t>T2</t>
        </is>
      </c>
      <c r="BS151" t="n">
        <v>2.426136363636364</v>
      </c>
      <c r="BT151" t="n">
        <v>0</v>
      </c>
      <c r="BV151" t="n">
        <v>2.426136363636364</v>
      </c>
      <c r="BY151" t="n">
        <v>89670</v>
      </c>
      <c r="BZ151" t="n">
        <v>2.426136363636364</v>
      </c>
      <c r="CP151" t="inlineStr">
        <is>
          <t>财会及报告管理部</t>
        </is>
      </c>
      <c r="CQ151" t="inlineStr">
        <is>
          <t>3,3</t>
        </is>
      </c>
      <c r="CR151" t="n">
        <v>10</v>
      </c>
      <c r="CS151" t="inlineStr">
        <is>
          <t>T2</t>
        </is>
      </c>
      <c r="CT151" t="inlineStr">
        <is>
          <t>N</t>
        </is>
      </c>
    </row>
    <row r="152">
      <c r="A152" t="inlineStr">
        <is>
          <t>avaXue(薛佳)</t>
        </is>
      </c>
      <c r="C152" t="n">
        <v>78437726</v>
      </c>
      <c r="D152" t="inlineStr">
        <is>
          <t>FiT财务管理</t>
        </is>
      </c>
      <c r="E152" t="inlineStr">
        <is>
          <t>结算支持中心</t>
        </is>
      </c>
      <c r="G152" t="inlineStr">
        <is>
          <t>S2职能系统－财经线/FiT财务管理/结算支持中心</t>
        </is>
      </c>
      <c r="H152" s="188" t="n">
        <v>43602</v>
      </c>
      <c r="I152" t="inlineStr">
        <is>
          <t>社会招聘</t>
        </is>
      </c>
      <c r="J152" t="inlineStr">
        <is>
          <t>财经类－FN</t>
        </is>
      </c>
      <c r="K152" t="inlineStr">
        <is>
          <t>财务管理</t>
        </is>
      </c>
      <c r="L152" t="inlineStr">
        <is>
          <t>S6</t>
        </is>
      </c>
      <c r="N152" t="inlineStr">
        <is>
          <t>T2</t>
        </is>
      </c>
      <c r="Q152" t="inlineStr">
        <is>
          <t>O,O</t>
        </is>
      </c>
      <c r="U152" t="n">
        <v>26830.7</v>
      </c>
      <c r="V152" t="n">
        <v>0.083333</v>
      </c>
      <c r="W152" t="inlineStr">
        <is>
          <t>CNY</t>
        </is>
      </c>
      <c r="X152" t="n">
        <v>1</v>
      </c>
      <c r="Y152" t="n">
        <v>24559.7</v>
      </c>
      <c r="Z152" t="n">
        <v>0</v>
      </c>
      <c r="AA152" t="n">
        <v>107322.8</v>
      </c>
      <c r="AF152" t="n">
        <v>0</v>
      </c>
      <c r="AG152" t="n">
        <v>139197.8</v>
      </c>
      <c r="AH152" t="n">
        <v>5.667732097704776</v>
      </c>
      <c r="AJ152" t="n">
        <v>5.667732097704776</v>
      </c>
      <c r="AK152" t="n">
        <v>5.667732097704776</v>
      </c>
      <c r="AQ152" t="n">
        <v>139197.8</v>
      </c>
      <c r="AR152" t="n">
        <v>5.667732097704776</v>
      </c>
      <c r="AS152" t="n">
        <v>1.292338687215672</v>
      </c>
      <c r="BL152" t="n">
        <v>1</v>
      </c>
      <c r="BM152" t="n">
        <v>22000</v>
      </c>
      <c r="BN152" t="n">
        <v>0</v>
      </c>
      <c r="BO152" t="n">
        <v>22425</v>
      </c>
      <c r="BP152" t="inlineStr">
        <is>
          <t>G,G</t>
        </is>
      </c>
      <c r="BQ152" t="inlineStr">
        <is>
          <t>T1</t>
        </is>
      </c>
      <c r="BS152" t="n">
        <v>3.453863636363637</v>
      </c>
      <c r="BT152" t="n">
        <v>31725</v>
      </c>
      <c r="BV152" t="n">
        <v>4.895909090909091</v>
      </c>
      <c r="BY152" t="n">
        <v>107710</v>
      </c>
      <c r="BZ152" t="n">
        <v>4.895909090909091</v>
      </c>
      <c r="CP152" t="inlineStr">
        <is>
          <t>FiT财务管理</t>
        </is>
      </c>
      <c r="CQ152" t="inlineStr">
        <is>
          <t>5,5</t>
        </is>
      </c>
      <c r="CR152" t="n">
        <v>6</v>
      </c>
      <c r="CS152" t="inlineStr">
        <is>
          <t>T2</t>
        </is>
      </c>
      <c r="CT152" t="inlineStr">
        <is>
          <t>N</t>
        </is>
      </c>
    </row>
    <row r="153">
      <c r="A153" t="inlineStr">
        <is>
          <t>haroldXie(谢熙建)</t>
        </is>
      </c>
      <c r="C153" t="n">
        <v>77416294</v>
      </c>
      <c r="D153" t="inlineStr">
        <is>
          <t>资金管理</t>
        </is>
      </c>
      <c r="E153" t="inlineStr">
        <is>
          <t>资金结算及风险控制中心</t>
        </is>
      </c>
      <c r="G153" t="inlineStr">
        <is>
          <t>S2职能系统－财经线/资金管理/资金结算及风险控制中心</t>
        </is>
      </c>
      <c r="H153" s="188" t="n">
        <v>40308</v>
      </c>
      <c r="I153" t="inlineStr">
        <is>
          <t>高校招聘</t>
        </is>
      </c>
      <c r="J153" t="inlineStr">
        <is>
          <t>财经类－FN</t>
        </is>
      </c>
      <c r="K153" t="inlineStr">
        <is>
          <t>资金管理</t>
        </is>
      </c>
      <c r="L153" t="inlineStr">
        <is>
          <t>S6</t>
        </is>
      </c>
      <c r="N153" t="inlineStr">
        <is>
          <t>T1</t>
        </is>
      </c>
      <c r="Q153" t="inlineStr">
        <is>
          <t>G,O</t>
        </is>
      </c>
      <c r="U153" t="n">
        <v>29858.65</v>
      </c>
      <c r="V153" t="n">
        <v>0.083333</v>
      </c>
      <c r="W153" t="inlineStr">
        <is>
          <t>CNY</t>
        </is>
      </c>
      <c r="X153" t="n">
        <v>1</v>
      </c>
      <c r="Y153" t="n">
        <v>27968.52</v>
      </c>
      <c r="Z153" t="n">
        <v>0</v>
      </c>
      <c r="AA153" t="n">
        <v>89575.95</v>
      </c>
      <c r="AF153" t="n">
        <v>0</v>
      </c>
      <c r="AG153" t="n">
        <v>197665.95</v>
      </c>
      <c r="AH153" t="n">
        <v>7.067444040657139</v>
      </c>
      <c r="AJ153" t="n">
        <v>7.067444040657139</v>
      </c>
      <c r="AK153" t="n">
        <v>5.805131984102126</v>
      </c>
      <c r="AQ153" t="n">
        <v>197665.95</v>
      </c>
      <c r="AR153" t="n">
        <v>7.067444040657139</v>
      </c>
      <c r="AS153" t="n">
        <v>2.272936813660668</v>
      </c>
      <c r="BL153" t="n">
        <v>1</v>
      </c>
      <c r="BM153" t="n">
        <v>25405</v>
      </c>
      <c r="BN153" t="n">
        <v>0</v>
      </c>
      <c r="BO153" t="n">
        <v>27830</v>
      </c>
      <c r="BP153" t="inlineStr">
        <is>
          <t>G,G</t>
        </is>
      </c>
      <c r="BQ153" t="inlineStr">
        <is>
          <t>T2</t>
        </is>
      </c>
      <c r="BS153" t="n">
        <v>3.423145050186971</v>
      </c>
      <c r="BT153" t="n">
        <v>0</v>
      </c>
      <c r="BV153" t="n">
        <v>3.423145050186971</v>
      </c>
      <c r="BY153" t="n">
        <v>86965</v>
      </c>
      <c r="BZ153" t="n">
        <v>3.423145050186971</v>
      </c>
      <c r="CP153" t="inlineStr">
        <is>
          <t>资金管理</t>
        </is>
      </c>
      <c r="CQ153" t="inlineStr">
        <is>
          <t>5,3</t>
        </is>
      </c>
      <c r="CR153" t="n">
        <v>6</v>
      </c>
      <c r="CS153" t="inlineStr">
        <is>
          <t>T1</t>
        </is>
      </c>
      <c r="CT153" t="inlineStr">
        <is>
          <t>N</t>
        </is>
      </c>
    </row>
    <row r="154">
      <c r="A154" t="inlineStr">
        <is>
          <t>stephanieHou(侯艳)</t>
        </is>
      </c>
      <c r="C154" t="n">
        <v>40050121</v>
      </c>
      <c r="D154" t="inlineStr">
        <is>
          <t>财会及报告管理部</t>
        </is>
      </c>
      <c r="E154" t="inlineStr">
        <is>
          <t>应收管理中心</t>
        </is>
      </c>
      <c r="G154" t="inlineStr">
        <is>
          <t>S2职能系统－财经线/财会及报告管理部/应收管理中心</t>
        </is>
      </c>
      <c r="H154" s="188" t="n">
        <v>37540</v>
      </c>
      <c r="I154" t="inlineStr">
        <is>
          <t>社会招聘</t>
        </is>
      </c>
      <c r="J154" t="inlineStr">
        <is>
          <t>财经类－FN</t>
        </is>
      </c>
      <c r="K154" t="inlineStr">
        <is>
          <t>会计</t>
        </is>
      </c>
      <c r="L154" t="inlineStr">
        <is>
          <t>S6</t>
        </is>
      </c>
      <c r="N154" t="inlineStr">
        <is>
          <t>T1</t>
        </is>
      </c>
      <c r="Q154" t="inlineStr">
        <is>
          <t>O,G</t>
        </is>
      </c>
      <c r="U154" t="n">
        <v>37198.5</v>
      </c>
      <c r="V154" t="n">
        <v>0.083333</v>
      </c>
      <c r="W154" t="inlineStr">
        <is>
          <t>CNY</t>
        </is>
      </c>
      <c r="X154" t="n">
        <v>1</v>
      </c>
      <c r="Y154" t="n">
        <v>34661.68</v>
      </c>
      <c r="Z154" t="n">
        <v>0</v>
      </c>
      <c r="AA154" t="n">
        <v>111595.5</v>
      </c>
      <c r="AF154" t="n">
        <v>0</v>
      </c>
      <c r="AG154" t="n">
        <v>267995.5</v>
      </c>
      <c r="AH154" t="n">
        <v>7.731751605807912</v>
      </c>
      <c r="AJ154" t="n">
        <v>7.731751605807912</v>
      </c>
      <c r="AK154" t="n">
        <v>5.723914709269718</v>
      </c>
      <c r="AQ154" t="n">
        <v>267995.5</v>
      </c>
      <c r="AR154" t="n">
        <v>7.731751605807912</v>
      </c>
      <c r="AS154" t="n">
        <v>1.657926320022271</v>
      </c>
      <c r="BL154" t="n">
        <v>1</v>
      </c>
      <c r="BM154" t="n">
        <v>31925</v>
      </c>
      <c r="BN154" t="n">
        <v>0</v>
      </c>
      <c r="BO154" t="n">
        <v>33355</v>
      </c>
      <c r="BP154" t="inlineStr">
        <is>
          <t>G,G</t>
        </is>
      </c>
      <c r="BQ154" t="inlineStr">
        <is>
          <t>T1</t>
        </is>
      </c>
      <c r="BS154" t="n">
        <v>3.563038371182459</v>
      </c>
      <c r="BT154" t="n">
        <v>47895</v>
      </c>
      <c r="BV154" t="n">
        <v>5.06327329678935</v>
      </c>
      <c r="BY154" t="n">
        <v>161645</v>
      </c>
      <c r="BZ154" t="n">
        <v>5.06327329678935</v>
      </c>
      <c r="CP154" t="inlineStr">
        <is>
          <t>财会及报告管理部</t>
        </is>
      </c>
      <c r="CQ154" t="inlineStr">
        <is>
          <t>5,3</t>
        </is>
      </c>
      <c r="CR154" t="n">
        <v>6</v>
      </c>
      <c r="CS154" t="inlineStr">
        <is>
          <t>T1</t>
        </is>
      </c>
      <c r="CT154" t="inlineStr">
        <is>
          <t>N</t>
        </is>
      </c>
    </row>
    <row r="155">
      <c r="A155" t="inlineStr">
        <is>
          <t>billyHan(韩韬)</t>
        </is>
      </c>
      <c r="C155" t="n">
        <v>32998376</v>
      </c>
      <c r="D155" t="inlineStr">
        <is>
          <t>税务部</t>
        </is>
      </c>
      <c r="E155" t="inlineStr">
        <is>
          <t>印章及文档管理组</t>
        </is>
      </c>
      <c r="G155" t="inlineStr">
        <is>
          <t>S2职能系统－财经线/税务部/印章及文档管理组</t>
        </is>
      </c>
      <c r="H155" s="188" t="n">
        <v>38651</v>
      </c>
      <c r="I155" t="inlineStr">
        <is>
          <t>社会招聘</t>
        </is>
      </c>
      <c r="J155" t="inlineStr">
        <is>
          <t>财经类－FN</t>
        </is>
      </c>
      <c r="K155" t="inlineStr">
        <is>
          <t>税务</t>
        </is>
      </c>
      <c r="L155" t="inlineStr">
        <is>
          <t>S5</t>
        </is>
      </c>
      <c r="N155" t="inlineStr">
        <is>
          <t>T2</t>
        </is>
      </c>
      <c r="Q155" t="inlineStr">
        <is>
          <t>G,O</t>
        </is>
      </c>
      <c r="U155" t="n">
        <v>29747.35</v>
      </c>
      <c r="V155" t="n">
        <v>0.083333</v>
      </c>
      <c r="W155" t="inlineStr">
        <is>
          <t>CNY</t>
        </is>
      </c>
      <c r="X155" t="n">
        <v>1</v>
      </c>
      <c r="Y155" t="n">
        <v>26866.55</v>
      </c>
      <c r="Z155" t="n">
        <v>0</v>
      </c>
      <c r="AA155" t="n">
        <v>89242.05</v>
      </c>
      <c r="AF155" t="n">
        <v>0</v>
      </c>
      <c r="AG155" t="n">
        <v>120692.05</v>
      </c>
      <c r="AH155" t="n">
        <v>4.492279432975206</v>
      </c>
      <c r="AJ155" t="n">
        <v>4.492279432975206</v>
      </c>
      <c r="AK155" t="n">
        <v>4.492279432975206</v>
      </c>
      <c r="AQ155" t="n">
        <v>120692.05</v>
      </c>
      <c r="AR155" t="n">
        <v>4.492279432975206</v>
      </c>
      <c r="AS155" t="n">
        <v>1.520817162298387</v>
      </c>
      <c r="BL155" t="n">
        <v>1</v>
      </c>
      <c r="BM155" t="n">
        <v>23985</v>
      </c>
      <c r="BN155" t="n">
        <v>0</v>
      </c>
      <c r="BO155" t="n">
        <v>24855</v>
      </c>
      <c r="BP155" t="inlineStr">
        <is>
          <t>G,G</t>
        </is>
      </c>
      <c r="BQ155" t="inlineStr">
        <is>
          <t>T2</t>
        </is>
      </c>
      <c r="BS155" t="n">
        <v>3.308734625807797</v>
      </c>
      <c r="BT155" t="n">
        <v>0</v>
      </c>
      <c r="BV155" t="n">
        <v>3.308734625807797</v>
      </c>
      <c r="BY155" t="n">
        <v>79360</v>
      </c>
      <c r="BZ155" t="n">
        <v>3.308734625807797</v>
      </c>
      <c r="CP155" t="inlineStr">
        <is>
          <t>税务部</t>
        </is>
      </c>
      <c r="CQ155" t="inlineStr">
        <is>
          <t>5,3</t>
        </is>
      </c>
      <c r="CR155" t="n">
        <v>5</v>
      </c>
      <c r="CS155" t="inlineStr">
        <is>
          <t>T2</t>
        </is>
      </c>
      <c r="CT155" t="inlineStr">
        <is>
          <t>N</t>
        </is>
      </c>
    </row>
    <row r="156">
      <c r="A156" t="inlineStr">
        <is>
          <t>lukeZheng(郑恒刚)</t>
        </is>
      </c>
      <c r="C156" t="n">
        <v>22083692</v>
      </c>
      <c r="D156" t="inlineStr">
        <is>
          <t>财会及报告管理部</t>
        </is>
      </c>
      <c r="E156" t="inlineStr">
        <is>
          <t>财会及报告管理部</t>
        </is>
      </c>
      <c r="G156" t="inlineStr">
        <is>
          <t>S2职能系统－财经线/财会及报告管理部</t>
        </is>
      </c>
      <c r="H156" s="188" t="n">
        <v>38257</v>
      </c>
      <c r="I156" t="inlineStr">
        <is>
          <t>高校招聘</t>
        </is>
      </c>
      <c r="J156" t="inlineStr">
        <is>
          <t>财经类－FN</t>
        </is>
      </c>
      <c r="K156" t="inlineStr">
        <is>
          <t>会计</t>
        </is>
      </c>
      <c r="L156" t="inlineStr">
        <is>
          <t>S7</t>
        </is>
      </c>
      <c r="N156" t="inlineStr">
        <is>
          <t>T2</t>
        </is>
      </c>
      <c r="Q156" t="inlineStr">
        <is>
          <t>G,U</t>
        </is>
      </c>
      <c r="U156" t="n">
        <v>32112.5</v>
      </c>
      <c r="V156" t="n">
        <v>0.083333</v>
      </c>
      <c r="W156" t="inlineStr">
        <is>
          <t>CNY</t>
        </is>
      </c>
      <c r="X156" t="n">
        <v>1</v>
      </c>
      <c r="Y156" t="n">
        <v>31149.84</v>
      </c>
      <c r="Z156" t="n">
        <v>0</v>
      </c>
      <c r="AA156" t="n">
        <v>32112.5</v>
      </c>
      <c r="AF156" t="n">
        <v>0</v>
      </c>
      <c r="AG156" t="n">
        <v>78727.5</v>
      </c>
      <c r="AH156" t="n">
        <v>2.527380557973974</v>
      </c>
      <c r="AJ156" t="n">
        <v>2.527380557973974</v>
      </c>
      <c r="AK156" t="n">
        <v>2.527380557973974</v>
      </c>
      <c r="AQ156" t="n">
        <v>78727.5</v>
      </c>
      <c r="AR156" t="n">
        <v>2.527380557973974</v>
      </c>
      <c r="AS156" t="n">
        <v>1.428681607839579</v>
      </c>
      <c r="BL156" t="n">
        <v>1</v>
      </c>
      <c r="BM156" t="n">
        <v>26445</v>
      </c>
      <c r="BN156" t="n">
        <v>0</v>
      </c>
      <c r="BO156" t="n">
        <v>27300</v>
      </c>
      <c r="BP156" t="inlineStr">
        <is>
          <t>G,U</t>
        </is>
      </c>
      <c r="BQ156" t="inlineStr">
        <is>
          <t>T2</t>
        </is>
      </c>
      <c r="BS156" t="n">
        <v>2.08375874456419</v>
      </c>
      <c r="BT156" t="n">
        <v>0</v>
      </c>
      <c r="BV156" t="n">
        <v>2.08375874456419</v>
      </c>
      <c r="BY156" t="n">
        <v>55105</v>
      </c>
      <c r="BZ156" t="n">
        <v>2.08375874456419</v>
      </c>
      <c r="CP156" t="inlineStr">
        <is>
          <t>财会及报告管理部</t>
        </is>
      </c>
      <c r="CQ156" t="inlineStr">
        <is>
          <t>3,1</t>
        </is>
      </c>
      <c r="CR156" t="n">
        <v>7</v>
      </c>
      <c r="CS156" t="inlineStr">
        <is>
          <t>T2</t>
        </is>
      </c>
      <c r="CT156" t="inlineStr">
        <is>
          <t>N</t>
        </is>
      </c>
    </row>
    <row r="157">
      <c r="A157" t="inlineStr">
        <is>
          <t>gloriaLiang(梁嫦曼)</t>
        </is>
      </c>
      <c r="C157" t="n">
        <v>49785786</v>
      </c>
      <c r="D157" t="inlineStr">
        <is>
          <t>在线视频财务管理中心</t>
        </is>
      </c>
      <c r="E157" t="inlineStr">
        <is>
          <t>OVB长视频财务管理组</t>
        </is>
      </c>
      <c r="G157" t="inlineStr">
        <is>
          <t>S2职能系统－财经线/在线视频财务管理中心/OVB长视频财务管理组</t>
        </is>
      </c>
      <c r="H157" s="188" t="n">
        <v>36618</v>
      </c>
      <c r="I157" t="inlineStr">
        <is>
          <t>社会招聘</t>
        </is>
      </c>
      <c r="J157" t="inlineStr">
        <is>
          <t>财经类－FN</t>
        </is>
      </c>
      <c r="K157" t="inlineStr">
        <is>
          <t>财务管理</t>
        </is>
      </c>
      <c r="L157" t="inlineStr">
        <is>
          <t>S8</t>
        </is>
      </c>
      <c r="N157" t="inlineStr">
        <is>
          <t>T1#</t>
        </is>
      </c>
      <c r="Q157" t="inlineStr">
        <is>
          <t>G,O</t>
        </is>
      </c>
      <c r="U157" t="n">
        <v>32766.8</v>
      </c>
      <c r="V157" t="n">
        <v>0.083333</v>
      </c>
      <c r="W157" t="inlineStr">
        <is>
          <t>CNY</t>
        </is>
      </c>
      <c r="X157" t="n">
        <v>1</v>
      </c>
      <c r="Y157" t="n">
        <v>30585.01</v>
      </c>
      <c r="Z157" t="n">
        <v>0</v>
      </c>
      <c r="AA157" t="n">
        <v>98300.39999999999</v>
      </c>
      <c r="AF157" t="n">
        <v>0</v>
      </c>
      <c r="AG157" t="n">
        <v>248380.4</v>
      </c>
      <c r="AH157" t="n">
        <v>8.120984756911964</v>
      </c>
      <c r="AJ157" t="n">
        <v>8.120984756911964</v>
      </c>
      <c r="AK157" t="n">
        <v>6.802201470589678</v>
      </c>
      <c r="AQ157" t="n">
        <v>248380.4</v>
      </c>
      <c r="AR157" t="n">
        <v>8.120984756911964</v>
      </c>
      <c r="AS157" t="n">
        <v>1.297940584746427</v>
      </c>
      <c r="BL157" t="n">
        <v>1</v>
      </c>
      <c r="BM157" t="n">
        <v>26405</v>
      </c>
      <c r="BN157" t="n">
        <v>0</v>
      </c>
      <c r="BO157" t="n">
        <v>27170</v>
      </c>
      <c r="BP157" t="inlineStr">
        <is>
          <t>G,G</t>
        </is>
      </c>
      <c r="BQ157" t="inlineStr">
        <is>
          <t>T1#</t>
        </is>
      </c>
      <c r="BS157" t="n">
        <v>5.239159250142019</v>
      </c>
      <c r="BT157" t="n">
        <v>53025</v>
      </c>
      <c r="BV157" t="n">
        <v>7.247301647415262</v>
      </c>
      <c r="BY157" t="n">
        <v>191365</v>
      </c>
      <c r="BZ157" t="n">
        <v>7.247301647415262</v>
      </c>
      <c r="CP157" t="inlineStr">
        <is>
          <t>在线视频财务管理中心</t>
        </is>
      </c>
      <c r="CQ157" t="inlineStr">
        <is>
          <t>5,3</t>
        </is>
      </c>
      <c r="CR157" t="n">
        <v>8</v>
      </c>
      <c r="CS157" t="inlineStr">
        <is>
          <t>T1#</t>
        </is>
      </c>
      <c r="CT157" t="inlineStr">
        <is>
          <t>N</t>
        </is>
      </c>
    </row>
    <row r="158">
      <c r="A158" t="inlineStr">
        <is>
          <t>thomasTang(唐睿刚)</t>
        </is>
      </c>
      <c r="C158" t="n">
        <v>10211108</v>
      </c>
      <c r="D158" t="inlineStr">
        <is>
          <t>财经投资并购及管理部</t>
        </is>
      </c>
      <c r="E158" t="inlineStr">
        <is>
          <t>运营支持中心</t>
        </is>
      </c>
      <c r="G158" t="inlineStr">
        <is>
          <t>S2职能系统－财经线/财经投资并购及管理部/运营支持中心</t>
        </is>
      </c>
      <c r="H158" s="188" t="n">
        <v>41630</v>
      </c>
      <c r="I158" t="inlineStr">
        <is>
          <t>社会招聘</t>
        </is>
      </c>
      <c r="J158" t="inlineStr">
        <is>
          <t>财经类－FN</t>
        </is>
      </c>
      <c r="K158" t="inlineStr">
        <is>
          <t>投资并购</t>
        </is>
      </c>
      <c r="L158" t="inlineStr">
        <is>
          <t>S6</t>
        </is>
      </c>
      <c r="N158" t="inlineStr">
        <is>
          <t>T1</t>
        </is>
      </c>
      <c r="Q158" t="inlineStr">
        <is>
          <t>G,U</t>
        </is>
      </c>
      <c r="U158" t="n">
        <v>26579.2</v>
      </c>
      <c r="V158" t="n">
        <v>0.083333</v>
      </c>
      <c r="W158" t="inlineStr">
        <is>
          <t>CNY</t>
        </is>
      </c>
      <c r="X158" t="n">
        <v>1</v>
      </c>
      <c r="Y158" t="n">
        <v>24937.42</v>
      </c>
      <c r="Z158" t="n">
        <v>0</v>
      </c>
      <c r="AA158" t="n">
        <v>26579.2</v>
      </c>
      <c r="AF158" t="n">
        <v>0</v>
      </c>
      <c r="AG158" t="n">
        <v>92399.2</v>
      </c>
      <c r="AH158" t="n">
        <v>3.705242964187955</v>
      </c>
      <c r="AJ158" t="n">
        <v>3.705242964187955</v>
      </c>
      <c r="AK158" t="n">
        <v>3.705242964187955</v>
      </c>
      <c r="AQ158" t="n">
        <v>92399.2</v>
      </c>
      <c r="AR158" t="n">
        <v>3.705242964187955</v>
      </c>
      <c r="AS158" t="n">
        <v>0.7850399320305862</v>
      </c>
      <c r="BL158" t="n">
        <v>1</v>
      </c>
      <c r="BM158" t="n">
        <v>22425</v>
      </c>
      <c r="BN158" t="n">
        <v>0</v>
      </c>
      <c r="BO158" t="n">
        <v>22490</v>
      </c>
      <c r="BP158" t="inlineStr">
        <is>
          <t>O,G</t>
        </is>
      </c>
      <c r="BQ158" t="inlineStr">
        <is>
          <t>T1</t>
        </is>
      </c>
      <c r="BS158" t="n">
        <v>4.113935340022296</v>
      </c>
      <c r="BT158" t="n">
        <v>25445</v>
      </c>
      <c r="BV158" t="n">
        <v>5.248606465997771</v>
      </c>
      <c r="BY158" t="n">
        <v>117700</v>
      </c>
      <c r="BZ158" t="n">
        <v>5.248606465997771</v>
      </c>
      <c r="CP158" t="inlineStr">
        <is>
          <t>财经投资并购及管理部</t>
        </is>
      </c>
      <c r="CQ158" t="inlineStr">
        <is>
          <t>3,1</t>
        </is>
      </c>
      <c r="CR158" t="n">
        <v>6</v>
      </c>
      <c r="CS158" t="inlineStr">
        <is>
          <t>T1</t>
        </is>
      </c>
      <c r="CT158" t="inlineStr">
        <is>
          <t>N</t>
        </is>
      </c>
    </row>
    <row r="159">
      <c r="A159" t="inlineStr">
        <is>
          <t>peterHe(贺磊轩)</t>
        </is>
      </c>
      <c r="C159" t="n">
        <v>4986104</v>
      </c>
      <c r="D159" t="inlineStr">
        <is>
          <t>风险管理和内部控制</t>
        </is>
      </c>
      <c r="E159" t="inlineStr">
        <is>
          <t>CSIG风控中心</t>
        </is>
      </c>
      <c r="G159" t="inlineStr">
        <is>
          <t>S2职能系统－财经线/风险管理和内部控制/CSIG风控中心</t>
        </is>
      </c>
      <c r="H159" s="188" t="n">
        <v>37211</v>
      </c>
      <c r="I159" t="inlineStr">
        <is>
          <t>高校招聘</t>
        </is>
      </c>
      <c r="J159" t="inlineStr">
        <is>
          <t>财经类－FN</t>
        </is>
      </c>
      <c r="K159" t="inlineStr">
        <is>
          <t>风险管理</t>
        </is>
      </c>
      <c r="L159" t="inlineStr">
        <is>
          <t>S7</t>
        </is>
      </c>
      <c r="N159" t="inlineStr">
        <is>
          <t>T1</t>
        </is>
      </c>
      <c r="Q159" t="inlineStr">
        <is>
          <t>G,G</t>
        </is>
      </c>
      <c r="U159" t="n">
        <v>35967.45</v>
      </c>
      <c r="V159" t="n">
        <v>0.083333</v>
      </c>
      <c r="W159" t="inlineStr">
        <is>
          <t>CNY</t>
        </is>
      </c>
      <c r="X159" t="n">
        <v>1</v>
      </c>
      <c r="Y159" t="n">
        <v>34421.67</v>
      </c>
      <c r="Z159" t="n">
        <v>0</v>
      </c>
      <c r="AA159" t="n">
        <v>71934.89999999999</v>
      </c>
      <c r="AF159" t="n">
        <v>0</v>
      </c>
      <c r="AG159" t="n">
        <v>215979.9</v>
      </c>
      <c r="AH159" t="n">
        <v>6.274532874203953</v>
      </c>
      <c r="AJ159" t="n">
        <v>6.274532874203953</v>
      </c>
      <c r="AK159" t="n">
        <v>4.238751344719765</v>
      </c>
      <c r="AQ159" t="n">
        <v>215979.9</v>
      </c>
      <c r="AR159" t="n">
        <v>6.274532874203953</v>
      </c>
      <c r="AS159" t="n">
        <v>1.349958747421714</v>
      </c>
      <c r="BL159" t="n">
        <v>1</v>
      </c>
      <c r="BM159" t="n">
        <v>31725</v>
      </c>
      <c r="BN159" t="n">
        <v>0</v>
      </c>
      <c r="BO159" t="n">
        <v>34175</v>
      </c>
      <c r="BP159" t="inlineStr">
        <is>
          <t>G,G</t>
        </is>
      </c>
      <c r="BQ159" t="inlineStr">
        <is>
          <t>T1</t>
        </is>
      </c>
      <c r="BS159" t="n">
        <v>3.643971631205674</v>
      </c>
      <c r="BT159" t="n">
        <v>44385</v>
      </c>
      <c r="BV159" t="n">
        <v>5.043026004728133</v>
      </c>
      <c r="BY159" t="n">
        <v>159990</v>
      </c>
      <c r="BZ159" t="n">
        <v>5.043026004728133</v>
      </c>
      <c r="CP159" t="inlineStr">
        <is>
          <t>风险管理和内部控制</t>
        </is>
      </c>
      <c r="CQ159" t="inlineStr">
        <is>
          <t>3,3</t>
        </is>
      </c>
      <c r="CR159" t="n">
        <v>7</v>
      </c>
      <c r="CS159" t="inlineStr">
        <is>
          <t>T1</t>
        </is>
      </c>
      <c r="CT159" t="inlineStr">
        <is>
          <t>N</t>
        </is>
      </c>
    </row>
    <row r="160">
      <c r="A160" t="inlineStr">
        <is>
          <t>avaZhao(赵璐姗)</t>
        </is>
      </c>
      <c r="C160" t="n">
        <v>82317853</v>
      </c>
      <c r="D160" t="inlineStr">
        <is>
          <t>海外财经中心</t>
        </is>
      </c>
      <c r="E160" t="inlineStr">
        <is>
          <t>海外本地财务</t>
        </is>
      </c>
      <c r="G160" t="inlineStr">
        <is>
          <t>S2职能系统－财经线/海外财经中心/海外本地财务</t>
        </is>
      </c>
      <c r="H160" s="188" t="n">
        <v>43783</v>
      </c>
      <c r="I160" t="inlineStr">
        <is>
          <t>高校招聘</t>
        </is>
      </c>
      <c r="J160" t="inlineStr">
        <is>
          <t>财经类－FN</t>
        </is>
      </c>
      <c r="K160" t="inlineStr">
        <is>
          <t>财务管理</t>
        </is>
      </c>
      <c r="L160" t="inlineStr">
        <is>
          <t>S7</t>
        </is>
      </c>
      <c r="N160" t="inlineStr">
        <is>
          <t>T1#</t>
        </is>
      </c>
      <c r="Q160" t="inlineStr">
        <is>
          <t>U,G</t>
        </is>
      </c>
      <c r="U160" t="n">
        <v>42159.7</v>
      </c>
      <c r="V160" t="n">
        <v>0.083333</v>
      </c>
      <c r="W160" t="inlineStr">
        <is>
          <t>CNY</t>
        </is>
      </c>
      <c r="X160" t="n">
        <v>1</v>
      </c>
      <c r="Y160" t="n">
        <v>40508.39</v>
      </c>
      <c r="Z160" t="n">
        <v>0</v>
      </c>
      <c r="AA160" t="n">
        <v>42159.7</v>
      </c>
      <c r="AF160" t="n">
        <v>0</v>
      </c>
      <c r="AG160" t="n">
        <v>175294.7</v>
      </c>
      <c r="AH160" t="n">
        <v>4.327367737893311</v>
      </c>
      <c r="AJ160" t="n">
        <v>4.327367737893311</v>
      </c>
      <c r="AK160" t="n">
        <v>4.327367737893311</v>
      </c>
      <c r="AQ160" t="n">
        <v>175294.7</v>
      </c>
      <c r="AR160" t="n">
        <v>4.327367737893311</v>
      </c>
      <c r="AS160" t="n">
        <v>0.6329242489890238</v>
      </c>
      <c r="BL160" t="n">
        <v>1</v>
      </c>
      <c r="BM160" t="n">
        <v>36895</v>
      </c>
      <c r="BN160" t="n">
        <v>0</v>
      </c>
      <c r="BO160" t="n">
        <v>38570</v>
      </c>
      <c r="BP160" t="inlineStr">
        <is>
          <t>O,G</t>
        </is>
      </c>
      <c r="BQ160" t="inlineStr">
        <is>
          <t>T1#</t>
        </is>
      </c>
      <c r="BS160" t="n">
        <v>6.355061661471744</v>
      </c>
      <c r="BT160" t="n">
        <v>42490</v>
      </c>
      <c r="BV160" t="n">
        <v>7.50670822604689</v>
      </c>
      <c r="BY160" t="n">
        <v>276960</v>
      </c>
      <c r="BZ160" t="n">
        <v>7.50670822604689</v>
      </c>
      <c r="CP160" t="inlineStr">
        <is>
          <t>海外财经中心</t>
        </is>
      </c>
      <c r="CQ160" t="inlineStr">
        <is>
          <t>3,1</t>
        </is>
      </c>
      <c r="CR160" t="n">
        <v>7</v>
      </c>
      <c r="CS160" t="inlineStr">
        <is>
          <t>T1#</t>
        </is>
      </c>
      <c r="CT160" t="inlineStr">
        <is>
          <t>N</t>
        </is>
      </c>
    </row>
    <row r="161">
      <c r="A161" t="inlineStr">
        <is>
          <t>emilyShi(石璇)</t>
        </is>
      </c>
      <c r="C161" t="n">
        <v>27286514</v>
      </c>
      <c r="D161" t="inlineStr">
        <is>
          <t>预算及职能系统财务管理部</t>
        </is>
      </c>
      <c r="E161" t="inlineStr">
        <is>
          <t>预算管理中心</t>
        </is>
      </c>
      <c r="G161" t="inlineStr">
        <is>
          <t>S2职能系统－财经线/预算及职能系统财务管理部/预算管理中心</t>
        </is>
      </c>
      <c r="H161" s="188" t="n">
        <v>43226</v>
      </c>
      <c r="I161" t="inlineStr">
        <is>
          <t>社会招聘</t>
        </is>
      </c>
      <c r="J161" t="inlineStr">
        <is>
          <t>财经类－FN</t>
        </is>
      </c>
      <c r="K161" t="inlineStr">
        <is>
          <t>预算管理</t>
        </is>
      </c>
      <c r="L161" t="inlineStr">
        <is>
          <t>S9</t>
        </is>
      </c>
      <c r="N161" t="inlineStr">
        <is>
          <t>T1</t>
        </is>
      </c>
      <c r="Q161" t="inlineStr">
        <is>
          <t>G,G</t>
        </is>
      </c>
      <c r="U161" t="n">
        <v>48626.7</v>
      </c>
      <c r="V161" t="n">
        <v>0.083333</v>
      </c>
      <c r="W161" t="inlineStr">
        <is>
          <t>CNY</t>
        </is>
      </c>
      <c r="X161" t="n">
        <v>1</v>
      </c>
      <c r="Y161" t="n">
        <v>43822.91</v>
      </c>
      <c r="Z161" t="n">
        <v>0</v>
      </c>
      <c r="AA161" t="n">
        <v>97253.39999999999</v>
      </c>
      <c r="AF161" t="n">
        <v>0</v>
      </c>
      <c r="AG161" t="n">
        <v>293873.4</v>
      </c>
      <c r="AH161" t="n">
        <v>6.705930756309884</v>
      </c>
      <c r="AJ161" t="n">
        <v>6.705930756309884</v>
      </c>
      <c r="AK161" t="n">
        <v>4.714164349195432</v>
      </c>
      <c r="AQ161" t="n">
        <v>293873.4</v>
      </c>
      <c r="AR161" t="n">
        <v>6.705930756309884</v>
      </c>
      <c r="AS161" t="n">
        <v>1.367266382859935</v>
      </c>
      <c r="BL161" t="n">
        <v>1</v>
      </c>
      <c r="BM161" t="n">
        <v>39375</v>
      </c>
      <c r="BN161" t="n">
        <v>0</v>
      </c>
      <c r="BO161" t="n">
        <v>42890</v>
      </c>
      <c r="BP161" t="inlineStr">
        <is>
          <t>G,G</t>
        </is>
      </c>
      <c r="BQ161" t="inlineStr">
        <is>
          <t>T1</t>
        </is>
      </c>
      <c r="BS161" t="n">
        <v>3.586666666666666</v>
      </c>
      <c r="BT161" t="n">
        <v>73710</v>
      </c>
      <c r="BV161" t="n">
        <v>5.458666666666667</v>
      </c>
      <c r="BY161" t="n">
        <v>214935</v>
      </c>
      <c r="BZ161" t="n">
        <v>5.458666666666667</v>
      </c>
      <c r="CP161" t="inlineStr">
        <is>
          <t>预算及职能系统财务管理部</t>
        </is>
      </c>
      <c r="CQ161" t="inlineStr">
        <is>
          <t>3,3</t>
        </is>
      </c>
      <c r="CR161" t="n">
        <v>9</v>
      </c>
      <c r="CS161" t="inlineStr">
        <is>
          <t>T1</t>
        </is>
      </c>
      <c r="CT161" t="inlineStr">
        <is>
          <t>N</t>
        </is>
      </c>
    </row>
    <row r="162">
      <c r="A162" t="inlineStr">
        <is>
          <t>karenKang(康洁丹)</t>
        </is>
      </c>
      <c r="C162" t="n">
        <v>11082561</v>
      </c>
      <c r="D162" t="inlineStr">
        <is>
          <t>IEG财务管理</t>
        </is>
      </c>
      <c r="E162" t="inlineStr">
        <is>
          <t>自研财务管理组</t>
        </is>
      </c>
      <c r="G162" t="inlineStr">
        <is>
          <t>S2职能系统－财经线/IEG财务管理/自研财务管理组</t>
        </is>
      </c>
      <c r="H162" s="188" t="n">
        <v>42792</v>
      </c>
      <c r="I162" t="inlineStr">
        <is>
          <t>社会招聘</t>
        </is>
      </c>
      <c r="J162" t="inlineStr">
        <is>
          <t>财经类－FN</t>
        </is>
      </c>
      <c r="K162" t="inlineStr">
        <is>
          <t>财务管理</t>
        </is>
      </c>
      <c r="L162" t="inlineStr">
        <is>
          <t>S9</t>
        </is>
      </c>
      <c r="N162" t="inlineStr">
        <is>
          <t>T1</t>
        </is>
      </c>
      <c r="Q162" t="inlineStr">
        <is>
          <t>G,G</t>
        </is>
      </c>
      <c r="U162" t="n">
        <v>46899.3</v>
      </c>
      <c r="V162" t="n">
        <v>0.083333</v>
      </c>
      <c r="W162" t="inlineStr">
        <is>
          <t>CNY</t>
        </is>
      </c>
      <c r="X162" t="n">
        <v>1</v>
      </c>
      <c r="Y162" t="n">
        <v>43745.18</v>
      </c>
      <c r="Z162" t="n">
        <v>0</v>
      </c>
      <c r="AA162" t="n">
        <v>93798.60000000001</v>
      </c>
      <c r="AF162" t="n">
        <v>0</v>
      </c>
      <c r="AG162" t="n">
        <v>250348.6</v>
      </c>
      <c r="AH162" t="n">
        <v>5.722884212614967</v>
      </c>
      <c r="AJ162" t="n">
        <v>5.722884212614967</v>
      </c>
      <c r="AK162" t="n">
        <v>4.477032669656405</v>
      </c>
      <c r="AQ162" t="n">
        <v>250348.6</v>
      </c>
      <c r="AR162" t="n">
        <v>5.722884212614967</v>
      </c>
      <c r="AS162" t="n">
        <v>1.254031607684023</v>
      </c>
      <c r="BL162" t="n">
        <v>1</v>
      </c>
      <c r="BM162" t="n">
        <v>39380</v>
      </c>
      <c r="BN162" t="n">
        <v>0</v>
      </c>
      <c r="BO162" t="n">
        <v>43020</v>
      </c>
      <c r="BP162" t="inlineStr">
        <is>
          <t>G,G</t>
        </is>
      </c>
      <c r="BQ162" t="inlineStr">
        <is>
          <t>T1</t>
        </is>
      </c>
      <c r="BS162" t="n">
        <v>3.496952767902489</v>
      </c>
      <c r="BT162" t="n">
        <v>61925</v>
      </c>
      <c r="BV162" t="n">
        <v>5.069451498222448</v>
      </c>
      <c r="BY162" t="n">
        <v>199635</v>
      </c>
      <c r="BZ162" t="n">
        <v>5.069451498222448</v>
      </c>
      <c r="CP162" t="inlineStr">
        <is>
          <t>IEG财务管理</t>
        </is>
      </c>
      <c r="CQ162" t="inlineStr">
        <is>
          <t>3,3</t>
        </is>
      </c>
      <c r="CR162" t="n">
        <v>9</v>
      </c>
      <c r="CS162" t="inlineStr">
        <is>
          <t>T1</t>
        </is>
      </c>
      <c r="CT162" t="inlineStr">
        <is>
          <t>N</t>
        </is>
      </c>
    </row>
    <row r="163">
      <c r="A163" t="inlineStr">
        <is>
          <t>brianYin(尹飞林)</t>
        </is>
      </c>
      <c r="C163" t="n">
        <v>20210728</v>
      </c>
      <c r="D163" t="inlineStr">
        <is>
          <t>风险管理和内部控制</t>
        </is>
      </c>
      <c r="E163" t="inlineStr">
        <is>
          <t>CSIG风控中心</t>
        </is>
      </c>
      <c r="G163" t="inlineStr">
        <is>
          <t>S2职能系统－财经线/风险管理和内部控制/CSIG风控中心</t>
        </is>
      </c>
      <c r="H163" s="188" t="n">
        <v>40326</v>
      </c>
      <c r="I163" t="inlineStr">
        <is>
          <t>社会招聘</t>
        </is>
      </c>
      <c r="J163" t="inlineStr">
        <is>
          <t>财经类－FN</t>
        </is>
      </c>
      <c r="K163" t="inlineStr">
        <is>
          <t>风险管理</t>
        </is>
      </c>
      <c r="L163" t="inlineStr">
        <is>
          <t>S11</t>
        </is>
      </c>
      <c r="N163" t="inlineStr">
        <is>
          <t>T1</t>
        </is>
      </c>
      <c r="Q163" t="inlineStr">
        <is>
          <t>G,G</t>
        </is>
      </c>
      <c r="U163" t="n">
        <v>68850.05</v>
      </c>
      <c r="V163" t="n">
        <v>0.083333</v>
      </c>
      <c r="W163" t="inlineStr">
        <is>
          <t>CNY</t>
        </is>
      </c>
      <c r="X163" t="n">
        <v>1</v>
      </c>
      <c r="Y163" t="n">
        <v>67186.11</v>
      </c>
      <c r="Z163" t="n">
        <v>0</v>
      </c>
      <c r="AA163" t="n">
        <v>137700.1</v>
      </c>
      <c r="AF163" t="n">
        <v>0</v>
      </c>
      <c r="AG163" t="n">
        <v>403430.1</v>
      </c>
      <c r="AH163" t="n">
        <v>6.0046652500048</v>
      </c>
      <c r="AJ163" t="n">
        <v>6.0046652500048</v>
      </c>
      <c r="AK163" t="n">
        <v>4.387887615460993</v>
      </c>
      <c r="AQ163" t="n">
        <v>403430.1</v>
      </c>
      <c r="AR163" t="n">
        <v>6.0046652500048</v>
      </c>
      <c r="AS163" t="n">
        <v>2.025048187932939</v>
      </c>
      <c r="BL163" t="n">
        <v>1</v>
      </c>
      <c r="BM163" t="n">
        <v>57365</v>
      </c>
      <c r="BN163" t="n">
        <v>0</v>
      </c>
      <c r="BO163" t="n">
        <v>60060</v>
      </c>
      <c r="BP163" t="inlineStr">
        <is>
          <t>U,O</t>
        </is>
      </c>
      <c r="BQ163" t="inlineStr">
        <is>
          <t>T1</t>
        </is>
      </c>
      <c r="BS163" t="n">
        <v>3.472849298352654</v>
      </c>
      <c r="BT163" t="n">
        <v>0</v>
      </c>
      <c r="BV163" t="n">
        <v>3.472849298352654</v>
      </c>
      <c r="BY163" t="n">
        <v>199220</v>
      </c>
      <c r="BZ163" t="n">
        <v>3.472849298352654</v>
      </c>
      <c r="CP163" t="inlineStr">
        <is>
          <t>风险管理和内部控制</t>
        </is>
      </c>
      <c r="CQ163" t="inlineStr">
        <is>
          <t>3,3</t>
        </is>
      </c>
      <c r="CR163" t="n">
        <v>11</v>
      </c>
      <c r="CS163" t="inlineStr">
        <is>
          <t>T1</t>
        </is>
      </c>
      <c r="CT163" t="inlineStr">
        <is>
          <t>N</t>
        </is>
      </c>
    </row>
    <row r="164">
      <c r="A164" t="inlineStr">
        <is>
          <t>loganHou(侯刚)</t>
        </is>
      </c>
      <c r="C164" t="n">
        <v>79004914</v>
      </c>
      <c r="D164" t="inlineStr">
        <is>
          <t>财会及报告管理部</t>
        </is>
      </c>
      <c r="E164" t="inlineStr">
        <is>
          <t>应收管理中心</t>
        </is>
      </c>
      <c r="G164" t="inlineStr">
        <is>
          <t>S2职能系统－财经线/财会及报告管理部/应收管理中心</t>
        </is>
      </c>
      <c r="H164" s="188" t="n">
        <v>38076</v>
      </c>
      <c r="I164" t="inlineStr">
        <is>
          <t>社会招聘</t>
        </is>
      </c>
      <c r="J164" t="inlineStr">
        <is>
          <t>财经类－FN</t>
        </is>
      </c>
      <c r="K164" t="inlineStr">
        <is>
          <t>会计</t>
        </is>
      </c>
      <c r="L164" t="inlineStr">
        <is>
          <t>S10</t>
        </is>
      </c>
      <c r="N164" t="inlineStr">
        <is>
          <t>T1#</t>
        </is>
      </c>
      <c r="Q164" t="inlineStr">
        <is>
          <t>G,G</t>
        </is>
      </c>
      <c r="U164" t="n">
        <v>55397.85</v>
      </c>
      <c r="V164" t="n">
        <v>0.083333</v>
      </c>
      <c r="W164" t="inlineStr">
        <is>
          <t>CNY</t>
        </is>
      </c>
      <c r="X164" t="n">
        <v>1</v>
      </c>
      <c r="Y164" t="n">
        <v>50718.18</v>
      </c>
      <c r="Z164" t="n">
        <v>0</v>
      </c>
      <c r="AA164" t="n">
        <v>110795.7</v>
      </c>
      <c r="AF164" t="n">
        <v>0</v>
      </c>
      <c r="AG164" t="n">
        <v>344320.7</v>
      </c>
      <c r="AH164" t="n">
        <v>6.788900942423408</v>
      </c>
      <c r="AJ164" t="n">
        <v>6.788900942423408</v>
      </c>
      <c r="AK164" t="n">
        <v>5.543193781795798</v>
      </c>
      <c r="AQ164" t="n">
        <v>344320.7</v>
      </c>
      <c r="AR164" t="n">
        <v>6.788900942423408</v>
      </c>
      <c r="AS164" t="n">
        <v>1.659017080633116</v>
      </c>
      <c r="BL164" t="n">
        <v>1</v>
      </c>
      <c r="BM164" t="n">
        <v>46470</v>
      </c>
      <c r="BN164" t="n">
        <v>0</v>
      </c>
      <c r="BO164" t="n">
        <v>50370</v>
      </c>
      <c r="BP164" t="inlineStr">
        <is>
          <t>U,G</t>
        </is>
      </c>
      <c r="BQ164" t="inlineStr">
        <is>
          <t>T1#</t>
        </is>
      </c>
      <c r="BS164" t="n">
        <v>4.46621476221218</v>
      </c>
      <c r="BT164" t="n">
        <v>0</v>
      </c>
      <c r="BV164" t="n">
        <v>4.46621476221218</v>
      </c>
      <c r="BY164" t="n">
        <v>207545</v>
      </c>
      <c r="BZ164" t="n">
        <v>4.46621476221218</v>
      </c>
      <c r="CP164" t="inlineStr">
        <is>
          <t>财会及报告管理部</t>
        </is>
      </c>
      <c r="CQ164" t="inlineStr">
        <is>
          <t>3,3</t>
        </is>
      </c>
      <c r="CR164" t="n">
        <v>10</v>
      </c>
      <c r="CS164" t="inlineStr">
        <is>
          <t>T1#</t>
        </is>
      </c>
      <c r="CT164" t="inlineStr">
        <is>
          <t>N</t>
        </is>
      </c>
    </row>
    <row r="165">
      <c r="A165" t="inlineStr">
        <is>
          <t>gabrielQian(钱鹏辉)</t>
        </is>
      </c>
      <c r="C165" t="n">
        <v>30499145</v>
      </c>
      <c r="D165" t="inlineStr">
        <is>
          <t>IEG财务管理</t>
        </is>
      </c>
      <c r="E165" t="inlineStr">
        <is>
          <t>综合分析组</t>
        </is>
      </c>
      <c r="G165" t="inlineStr">
        <is>
          <t>S2职能系统－财经线/IEG财务管理/综合分析组</t>
        </is>
      </c>
      <c r="H165" s="188" t="n">
        <v>37361</v>
      </c>
      <c r="I165" t="inlineStr">
        <is>
          <t>社会招聘</t>
        </is>
      </c>
      <c r="J165" t="inlineStr">
        <is>
          <t>财经类－FN</t>
        </is>
      </c>
      <c r="K165" t="inlineStr">
        <is>
          <t>财务管理</t>
        </is>
      </c>
      <c r="L165" t="inlineStr">
        <is>
          <t>S9</t>
        </is>
      </c>
      <c r="N165" t="inlineStr">
        <is>
          <t>T1</t>
        </is>
      </c>
      <c r="Q165" t="inlineStr">
        <is>
          <t>O,O</t>
        </is>
      </c>
      <c r="U165" t="n">
        <v>56083.95</v>
      </c>
      <c r="V165" t="n">
        <v>0.083333</v>
      </c>
      <c r="W165" t="inlineStr">
        <is>
          <t>CNY</t>
        </is>
      </c>
      <c r="X165" t="n">
        <v>1</v>
      </c>
      <c r="Y165" t="n">
        <v>52540.97</v>
      </c>
      <c r="Z165" t="n">
        <v>0</v>
      </c>
      <c r="AA165" t="n">
        <v>224335.8</v>
      </c>
      <c r="AF165" t="n">
        <v>0</v>
      </c>
      <c r="AG165" t="n">
        <v>440990.8</v>
      </c>
      <c r="AH165" t="n">
        <v>8.39327481011485</v>
      </c>
      <c r="AJ165" t="n">
        <v>8.39327481011485</v>
      </c>
      <c r="AK165" t="n">
        <v>6.406729833880113</v>
      </c>
      <c r="AQ165" t="n">
        <v>440990.8</v>
      </c>
      <c r="AR165" t="n">
        <v>8.39327481011485</v>
      </c>
      <c r="AS165" t="n">
        <v>1.650970761109655</v>
      </c>
      <c r="BL165" t="n">
        <v>1</v>
      </c>
      <c r="BM165" t="n">
        <v>48580</v>
      </c>
      <c r="BN165" t="n">
        <v>0</v>
      </c>
      <c r="BO165" t="n">
        <v>53425</v>
      </c>
      <c r="BP165" t="inlineStr">
        <is>
          <t>G,G</t>
        </is>
      </c>
      <c r="BQ165" t="inlineStr">
        <is>
          <t>T1</t>
        </is>
      </c>
      <c r="BS165" t="n">
        <v>3.559489501852614</v>
      </c>
      <c r="BT165" t="n">
        <v>94190</v>
      </c>
      <c r="BV165" t="n">
        <v>5.498353231782627</v>
      </c>
      <c r="BY165" t="n">
        <v>267110</v>
      </c>
      <c r="BZ165" t="n">
        <v>5.498353231782627</v>
      </c>
      <c r="CP165" t="inlineStr">
        <is>
          <t>IEG财务管理</t>
        </is>
      </c>
      <c r="CQ165" t="inlineStr">
        <is>
          <t>5,5</t>
        </is>
      </c>
      <c r="CR165" t="n">
        <v>9</v>
      </c>
      <c r="CS165" t="inlineStr">
        <is>
          <t>T1</t>
        </is>
      </c>
      <c r="CT165" t="inlineStr">
        <is>
          <t>N</t>
        </is>
      </c>
    </row>
    <row r="166">
      <c r="A166" t="inlineStr">
        <is>
          <t>juliaSu(苏秀)</t>
        </is>
      </c>
      <c r="C166" t="n">
        <v>86773691</v>
      </c>
      <c r="D166" t="inlineStr">
        <is>
          <t>资金管理</t>
        </is>
      </c>
      <c r="E166" t="inlineStr">
        <is>
          <t>融资及资金筹划中心</t>
        </is>
      </c>
      <c r="G166" t="inlineStr">
        <is>
          <t>S2职能系统－财经线/资金管理/融资及资金筹划中心</t>
        </is>
      </c>
      <c r="H166" s="188" t="n">
        <v>36140</v>
      </c>
      <c r="I166" t="inlineStr">
        <is>
          <t>高校招聘</t>
        </is>
      </c>
      <c r="J166" t="inlineStr">
        <is>
          <t>财经类－FN</t>
        </is>
      </c>
      <c r="K166" t="inlineStr">
        <is>
          <t>资金管理</t>
        </is>
      </c>
      <c r="L166" t="inlineStr">
        <is>
          <t>S10</t>
        </is>
      </c>
      <c r="N166" t="inlineStr">
        <is>
          <t>T2</t>
        </is>
      </c>
      <c r="Q166" t="inlineStr">
        <is>
          <t>O,G</t>
        </is>
      </c>
      <c r="U166" t="n">
        <v>62262.55</v>
      </c>
      <c r="V166" t="n">
        <v>0.083333</v>
      </c>
      <c r="W166" t="inlineStr">
        <is>
          <t>CNY</t>
        </is>
      </c>
      <c r="X166" t="n">
        <v>1</v>
      </c>
      <c r="Y166" t="n">
        <v>59717.93</v>
      </c>
      <c r="Z166" t="n">
        <v>0</v>
      </c>
      <c r="AA166" t="n">
        <v>186787.65</v>
      </c>
      <c r="AF166" t="n">
        <v>0</v>
      </c>
      <c r="AG166" t="n">
        <v>250127.65</v>
      </c>
      <c r="AH166" t="n">
        <v>4.18848493241477</v>
      </c>
      <c r="AJ166" t="n">
        <v>4.18848493241477</v>
      </c>
      <c r="AK166" t="n">
        <v>4.18848493241477</v>
      </c>
      <c r="AQ166" t="n">
        <v>250127.65</v>
      </c>
      <c r="AR166" t="n">
        <v>4.18848493241477</v>
      </c>
      <c r="AS166" t="n">
        <v>1.029501358248271</v>
      </c>
      <c r="BL166" t="n">
        <v>1</v>
      </c>
      <c r="BM166" t="n">
        <v>53230</v>
      </c>
      <c r="BN166" t="n">
        <v>0</v>
      </c>
      <c r="BO166" t="n">
        <v>58305</v>
      </c>
      <c r="BP166" t="inlineStr">
        <is>
          <t>O,G</t>
        </is>
      </c>
      <c r="BQ166" t="inlineStr">
        <is>
          <t>T2</t>
        </is>
      </c>
      <c r="BS166" t="n">
        <v>4.564343415367274</v>
      </c>
      <c r="BT166" t="n">
        <v>0</v>
      </c>
      <c r="BV166" t="n">
        <v>4.564343415367274</v>
      </c>
      <c r="BY166" t="n">
        <v>242960</v>
      </c>
      <c r="BZ166" t="n">
        <v>4.564343415367274</v>
      </c>
      <c r="CP166" t="inlineStr">
        <is>
          <t>资金管理</t>
        </is>
      </c>
      <c r="CQ166" t="inlineStr">
        <is>
          <t>5,3</t>
        </is>
      </c>
      <c r="CR166" t="n">
        <v>10</v>
      </c>
      <c r="CS166" t="inlineStr">
        <is>
          <t>T2</t>
        </is>
      </c>
      <c r="CT166" t="inlineStr">
        <is>
          <t>N</t>
        </is>
      </c>
    </row>
    <row r="167">
      <c r="A167" t="inlineStr">
        <is>
          <t>lukeYuan(袁林)</t>
        </is>
      </c>
      <c r="C167" t="n">
        <v>33227875</v>
      </c>
      <c r="D167" t="inlineStr">
        <is>
          <t>财经投资并购及管理部</t>
        </is>
      </c>
      <c r="E167" t="inlineStr">
        <is>
          <t>行业及项目管理中心</t>
        </is>
      </c>
      <c r="G167" t="inlineStr">
        <is>
          <t>S2职能系统－财经线/财经投资并购及管理部/行业及项目管理中心</t>
        </is>
      </c>
      <c r="H167" s="188" t="n">
        <v>43283</v>
      </c>
      <c r="I167" t="inlineStr">
        <is>
          <t>社会招聘</t>
        </is>
      </c>
      <c r="J167" t="inlineStr">
        <is>
          <t>财经类－FN</t>
        </is>
      </c>
      <c r="K167" t="inlineStr">
        <is>
          <t>投资并购</t>
        </is>
      </c>
      <c r="L167" t="inlineStr">
        <is>
          <t>S10</t>
        </is>
      </c>
      <c r="N167" t="inlineStr">
        <is>
          <t>T1#</t>
        </is>
      </c>
      <c r="Q167" t="inlineStr">
        <is>
          <t>G,O</t>
        </is>
      </c>
      <c r="U167" t="n">
        <v>56652.2</v>
      </c>
      <c r="V167" t="n">
        <v>0.083333</v>
      </c>
      <c r="W167" t="inlineStr">
        <is>
          <t>CNY</t>
        </is>
      </c>
      <c r="X167" t="n">
        <v>1</v>
      </c>
      <c r="Y167" t="n">
        <v>53279.38</v>
      </c>
      <c r="Z167" t="n">
        <v>0</v>
      </c>
      <c r="AA167" t="n">
        <v>169956.6</v>
      </c>
      <c r="AF167" t="n">
        <v>0</v>
      </c>
      <c r="AG167" t="n">
        <v>461581.6</v>
      </c>
      <c r="AH167" t="n">
        <v>8.663419131378781</v>
      </c>
      <c r="AJ167" t="n">
        <v>8.663419131378781</v>
      </c>
      <c r="AK167" t="n">
        <v>6.701778436610937</v>
      </c>
      <c r="AQ167" t="n">
        <v>461581.6</v>
      </c>
      <c r="AR167" t="n">
        <v>8.663419131378781</v>
      </c>
      <c r="AS167" t="n">
        <v>2.191433319090348</v>
      </c>
      <c r="BL167" t="n">
        <v>1</v>
      </c>
      <c r="BM167" t="n">
        <v>45490</v>
      </c>
      <c r="BN167" t="n">
        <v>0</v>
      </c>
      <c r="BO167" t="n">
        <v>48260</v>
      </c>
      <c r="BP167" t="inlineStr">
        <is>
          <t>G,U</t>
        </is>
      </c>
      <c r="BQ167" t="inlineStr">
        <is>
          <t>T1#</t>
        </is>
      </c>
      <c r="BS167" t="n">
        <v>4.630248406243131</v>
      </c>
      <c r="BT167" t="n">
        <v>0</v>
      </c>
      <c r="BV167" t="n">
        <v>4.630248406243131</v>
      </c>
      <c r="BY167" t="n">
        <v>210630</v>
      </c>
      <c r="BZ167" t="n">
        <v>4.630248406243131</v>
      </c>
      <c r="CP167" t="inlineStr">
        <is>
          <t>财经投资并购及管理部</t>
        </is>
      </c>
      <c r="CQ167" t="inlineStr">
        <is>
          <t>5,3</t>
        </is>
      </c>
      <c r="CR167" t="n">
        <v>10</v>
      </c>
      <c r="CS167" t="inlineStr">
        <is>
          <t>T1#</t>
        </is>
      </c>
      <c r="CT167" t="inlineStr">
        <is>
          <t>N</t>
        </is>
      </c>
    </row>
    <row r="168">
      <c r="A168" t="inlineStr">
        <is>
          <t>tylerTan(谭德)</t>
        </is>
      </c>
      <c r="C168" t="n">
        <v>86141828</v>
      </c>
      <c r="D168" t="inlineStr">
        <is>
          <t>CSIG财务管理</t>
        </is>
      </c>
      <c r="E168" t="inlineStr">
        <is>
          <t>投资公司财务管理中心</t>
        </is>
      </c>
      <c r="G168" t="inlineStr">
        <is>
          <t>S2职能系统－财经线/CSIG财务管理/投资公司财务管理中心</t>
        </is>
      </c>
      <c r="H168" s="188" t="n">
        <v>38238</v>
      </c>
      <c r="I168" t="inlineStr">
        <is>
          <t>社会招聘</t>
        </is>
      </c>
      <c r="J168" t="inlineStr">
        <is>
          <t>财经类－FN</t>
        </is>
      </c>
      <c r="K168" t="inlineStr">
        <is>
          <t>财务管理</t>
        </is>
      </c>
      <c r="L168" t="inlineStr">
        <is>
          <t>S5</t>
        </is>
      </c>
      <c r="N168" t="inlineStr">
        <is>
          <t>T1</t>
        </is>
      </c>
      <c r="Q168" t="inlineStr">
        <is>
          <t>O,G</t>
        </is>
      </c>
      <c r="U168" t="n">
        <v>25459.55</v>
      </c>
      <c r="V168" t="n">
        <v>0.083333</v>
      </c>
      <c r="W168" t="inlineStr">
        <is>
          <t>CNY</t>
        </is>
      </c>
      <c r="X168" t="n">
        <v>1</v>
      </c>
      <c r="Y168" t="n">
        <v>25198.28</v>
      </c>
      <c r="Z168" t="n">
        <v>0</v>
      </c>
      <c r="AA168" t="n">
        <v>76378.64999999999</v>
      </c>
      <c r="AF168" t="n">
        <v>0</v>
      </c>
      <c r="AG168" t="n">
        <v>169258.65</v>
      </c>
      <c r="AH168" t="n">
        <v>6.717071562027249</v>
      </c>
      <c r="AJ168" t="n">
        <v>6.717071562027249</v>
      </c>
      <c r="AK168" t="n">
        <v>5.299117638188004</v>
      </c>
      <c r="AQ168" t="n">
        <v>169258.65</v>
      </c>
      <c r="AR168" t="n">
        <v>6.717071562027249</v>
      </c>
      <c r="AS168" t="n">
        <v>2.071329009361806</v>
      </c>
      <c r="BL168" t="n">
        <v>1</v>
      </c>
      <c r="BM168" t="n">
        <v>21955</v>
      </c>
      <c r="BN168" t="n">
        <v>0</v>
      </c>
      <c r="BO168" t="n">
        <v>23475</v>
      </c>
      <c r="BP168" t="inlineStr">
        <is>
          <t>O,U</t>
        </is>
      </c>
      <c r="BQ168" t="inlineStr">
        <is>
          <t>T1</t>
        </is>
      </c>
      <c r="BS168" t="n">
        <v>3.721931222956047</v>
      </c>
      <c r="BT168" t="n">
        <v>0</v>
      </c>
      <c r="BV168" t="n">
        <v>3.721931222956047</v>
      </c>
      <c r="BY168" t="n">
        <v>81715</v>
      </c>
      <c r="BZ168" t="n">
        <v>3.721931222956047</v>
      </c>
      <c r="CP168" t="inlineStr">
        <is>
          <t>CSIG财务管理</t>
        </is>
      </c>
      <c r="CQ168" t="inlineStr">
        <is>
          <t>5,3</t>
        </is>
      </c>
      <c r="CR168" t="n">
        <v>5</v>
      </c>
      <c r="CS168" t="inlineStr">
        <is>
          <t>T1</t>
        </is>
      </c>
      <c r="CT168" t="inlineStr">
        <is>
          <t>N</t>
        </is>
      </c>
    </row>
    <row r="169">
      <c r="A169" t="inlineStr">
        <is>
          <t>mayaDing(丁晴)</t>
        </is>
      </c>
      <c r="C169" t="n">
        <v>28498863</v>
      </c>
      <c r="D169" t="inlineStr">
        <is>
          <t>应收账款管理中心</t>
        </is>
      </c>
      <c r="E169" t="inlineStr">
        <is>
          <t>应收管理2组</t>
        </is>
      </c>
      <c r="G169" t="inlineStr">
        <is>
          <t>S2职能系统－财经线/应收账款管理中心/应收管理2组</t>
        </is>
      </c>
      <c r="H169" s="188" t="n">
        <v>36626</v>
      </c>
      <c r="I169" t="inlineStr">
        <is>
          <t>社会招聘</t>
        </is>
      </c>
      <c r="J169" t="inlineStr">
        <is>
          <t>财经类－FN</t>
        </is>
      </c>
      <c r="K169" t="inlineStr">
        <is>
          <t>会计</t>
        </is>
      </c>
      <c r="L169" t="inlineStr">
        <is>
          <t>S6</t>
        </is>
      </c>
      <c r="N169" t="inlineStr">
        <is>
          <t>T2</t>
        </is>
      </c>
      <c r="Q169" t="inlineStr">
        <is>
          <t>G,G</t>
        </is>
      </c>
      <c r="U169" t="n">
        <v>22738.6</v>
      </c>
      <c r="V169" t="n">
        <v>0.083333</v>
      </c>
      <c r="W169" t="inlineStr">
        <is>
          <t>CNY</t>
        </is>
      </c>
      <c r="X169" t="n">
        <v>1</v>
      </c>
      <c r="Y169" t="n">
        <v>21630.32</v>
      </c>
      <c r="Z169" t="n">
        <v>0</v>
      </c>
      <c r="AA169" t="n">
        <v>45477.2</v>
      </c>
      <c r="AF169" t="n">
        <v>0</v>
      </c>
      <c r="AG169" t="n">
        <v>68547.2</v>
      </c>
      <c r="AH169" t="n">
        <v>3.169033097984681</v>
      </c>
      <c r="AJ169" t="n">
        <v>3.169033097984681</v>
      </c>
      <c r="AK169" t="n">
        <v>3.169033097984681</v>
      </c>
      <c r="AQ169" t="n">
        <v>68547.2</v>
      </c>
      <c r="AR169" t="n">
        <v>3.169033097984681</v>
      </c>
      <c r="AS169" t="n">
        <v>0.8328436911487759</v>
      </c>
      <c r="BL169" t="n">
        <v>1</v>
      </c>
      <c r="BM169" t="n">
        <v>18815</v>
      </c>
      <c r="BN169" t="n">
        <v>0</v>
      </c>
      <c r="BO169" t="n">
        <v>20185</v>
      </c>
      <c r="BP169" t="inlineStr">
        <is>
          <t>O,G</t>
        </is>
      </c>
      <c r="BQ169" t="inlineStr">
        <is>
          <t>T2</t>
        </is>
      </c>
      <c r="BS169" t="n">
        <v>4.37443529099123</v>
      </c>
      <c r="BT169" t="n">
        <v>0</v>
      </c>
      <c r="BV169" t="n">
        <v>4.37443529099123</v>
      </c>
      <c r="BY169" t="n">
        <v>82305</v>
      </c>
      <c r="BZ169" t="n">
        <v>4.37443529099123</v>
      </c>
      <c r="CP169" t="inlineStr">
        <is>
          <t>应收账款管理中心</t>
        </is>
      </c>
      <c r="CQ169" t="inlineStr">
        <is>
          <t>3,3</t>
        </is>
      </c>
      <c r="CR169" t="n">
        <v>6</v>
      </c>
      <c r="CS169" t="inlineStr">
        <is>
          <t>T2</t>
        </is>
      </c>
      <c r="CT169" t="inlineStr">
        <is>
          <t>N</t>
        </is>
      </c>
    </row>
    <row r="170">
      <c r="A170" t="inlineStr">
        <is>
          <t>genesisCheng(程琳)</t>
        </is>
      </c>
      <c r="C170" t="n">
        <v>75847734</v>
      </c>
      <c r="D170" t="inlineStr">
        <is>
          <t>FiT财务管理</t>
        </is>
      </c>
      <c r="E170" t="inlineStr">
        <is>
          <t>业务支持与分析中心</t>
        </is>
      </c>
      <c r="G170" t="inlineStr">
        <is>
          <t>S2职能系统－财经线/FiT财务管理/业务支持与分析中心</t>
        </is>
      </c>
      <c r="H170" s="188" t="n">
        <v>44408</v>
      </c>
      <c r="I170" t="inlineStr">
        <is>
          <t>社会招聘</t>
        </is>
      </c>
      <c r="J170" t="inlineStr">
        <is>
          <t>财经类－FN</t>
        </is>
      </c>
      <c r="K170" t="inlineStr">
        <is>
          <t>财务管理</t>
        </is>
      </c>
      <c r="L170" t="inlineStr">
        <is>
          <t>S9</t>
        </is>
      </c>
      <c r="N170" t="inlineStr">
        <is>
          <t>Others</t>
        </is>
      </c>
      <c r="Q170" t="inlineStr">
        <is>
          <t>G,U</t>
        </is>
      </c>
      <c r="U170" t="n">
        <v>38780.8</v>
      </c>
      <c r="V170" t="n">
        <v>0.083333</v>
      </c>
      <c r="W170" t="inlineStr">
        <is>
          <t>CNY</t>
        </is>
      </c>
      <c r="X170" t="n">
        <v>1</v>
      </c>
      <c r="Y170" t="n">
        <v>36165.09</v>
      </c>
      <c r="Z170" t="n">
        <v>0</v>
      </c>
      <c r="AA170" t="n">
        <v>38780.8</v>
      </c>
      <c r="AF170" t="n">
        <v>0</v>
      </c>
      <c r="AG170" t="n">
        <v>67650.8</v>
      </c>
      <c r="AH170" t="n">
        <v>1.870610580534986</v>
      </c>
      <c r="AJ170" t="n">
        <v>1.870610580534986</v>
      </c>
      <c r="AK170" t="n">
        <v>1.870610580534986</v>
      </c>
      <c r="AQ170" t="n">
        <v>67650.8</v>
      </c>
      <c r="AR170" t="n">
        <v>1.870610580534986</v>
      </c>
      <c r="AS170" t="n">
        <v>0.5633107123527208</v>
      </c>
      <c r="BL170" t="n">
        <v>1</v>
      </c>
      <c r="BM170" t="n">
        <v>33695</v>
      </c>
      <c r="BN170" t="n">
        <v>0</v>
      </c>
      <c r="BO170" t="n">
        <v>37010</v>
      </c>
      <c r="BP170" t="inlineStr">
        <is>
          <t>G,G</t>
        </is>
      </c>
      <c r="BQ170" t="inlineStr">
        <is>
          <t>Others</t>
        </is>
      </c>
      <c r="BS170" t="n">
        <v>3.564178661522481</v>
      </c>
      <c r="BT170" t="n">
        <v>0</v>
      </c>
      <c r="BV170" t="n">
        <v>3.564178661522481</v>
      </c>
      <c r="BY170" t="n">
        <v>120095</v>
      </c>
      <c r="BZ170" t="n">
        <v>3.564178661522481</v>
      </c>
      <c r="CP170" t="inlineStr">
        <is>
          <t>FiT财务管理</t>
        </is>
      </c>
      <c r="CQ170" t="inlineStr">
        <is>
          <t>3,1</t>
        </is>
      </c>
      <c r="CR170" t="n">
        <v>9</v>
      </c>
      <c r="CS170" t="inlineStr">
        <is>
          <t>Others</t>
        </is>
      </c>
      <c r="CT170" t="inlineStr">
        <is>
          <t>N</t>
        </is>
      </c>
    </row>
    <row r="171">
      <c r="A171" t="inlineStr">
        <is>
          <t>terryHong(洪鑫毅)</t>
        </is>
      </c>
      <c r="C171" t="n">
        <v>16551250</v>
      </c>
      <c r="D171" t="inlineStr">
        <is>
          <t>财经IT管理部</t>
        </is>
      </c>
      <c r="E171" t="inlineStr">
        <is>
          <t>公共支持中心</t>
        </is>
      </c>
      <c r="G171" t="inlineStr">
        <is>
          <t>S2职能系统－财经线/财经IT管理部/公共支持中心</t>
        </is>
      </c>
      <c r="H171" s="188" t="n">
        <v>42621</v>
      </c>
      <c r="I171" t="inlineStr">
        <is>
          <t>高校招聘</t>
        </is>
      </c>
      <c r="J171" t="inlineStr">
        <is>
          <t>技术研发类－TRD</t>
        </is>
      </c>
      <c r="K171" t="inlineStr">
        <is>
          <t>应用开发</t>
        </is>
      </c>
      <c r="L171" t="inlineStr">
        <is>
          <t>T10</t>
        </is>
      </c>
      <c r="N171" t="inlineStr">
        <is>
          <t>T2</t>
        </is>
      </c>
      <c r="Q171" t="inlineStr">
        <is>
          <t>G,G</t>
        </is>
      </c>
      <c r="U171" t="n">
        <v>37223.25</v>
      </c>
      <c r="V171" t="n">
        <v>0.083333</v>
      </c>
      <c r="W171" t="inlineStr">
        <is>
          <t>CNY</t>
        </is>
      </c>
      <c r="X171" t="n">
        <v>1</v>
      </c>
      <c r="Y171" t="n">
        <v>36470.65</v>
      </c>
      <c r="Z171" t="n">
        <v>0</v>
      </c>
      <c r="AA171" t="n">
        <v>74446.5</v>
      </c>
      <c r="AF171" t="n">
        <v>0</v>
      </c>
      <c r="AG171" t="n">
        <v>116496.5</v>
      </c>
      <c r="AH171" t="n">
        <v>3.194253461344944</v>
      </c>
      <c r="AJ171" t="n">
        <v>3.194253461344944</v>
      </c>
      <c r="AK171" t="n">
        <v>3.194253461344944</v>
      </c>
      <c r="AQ171" t="n">
        <v>116496.5</v>
      </c>
      <c r="AR171" t="n">
        <v>3.194253461344944</v>
      </c>
      <c r="AS171" t="n">
        <v>1.048620549979747</v>
      </c>
      <c r="BL171" t="n">
        <v>1</v>
      </c>
      <c r="BM171" t="n">
        <v>33490</v>
      </c>
      <c r="BN171" t="n">
        <v>0</v>
      </c>
      <c r="BO171" t="n">
        <v>34405</v>
      </c>
      <c r="BP171" t="inlineStr">
        <is>
          <t>G,G</t>
        </is>
      </c>
      <c r="BQ171" t="inlineStr">
        <is>
          <t>T2</t>
        </is>
      </c>
      <c r="BS171" t="n">
        <v>3.317258883248731</v>
      </c>
      <c r="BT171" t="n">
        <v>0</v>
      </c>
      <c r="BV171" t="n">
        <v>3.317258883248731</v>
      </c>
      <c r="BY171" t="n">
        <v>111095</v>
      </c>
      <c r="BZ171" t="n">
        <v>3.317258883248731</v>
      </c>
      <c r="CP171" t="inlineStr">
        <is>
          <t>财经IT管理部</t>
        </is>
      </c>
      <c r="CQ171" t="inlineStr">
        <is>
          <t>3,3</t>
        </is>
      </c>
      <c r="CR171" t="n">
        <v>10</v>
      </c>
      <c r="CS171" t="inlineStr">
        <is>
          <t>T2</t>
        </is>
      </c>
      <c r="CT171" t="inlineStr">
        <is>
          <t>N</t>
        </is>
      </c>
    </row>
    <row r="172">
      <c r="A172" t="inlineStr">
        <is>
          <t>judyZhao(赵丽茹)</t>
        </is>
      </c>
      <c r="C172" t="n">
        <v>13765074</v>
      </c>
      <c r="D172" t="inlineStr">
        <is>
          <t>财经IT管理部</t>
        </is>
      </c>
      <c r="E172" t="inlineStr">
        <is>
          <t>业务开发中心</t>
        </is>
      </c>
      <c r="G172" t="inlineStr">
        <is>
          <t>S2职能系统－财经线/财经IT管理部/业务开发中心</t>
        </is>
      </c>
      <c r="H172" s="188" t="n">
        <v>42203</v>
      </c>
      <c r="I172" t="inlineStr">
        <is>
          <t>社会招聘</t>
        </is>
      </c>
      <c r="J172" t="inlineStr">
        <is>
          <t>技术研发类－TRD</t>
        </is>
      </c>
      <c r="K172" t="inlineStr">
        <is>
          <t>应用开发</t>
        </is>
      </c>
      <c r="L172" t="inlineStr">
        <is>
          <t>T8</t>
        </is>
      </c>
      <c r="N172" t="inlineStr">
        <is>
          <t>T2</t>
        </is>
      </c>
      <c r="Q172" t="inlineStr">
        <is>
          <t>G,G</t>
        </is>
      </c>
      <c r="U172" t="n">
        <v>42149.9</v>
      </c>
      <c r="V172" t="n">
        <v>0.083333</v>
      </c>
      <c r="W172" t="inlineStr">
        <is>
          <t>CNY</t>
        </is>
      </c>
      <c r="X172" t="n">
        <v>1</v>
      </c>
      <c r="Y172" t="n">
        <v>40008.73</v>
      </c>
      <c r="Z172" t="n">
        <v>0</v>
      </c>
      <c r="AA172" t="n">
        <v>84299.8</v>
      </c>
      <c r="AF172" t="n">
        <v>0</v>
      </c>
      <c r="AG172" t="n">
        <v>135814.8</v>
      </c>
      <c r="AH172" t="n">
        <v>3.394629122194081</v>
      </c>
      <c r="AJ172" t="n">
        <v>3.394629122194081</v>
      </c>
      <c r="AK172" t="n">
        <v>3.394629122194081</v>
      </c>
      <c r="AQ172" t="n">
        <v>135814.8</v>
      </c>
      <c r="AR172" t="n">
        <v>3.394629122194081</v>
      </c>
      <c r="AS172" t="n">
        <v>1.247037003030025</v>
      </c>
      <c r="BL172" t="n">
        <v>1</v>
      </c>
      <c r="BM172" t="n">
        <v>34655</v>
      </c>
      <c r="BN172" t="n">
        <v>0</v>
      </c>
      <c r="BO172" t="n">
        <v>36040</v>
      </c>
      <c r="BP172" t="inlineStr">
        <is>
          <t>G,G</t>
        </is>
      </c>
      <c r="BQ172" t="inlineStr">
        <is>
          <t>T2</t>
        </is>
      </c>
      <c r="BS172" t="n">
        <v>3.14269225220026</v>
      </c>
      <c r="BT172" t="n">
        <v>0</v>
      </c>
      <c r="BV172" t="n">
        <v>3.14269225220026</v>
      </c>
      <c r="BY172" t="n">
        <v>108910</v>
      </c>
      <c r="BZ172" t="n">
        <v>3.14269225220026</v>
      </c>
      <c r="CP172" t="inlineStr">
        <is>
          <t>财经IT管理部</t>
        </is>
      </c>
      <c r="CQ172" t="inlineStr">
        <is>
          <t>3,3</t>
        </is>
      </c>
      <c r="CR172" t="n">
        <v>8</v>
      </c>
      <c r="CS172" t="inlineStr">
        <is>
          <t>T2</t>
        </is>
      </c>
      <c r="CT172" t="inlineStr">
        <is>
          <t>N</t>
        </is>
      </c>
    </row>
    <row r="173">
      <c r="A173" t="inlineStr">
        <is>
          <t>richardHou(侯涛)</t>
        </is>
      </c>
      <c r="C173" t="n">
        <v>27453332</v>
      </c>
      <c r="D173" t="inlineStr">
        <is>
          <t>财会及报告管理部</t>
        </is>
      </c>
      <c r="E173" t="inlineStr">
        <is>
          <t>账务中心</t>
        </is>
      </c>
      <c r="G173" t="inlineStr">
        <is>
          <t>S2职能系统－财经线/财会及报告管理部/账务中心</t>
        </is>
      </c>
      <c r="H173" s="188" t="n">
        <v>36488</v>
      </c>
      <c r="I173" t="inlineStr">
        <is>
          <t>社会招聘</t>
        </is>
      </c>
      <c r="J173" t="inlineStr">
        <is>
          <t>财经类－FN</t>
        </is>
      </c>
      <c r="K173" t="inlineStr">
        <is>
          <t>会计</t>
        </is>
      </c>
      <c r="L173" t="inlineStr">
        <is>
          <t>S10</t>
        </is>
      </c>
      <c r="N173" t="inlineStr">
        <is>
          <t>T1</t>
        </is>
      </c>
      <c r="Q173" t="inlineStr">
        <is>
          <t>O,G</t>
        </is>
      </c>
      <c r="U173" t="n">
        <v>36209.8</v>
      </c>
      <c r="V173" t="n">
        <v>0.083333</v>
      </c>
      <c r="W173" t="inlineStr">
        <is>
          <t>CNY</t>
        </is>
      </c>
      <c r="X173" t="n">
        <v>1</v>
      </c>
      <c r="Y173" t="n">
        <v>34348.53</v>
      </c>
      <c r="Z173" t="n">
        <v>0</v>
      </c>
      <c r="AA173" t="n">
        <v>108629.4</v>
      </c>
      <c r="AF173" t="n">
        <v>0</v>
      </c>
      <c r="AG173" t="n">
        <v>237249.4</v>
      </c>
      <c r="AH173" t="n">
        <v>6.907119460425236</v>
      </c>
      <c r="AJ173" t="n">
        <v>6.907119460425236</v>
      </c>
      <c r="AK173" t="n">
        <v>5.332234014090268</v>
      </c>
      <c r="AQ173" t="n">
        <v>237249.4</v>
      </c>
      <c r="AR173" t="n">
        <v>6.907119460425236</v>
      </c>
      <c r="AS173" t="n">
        <v>1.57981954386549</v>
      </c>
      <c r="BL173" t="n">
        <v>1</v>
      </c>
      <c r="BM173" t="n">
        <v>31310</v>
      </c>
      <c r="BN173" t="n">
        <v>0</v>
      </c>
      <c r="BO173" t="n">
        <v>33660</v>
      </c>
      <c r="BP173" t="inlineStr">
        <is>
          <t>G,G</t>
        </is>
      </c>
      <c r="BQ173" t="inlineStr">
        <is>
          <t>T1</t>
        </is>
      </c>
      <c r="BS173" t="n">
        <v>3.548067709996806</v>
      </c>
      <c r="BT173" t="n">
        <v>39085</v>
      </c>
      <c r="BV173" t="n">
        <v>4.796390929415522</v>
      </c>
      <c r="BY173" t="n">
        <v>150175</v>
      </c>
      <c r="BZ173" t="n">
        <v>4.796390929415522</v>
      </c>
      <c r="CP173" t="inlineStr">
        <is>
          <t>财会及报告管理部</t>
        </is>
      </c>
      <c r="CQ173" t="inlineStr">
        <is>
          <t>5,3</t>
        </is>
      </c>
      <c r="CR173" t="n">
        <v>10</v>
      </c>
      <c r="CS173" t="inlineStr">
        <is>
          <t>T1</t>
        </is>
      </c>
      <c r="CT173" t="inlineStr">
        <is>
          <t>N</t>
        </is>
      </c>
    </row>
    <row r="174">
      <c r="A174" t="inlineStr">
        <is>
          <t>francesDai(戴露娜)</t>
        </is>
      </c>
      <c r="C174" t="n">
        <v>51218245</v>
      </c>
      <c r="D174" t="inlineStr">
        <is>
          <t>财会及报告管理部</t>
        </is>
      </c>
      <c r="E174" t="inlineStr">
        <is>
          <t>应收管理中心</t>
        </is>
      </c>
      <c r="G174" t="inlineStr">
        <is>
          <t>S2职能系统－财经线/财会及报告管理部/应收管理中心</t>
        </is>
      </c>
      <c r="H174" s="188" t="n">
        <v>45469</v>
      </c>
      <c r="I174" t="inlineStr">
        <is>
          <t>社会招聘</t>
        </is>
      </c>
      <c r="J174" t="inlineStr">
        <is>
          <t>财经类－FN</t>
        </is>
      </c>
      <c r="K174" t="inlineStr">
        <is>
          <t>会计</t>
        </is>
      </c>
      <c r="L174" t="inlineStr">
        <is>
          <t>S8</t>
        </is>
      </c>
      <c r="N174" t="inlineStr">
        <is>
          <t>T1</t>
        </is>
      </c>
      <c r="Q174" t="inlineStr">
        <is>
          <t>N,G</t>
        </is>
      </c>
      <c r="U174" t="n">
        <v>42426.5</v>
      </c>
      <c r="V174" t="n">
        <v>0.083333</v>
      </c>
      <c r="W174" t="inlineStr">
        <is>
          <t>CNY</t>
        </is>
      </c>
      <c r="X174" t="n">
        <v>0.515068</v>
      </c>
      <c r="Y174" t="n">
        <v>38378.67</v>
      </c>
      <c r="Z174" t="n">
        <v>0</v>
      </c>
      <c r="AA174" t="n">
        <v>21852.53</v>
      </c>
      <c r="AF174" t="n">
        <v>0</v>
      </c>
      <c r="AG174" t="n">
        <v>21852.53</v>
      </c>
      <c r="AH174" t="n">
        <v>0.5693925818690434</v>
      </c>
      <c r="AJ174" t="n">
        <v>0.5693925818690434</v>
      </c>
      <c r="AK174" t="n">
        <v>0.5693925818690434</v>
      </c>
      <c r="AQ174" t="n">
        <v>21852.53</v>
      </c>
      <c r="AR174" t="n">
        <v>0.5693925818690434</v>
      </c>
      <c r="BM174" t="n">
        <v>0</v>
      </c>
      <c r="BN174" t="n">
        <v>0</v>
      </c>
      <c r="BO174" t="n">
        <v>0</v>
      </c>
      <c r="BT174" t="n">
        <v>0</v>
      </c>
      <c r="BY174" t="n">
        <v>0</v>
      </c>
      <c r="CP174" t="inlineStr">
        <is>
          <t>财会及报告管理部</t>
        </is>
      </c>
      <c r="CQ174" t="n">
        <v>3</v>
      </c>
      <c r="CR174" t="n">
        <v>8</v>
      </c>
      <c r="CS174" t="inlineStr">
        <is>
          <t>T1</t>
        </is>
      </c>
      <c r="CT174" t="inlineStr">
        <is>
          <t>N</t>
        </is>
      </c>
    </row>
    <row r="175">
      <c r="A175" t="inlineStr">
        <is>
          <t>zacharyHong(洪成)</t>
        </is>
      </c>
      <c r="C175" t="n">
        <v>3001562</v>
      </c>
      <c r="D175" t="inlineStr">
        <is>
          <t>财会及报告管理部</t>
        </is>
      </c>
      <c r="E175" t="inlineStr">
        <is>
          <t>资产管理组</t>
        </is>
      </c>
      <c r="G175" t="inlineStr">
        <is>
          <t>S2职能系统－财经线/财会及报告管理部/资产管理组</t>
        </is>
      </c>
      <c r="H175" s="188" t="n">
        <v>44585</v>
      </c>
      <c r="I175" t="inlineStr">
        <is>
          <t>高校招聘</t>
        </is>
      </c>
      <c r="J175" t="inlineStr">
        <is>
          <t>财经类－FN</t>
        </is>
      </c>
      <c r="K175" t="inlineStr">
        <is>
          <t>会计</t>
        </is>
      </c>
      <c r="L175" t="inlineStr">
        <is>
          <t>S7</t>
        </is>
      </c>
      <c r="N175" t="inlineStr">
        <is>
          <t>T1</t>
        </is>
      </c>
      <c r="Q175" t="inlineStr">
        <is>
          <t>G,G</t>
        </is>
      </c>
      <c r="U175" t="n">
        <v>39603.5</v>
      </c>
      <c r="V175" t="n">
        <v>0.083333</v>
      </c>
      <c r="W175" t="inlineStr">
        <is>
          <t>CNY</t>
        </is>
      </c>
      <c r="X175" t="n">
        <v>1</v>
      </c>
      <c r="Y175" t="n">
        <v>38649.04</v>
      </c>
      <c r="Z175" t="n">
        <v>0</v>
      </c>
      <c r="AA175" t="n">
        <v>79207</v>
      </c>
      <c r="AF175" t="n">
        <v>0</v>
      </c>
      <c r="AG175" t="n">
        <v>225117</v>
      </c>
      <c r="AH175" t="n">
        <v>5.824646614767145</v>
      </c>
      <c r="AJ175" t="n">
        <v>5.824646614767145</v>
      </c>
      <c r="AK175" t="n">
        <v>4.267040009273193</v>
      </c>
      <c r="AQ175" t="n">
        <v>225117</v>
      </c>
      <c r="AR175" t="n">
        <v>5.824646614767145</v>
      </c>
      <c r="AS175" t="n">
        <v>1.004470918947862</v>
      </c>
      <c r="BL175" t="n">
        <v>1</v>
      </c>
      <c r="BM175" t="n">
        <v>34675</v>
      </c>
      <c r="BN175" t="n">
        <v>0</v>
      </c>
      <c r="BO175" t="n">
        <v>34985</v>
      </c>
      <c r="BP175" t="inlineStr">
        <is>
          <t>G,O</t>
        </is>
      </c>
      <c r="BQ175" t="inlineStr">
        <is>
          <t>T1</t>
        </is>
      </c>
      <c r="BS175" t="n">
        <v>4.529920692141312</v>
      </c>
      <c r="BT175" t="n">
        <v>67040</v>
      </c>
      <c r="BV175" t="n">
        <v>6.463302090843547</v>
      </c>
      <c r="BY175" t="n">
        <v>224115</v>
      </c>
      <c r="BZ175" t="n">
        <v>6.463302090843547</v>
      </c>
      <c r="CP175" t="inlineStr">
        <is>
          <t>财会及报告管理部</t>
        </is>
      </c>
      <c r="CQ175" t="inlineStr">
        <is>
          <t>3,3</t>
        </is>
      </c>
      <c r="CR175" t="n">
        <v>7</v>
      </c>
      <c r="CS175" t="inlineStr">
        <is>
          <t>T1</t>
        </is>
      </c>
      <c r="CT175" t="inlineStr">
        <is>
          <t>N</t>
        </is>
      </c>
    </row>
    <row r="176">
      <c r="A176" t="inlineStr">
        <is>
          <t>rubyWei(魏茹)</t>
        </is>
      </c>
      <c r="C176" t="n">
        <v>61323894</v>
      </c>
      <c r="D176" t="inlineStr">
        <is>
          <t>风险管理和内部控制</t>
        </is>
      </c>
      <c r="E176" t="inlineStr">
        <is>
          <t>S系统风控组</t>
        </is>
      </c>
      <c r="G176" t="inlineStr">
        <is>
          <t>S2职能系统－财经线/风险管理和内部控制/S系统风控组</t>
        </is>
      </c>
      <c r="H176" s="188" t="n">
        <v>45086</v>
      </c>
      <c r="I176" t="inlineStr">
        <is>
          <t>社会招聘</t>
        </is>
      </c>
      <c r="J176" t="inlineStr">
        <is>
          <t>财经类－FN</t>
        </is>
      </c>
      <c r="K176" t="inlineStr">
        <is>
          <t>风险管理</t>
        </is>
      </c>
      <c r="L176" t="inlineStr">
        <is>
          <t>S9</t>
        </is>
      </c>
      <c r="N176" t="inlineStr">
        <is>
          <t>T2</t>
        </is>
      </c>
      <c r="Q176" t="inlineStr">
        <is>
          <t>G,G</t>
        </is>
      </c>
      <c r="U176" t="n">
        <v>41933.35</v>
      </c>
      <c r="V176" t="n">
        <v>0.083333</v>
      </c>
      <c r="W176" t="inlineStr">
        <is>
          <t>CNY</t>
        </is>
      </c>
      <c r="X176" t="n">
        <v>1</v>
      </c>
      <c r="Y176" t="n">
        <v>39724.02</v>
      </c>
      <c r="Z176" t="n">
        <v>0</v>
      </c>
      <c r="AA176" t="n">
        <v>83866.7</v>
      </c>
      <c r="AF176" t="n">
        <v>0</v>
      </c>
      <c r="AG176" t="n">
        <v>141056.7</v>
      </c>
      <c r="AH176" t="n">
        <v>3.550917052201666</v>
      </c>
      <c r="AJ176" t="n">
        <v>3.550917052201666</v>
      </c>
      <c r="AK176" t="n">
        <v>3.550917052201666</v>
      </c>
      <c r="AQ176" t="n">
        <v>141056.7</v>
      </c>
      <c r="AR176" t="n">
        <v>3.550917052201666</v>
      </c>
      <c r="AS176" t="n">
        <v>6.240066357000664</v>
      </c>
      <c r="BL176" t="n">
        <v>0.561643835616438</v>
      </c>
      <c r="BM176" t="n">
        <v>37700</v>
      </c>
      <c r="BN176" t="n">
        <v>0</v>
      </c>
      <c r="BO176" t="n">
        <v>40250</v>
      </c>
      <c r="BP176" t="inlineStr">
        <is>
          <t>N,G</t>
        </is>
      </c>
      <c r="BQ176" t="inlineStr">
        <is>
          <t>T2</t>
        </is>
      </c>
      <c r="BS176" t="n">
        <v>0.5996021220159151</v>
      </c>
      <c r="BT176" t="n">
        <v>0</v>
      </c>
      <c r="BV176" t="n">
        <v>0.5996021220159151</v>
      </c>
      <c r="BY176" t="n">
        <v>22605</v>
      </c>
      <c r="BZ176" t="n">
        <v>0.5996021220159151</v>
      </c>
      <c r="CP176" t="inlineStr">
        <is>
          <t>风险管理和内部控制</t>
        </is>
      </c>
      <c r="CQ176" t="inlineStr">
        <is>
          <t>3,3</t>
        </is>
      </c>
      <c r="CR176" t="n">
        <v>9</v>
      </c>
      <c r="CS176" t="inlineStr">
        <is>
          <t>T2</t>
        </is>
      </c>
      <c r="CT176" t="inlineStr">
        <is>
          <t>N</t>
        </is>
      </c>
    </row>
    <row r="177">
      <c r="A177" t="inlineStr">
        <is>
          <t>rileyLei(雷曦玉)</t>
        </is>
      </c>
      <c r="C177" t="n">
        <v>36668166</v>
      </c>
      <c r="D177" t="inlineStr">
        <is>
          <t>风险管理和内部控制</t>
        </is>
      </c>
      <c r="E177" t="inlineStr">
        <is>
          <t>CSIG风控中心</t>
        </is>
      </c>
      <c r="G177" t="inlineStr">
        <is>
          <t>S2职能系统－财经线/风险管理和内部控制/CSIG风控中心</t>
        </is>
      </c>
      <c r="H177" s="188" t="n">
        <v>43420</v>
      </c>
      <c r="I177" t="inlineStr">
        <is>
          <t>社会招聘</t>
        </is>
      </c>
      <c r="J177" t="inlineStr">
        <is>
          <t>财经类－FN</t>
        </is>
      </c>
      <c r="K177" t="inlineStr">
        <is>
          <t>风险管理</t>
        </is>
      </c>
      <c r="L177" t="inlineStr">
        <is>
          <t>S11</t>
        </is>
      </c>
      <c r="N177" t="inlineStr">
        <is>
          <t>Others</t>
        </is>
      </c>
      <c r="Q177" t="inlineStr">
        <is>
          <t>G,G</t>
        </is>
      </c>
      <c r="U177" t="n">
        <v>68065.5</v>
      </c>
      <c r="V177" t="n">
        <v>0.083333</v>
      </c>
      <c r="W177" t="inlineStr">
        <is>
          <t>CNY</t>
        </is>
      </c>
      <c r="X177" t="n">
        <v>1</v>
      </c>
      <c r="Y177" t="n">
        <v>63375.47</v>
      </c>
      <c r="Z177" t="n">
        <v>0</v>
      </c>
      <c r="AA177" t="n">
        <v>136131</v>
      </c>
      <c r="AF177" t="n">
        <v>0</v>
      </c>
      <c r="AG177" t="n">
        <v>190616</v>
      </c>
      <c r="AH177" t="n">
        <v>3.007725228704418</v>
      </c>
      <c r="AJ177" t="n">
        <v>3.007725228704418</v>
      </c>
      <c r="AK177" t="n">
        <v>3.007725228704418</v>
      </c>
      <c r="AQ177" t="n">
        <v>190616</v>
      </c>
      <c r="AR177" t="n">
        <v>3.007725228704418</v>
      </c>
      <c r="AS177" t="n">
        <v>1.042016071721424</v>
      </c>
      <c r="BL177" t="n">
        <v>1</v>
      </c>
      <c r="BM177" t="n">
        <v>59760</v>
      </c>
      <c r="BN177" t="n">
        <v>0</v>
      </c>
      <c r="BO177" t="n">
        <v>60940</v>
      </c>
      <c r="BP177" t="inlineStr">
        <is>
          <t>G,G</t>
        </is>
      </c>
      <c r="BQ177" t="inlineStr">
        <is>
          <t>Others</t>
        </is>
      </c>
      <c r="BS177" t="n">
        <v>3.061077643908969</v>
      </c>
      <c r="BT177" t="n">
        <v>0</v>
      </c>
      <c r="BV177" t="n">
        <v>3.061077643908969</v>
      </c>
      <c r="BY177" t="n">
        <v>182930</v>
      </c>
      <c r="BZ177" t="n">
        <v>3.061077643908969</v>
      </c>
      <c r="CP177" t="inlineStr">
        <is>
          <t>风险管理和内部控制</t>
        </is>
      </c>
      <c r="CQ177" t="inlineStr">
        <is>
          <t>3,3</t>
        </is>
      </c>
      <c r="CR177" t="n">
        <v>11</v>
      </c>
      <c r="CS177" t="inlineStr">
        <is>
          <t>Others</t>
        </is>
      </c>
      <c r="CT177" t="inlineStr">
        <is>
          <t>N</t>
        </is>
      </c>
    </row>
    <row r="178">
      <c r="A178" t="inlineStr">
        <is>
          <t>victoriaChen(陈月)</t>
        </is>
      </c>
      <c r="C178" t="n">
        <v>94394835</v>
      </c>
      <c r="D178" t="inlineStr">
        <is>
          <t>财会及报告管理部</t>
        </is>
      </c>
      <c r="E178" t="inlineStr">
        <is>
          <t>海外财会管理中心</t>
        </is>
      </c>
      <c r="G178" t="inlineStr">
        <is>
          <t>S2职能系统－财经线/财会及报告管理部/海外财会管理中心</t>
        </is>
      </c>
      <c r="H178" s="188" t="n">
        <v>41533</v>
      </c>
      <c r="I178" t="inlineStr">
        <is>
          <t>社会招聘</t>
        </is>
      </c>
      <c r="J178" t="inlineStr">
        <is>
          <t>财经类－FN</t>
        </is>
      </c>
      <c r="K178" t="inlineStr">
        <is>
          <t>会计</t>
        </is>
      </c>
      <c r="L178" t="inlineStr">
        <is>
          <t>S10</t>
        </is>
      </c>
      <c r="N178" t="inlineStr">
        <is>
          <t>T1#</t>
        </is>
      </c>
      <c r="Q178" t="inlineStr">
        <is>
          <t>G,G</t>
        </is>
      </c>
      <c r="U178" t="n">
        <v>53986.95</v>
      </c>
      <c r="V178" t="n">
        <v>0.083333</v>
      </c>
      <c r="W178" t="inlineStr">
        <is>
          <t>CNY</t>
        </is>
      </c>
      <c r="X178" t="n">
        <v>1</v>
      </c>
      <c r="Y178" t="n">
        <v>49069.12</v>
      </c>
      <c r="Z178" t="n">
        <v>0</v>
      </c>
      <c r="AA178" t="n">
        <v>107973.9</v>
      </c>
      <c r="AF178" t="n">
        <v>0</v>
      </c>
      <c r="AG178" t="n">
        <v>363138.9</v>
      </c>
      <c r="AH178" t="n">
        <v>7.400558640546234</v>
      </c>
      <c r="AJ178" t="n">
        <v>7.400558640546234</v>
      </c>
      <c r="AK178" t="n">
        <v>5.919586493501412</v>
      </c>
      <c r="AQ178" t="n">
        <v>363138.9</v>
      </c>
      <c r="AR178" t="n">
        <v>7.400558640546234</v>
      </c>
      <c r="AS178" t="n">
        <v>3.834219195438708</v>
      </c>
      <c r="BL178" t="n">
        <v>1</v>
      </c>
      <c r="BM178" t="n">
        <v>43220</v>
      </c>
      <c r="BN178" t="n">
        <v>0</v>
      </c>
      <c r="BO178" t="n">
        <v>46265</v>
      </c>
      <c r="BP178" t="inlineStr">
        <is>
          <t>U,G</t>
        </is>
      </c>
      <c r="BQ178" t="inlineStr">
        <is>
          <t>T2</t>
        </is>
      </c>
      <c r="BS178" t="n">
        <v>2.191346598796853</v>
      </c>
      <c r="BT178" t="n">
        <v>0</v>
      </c>
      <c r="BV178" t="n">
        <v>2.191346598796853</v>
      </c>
      <c r="BY178" t="n">
        <v>94710</v>
      </c>
      <c r="BZ178" t="n">
        <v>2.191346598796853</v>
      </c>
      <c r="CP178" t="inlineStr">
        <is>
          <t>财会及报告管理部</t>
        </is>
      </c>
      <c r="CQ178" t="inlineStr">
        <is>
          <t>3,3</t>
        </is>
      </c>
      <c r="CR178" t="n">
        <v>10</v>
      </c>
      <c r="CS178" t="inlineStr">
        <is>
          <t>T1#</t>
        </is>
      </c>
      <c r="CT178" t="inlineStr">
        <is>
          <t>N</t>
        </is>
      </c>
    </row>
    <row r="179">
      <c r="A179" t="inlineStr">
        <is>
          <t>vincentMao(毛锐胜)</t>
        </is>
      </c>
      <c r="C179" t="n">
        <v>78223446</v>
      </c>
      <c r="D179" t="inlineStr">
        <is>
          <t>财会及报告管理部</t>
        </is>
      </c>
      <c r="E179" t="inlineStr">
        <is>
          <t>账务中心</t>
        </is>
      </c>
      <c r="G179" t="inlineStr">
        <is>
          <t>S2职能系统－财经线/财会及报告管理部/账务中心</t>
        </is>
      </c>
      <c r="H179" s="188" t="n">
        <v>36501</v>
      </c>
      <c r="I179" t="inlineStr">
        <is>
          <t>社会招聘</t>
        </is>
      </c>
      <c r="J179" t="inlineStr">
        <is>
          <t>财经类－FN</t>
        </is>
      </c>
      <c r="K179" t="inlineStr">
        <is>
          <t>会计</t>
        </is>
      </c>
      <c r="L179" t="inlineStr">
        <is>
          <t>S8</t>
        </is>
      </c>
      <c r="N179" t="inlineStr">
        <is>
          <t>T1#</t>
        </is>
      </c>
      <c r="Q179" t="inlineStr">
        <is>
          <t>G,G</t>
        </is>
      </c>
      <c r="U179" t="n">
        <v>36321.3</v>
      </c>
      <c r="V179" t="n">
        <v>0.083333</v>
      </c>
      <c r="W179" t="inlineStr">
        <is>
          <t>CNY</t>
        </is>
      </c>
      <c r="X179" t="n">
        <v>1</v>
      </c>
      <c r="Y179" t="n">
        <v>35073.67</v>
      </c>
      <c r="Z179" t="n">
        <v>0</v>
      </c>
      <c r="AA179" t="n">
        <v>72642.60000000001</v>
      </c>
      <c r="AF179" t="n">
        <v>0</v>
      </c>
      <c r="AG179" t="n">
        <v>233817.6</v>
      </c>
      <c r="AH179" t="n">
        <v>6.666470888276021</v>
      </c>
      <c r="AJ179" t="n">
        <v>6.666470888276021</v>
      </c>
      <c r="AK179" t="n">
        <v>5.620387031069176</v>
      </c>
      <c r="AQ179" t="n">
        <v>233817.6</v>
      </c>
      <c r="AR179" t="n">
        <v>6.666470888276021</v>
      </c>
      <c r="AS179" t="n">
        <v>0.8911241115155211</v>
      </c>
      <c r="BL179" t="n">
        <v>1</v>
      </c>
      <c r="BM179" t="n">
        <v>29610</v>
      </c>
      <c r="BN179" t="n">
        <v>0</v>
      </c>
      <c r="BO179" t="n">
        <v>31725</v>
      </c>
      <c r="BP179" t="inlineStr">
        <is>
          <t>G,O</t>
        </is>
      </c>
      <c r="BQ179" t="inlineStr">
        <is>
          <t>T1#</t>
        </is>
      </c>
      <c r="BS179" t="n">
        <v>6.763424518743668</v>
      </c>
      <c r="BT179" t="n">
        <v>62120</v>
      </c>
      <c r="BV179" t="n">
        <v>8.861364403917596</v>
      </c>
      <c r="BY179" t="n">
        <v>262385</v>
      </c>
      <c r="BZ179" t="n">
        <v>8.861364403917596</v>
      </c>
      <c r="CP179" t="inlineStr">
        <is>
          <t>财会及报告管理部</t>
        </is>
      </c>
      <c r="CQ179" t="inlineStr">
        <is>
          <t>3,3</t>
        </is>
      </c>
      <c r="CR179" t="n">
        <v>8</v>
      </c>
      <c r="CS179" t="inlineStr">
        <is>
          <t>T1#</t>
        </is>
      </c>
      <c r="CT179" t="inlineStr">
        <is>
          <t>N</t>
        </is>
      </c>
    </row>
    <row r="180">
      <c r="A180" t="inlineStr">
        <is>
          <t>juliaPeng(彭嫣)</t>
        </is>
      </c>
      <c r="C180" t="n">
        <v>2079535</v>
      </c>
      <c r="D180" t="inlineStr">
        <is>
          <t>财经投资并购及管理部</t>
        </is>
      </c>
      <c r="E180" t="inlineStr">
        <is>
          <t>运营支持中心</t>
        </is>
      </c>
      <c r="G180" t="inlineStr">
        <is>
          <t>S2职能系统－财经线/财经投资并购及管理部/运营支持中心</t>
        </is>
      </c>
      <c r="H180" s="188" t="n">
        <v>43952</v>
      </c>
      <c r="I180" t="inlineStr">
        <is>
          <t>高校招聘</t>
        </is>
      </c>
      <c r="J180" t="inlineStr">
        <is>
          <t>财经类－FN</t>
        </is>
      </c>
      <c r="K180" t="inlineStr">
        <is>
          <t>投资并购</t>
        </is>
      </c>
      <c r="L180" t="inlineStr">
        <is>
          <t>S9</t>
        </is>
      </c>
      <c r="N180" t="inlineStr">
        <is>
          <t>T2</t>
        </is>
      </c>
      <c r="Q180" t="inlineStr">
        <is>
          <t>O,U</t>
        </is>
      </c>
      <c r="U180" t="n">
        <v>52831.3</v>
      </c>
      <c r="V180" t="n">
        <v>0.083333</v>
      </c>
      <c r="W180" t="inlineStr">
        <is>
          <t>CNY</t>
        </is>
      </c>
      <c r="X180" t="n">
        <v>1</v>
      </c>
      <c r="Y180" t="n">
        <v>50640.41</v>
      </c>
      <c r="Z180" t="n">
        <v>0</v>
      </c>
      <c r="AA180" t="n">
        <v>105662.6</v>
      </c>
      <c r="AF180" t="n">
        <v>0</v>
      </c>
      <c r="AG180" t="n">
        <v>180912.6</v>
      </c>
      <c r="AH180" t="n">
        <v>3.572494772455436</v>
      </c>
      <c r="AJ180" t="n">
        <v>3.572494772455436</v>
      </c>
      <c r="AK180" t="n">
        <v>3.572494772455436</v>
      </c>
      <c r="AQ180" t="n">
        <v>180912.6</v>
      </c>
      <c r="AR180" t="n">
        <v>3.572494772455436</v>
      </c>
      <c r="AS180" t="n">
        <v>1.715705818199061</v>
      </c>
      <c r="BL180" t="n">
        <v>1</v>
      </c>
      <c r="BM180" t="n">
        <v>42610</v>
      </c>
      <c r="BN180" t="n">
        <v>0</v>
      </c>
      <c r="BO180" t="n">
        <v>42955</v>
      </c>
      <c r="BP180" t="inlineStr">
        <is>
          <t>G,U</t>
        </is>
      </c>
      <c r="BQ180" t="inlineStr">
        <is>
          <t>T1</t>
        </is>
      </c>
      <c r="BS180" t="n">
        <v>2.474653837127435</v>
      </c>
      <c r="BT180" t="n">
        <v>0</v>
      </c>
      <c r="BV180" t="n">
        <v>2.474653837127435</v>
      </c>
      <c r="BY180" t="n">
        <v>105445</v>
      </c>
      <c r="BZ180" t="n">
        <v>2.474653837127435</v>
      </c>
      <c r="CP180" t="inlineStr">
        <is>
          <t>财经投资并购及管理部</t>
        </is>
      </c>
      <c r="CQ180" t="inlineStr">
        <is>
          <t>5,1</t>
        </is>
      </c>
      <c r="CR180" t="n">
        <v>9</v>
      </c>
      <c r="CS180" t="inlineStr">
        <is>
          <t>T2</t>
        </is>
      </c>
      <c r="CT180" t="inlineStr">
        <is>
          <t>N</t>
        </is>
      </c>
    </row>
    <row r="181">
      <c r="A181" t="inlineStr">
        <is>
          <t>brianLiang(梁军旭)</t>
        </is>
      </c>
      <c r="C181" t="n">
        <v>95424683</v>
      </c>
      <c r="D181" t="inlineStr">
        <is>
          <t>财经IT管理部</t>
        </is>
      </c>
      <c r="E181" t="inlineStr">
        <is>
          <t>国际业务支持中心</t>
        </is>
      </c>
      <c r="G181" t="inlineStr">
        <is>
          <t>S2职能系统－财经线/财经IT管理部/国际业务支持中心</t>
        </is>
      </c>
      <c r="H181" s="188" t="n">
        <v>43482</v>
      </c>
      <c r="I181" t="inlineStr">
        <is>
          <t>高校招聘</t>
        </is>
      </c>
      <c r="J181" t="inlineStr">
        <is>
          <t>技术研发类－TRD</t>
        </is>
      </c>
      <c r="K181" t="inlineStr">
        <is>
          <t>应用开发</t>
        </is>
      </c>
      <c r="L181" t="inlineStr">
        <is>
          <t>T8</t>
        </is>
      </c>
      <c r="N181" t="inlineStr">
        <is>
          <t>Others</t>
        </is>
      </c>
      <c r="Q181" t="inlineStr">
        <is>
          <t>G,U</t>
        </is>
      </c>
      <c r="U181" t="n">
        <v>42054.65</v>
      </c>
      <c r="V181" t="n">
        <v>0.083333</v>
      </c>
      <c r="W181" t="inlineStr">
        <is>
          <t>CNY</t>
        </is>
      </c>
      <c r="X181" t="n">
        <v>1</v>
      </c>
      <c r="Y181" t="n">
        <v>40455.35</v>
      </c>
      <c r="Z181" t="n">
        <v>0</v>
      </c>
      <c r="AA181" t="n">
        <v>42054.65</v>
      </c>
      <c r="AF181" t="n">
        <v>0</v>
      </c>
      <c r="AG181" t="n">
        <v>81394.64999999999</v>
      </c>
      <c r="AH181" t="n">
        <v>2.011962571081451</v>
      </c>
      <c r="AJ181" t="n">
        <v>2.011962571081451</v>
      </c>
      <c r="AK181" t="n">
        <v>2.011962571081451</v>
      </c>
      <c r="AQ181" t="n">
        <v>81394.64999999999</v>
      </c>
      <c r="AR181" t="n">
        <v>2.011962571081451</v>
      </c>
      <c r="AS181" t="n">
        <v>0.722159968059622</v>
      </c>
      <c r="BL181" t="n">
        <v>1</v>
      </c>
      <c r="BM181" t="n">
        <v>36655</v>
      </c>
      <c r="BN181" t="n">
        <v>0</v>
      </c>
      <c r="BO181" t="n">
        <v>36690</v>
      </c>
      <c r="BP181" t="inlineStr">
        <is>
          <t>G,G</t>
        </is>
      </c>
      <c r="BQ181" t="inlineStr">
        <is>
          <t>Others</t>
        </is>
      </c>
      <c r="BS181" t="n">
        <v>3.074887464193152</v>
      </c>
      <c r="BT181" t="n">
        <v>0</v>
      </c>
      <c r="BV181" t="n">
        <v>3.074887464193152</v>
      </c>
      <c r="BY181" t="n">
        <v>112710</v>
      </c>
      <c r="BZ181" t="n">
        <v>3.074887464193152</v>
      </c>
      <c r="CP181" t="inlineStr">
        <is>
          <t>财经IT管理部</t>
        </is>
      </c>
      <c r="CQ181" t="inlineStr">
        <is>
          <t>3,1</t>
        </is>
      </c>
      <c r="CR181" t="n">
        <v>8</v>
      </c>
      <c r="CS181" t="inlineStr">
        <is>
          <t>Others</t>
        </is>
      </c>
      <c r="CT181" t="inlineStr">
        <is>
          <t>N</t>
        </is>
      </c>
    </row>
    <row r="182">
      <c r="A182" t="inlineStr">
        <is>
          <t>joeWang(汪明德)</t>
        </is>
      </c>
      <c r="C182" t="n">
        <v>85029078</v>
      </c>
      <c r="D182" t="inlineStr">
        <is>
          <t>财经IT管理部</t>
        </is>
      </c>
      <c r="E182" t="inlineStr">
        <is>
          <t>公共支持中心</t>
        </is>
      </c>
      <c r="G182" t="inlineStr">
        <is>
          <t>S2职能系统－财经线/财经IT管理部/公共支持中心</t>
        </is>
      </c>
      <c r="H182" s="188" t="n">
        <v>38689</v>
      </c>
      <c r="I182" t="inlineStr">
        <is>
          <t>社会招聘</t>
        </is>
      </c>
      <c r="J182" t="inlineStr">
        <is>
          <t>技术研发类－TRD</t>
        </is>
      </c>
      <c r="K182" t="inlineStr">
        <is>
          <t>应用开发</t>
        </is>
      </c>
      <c r="L182" t="inlineStr">
        <is>
          <t>T11</t>
        </is>
      </c>
      <c r="N182" t="inlineStr">
        <is>
          <t>T2</t>
        </is>
      </c>
      <c r="Q182" t="inlineStr">
        <is>
          <t>G,O</t>
        </is>
      </c>
      <c r="U182" t="n">
        <v>48923.15</v>
      </c>
      <c r="V182" t="n">
        <v>0.083333</v>
      </c>
      <c r="W182" t="inlineStr">
        <is>
          <t>CNY</t>
        </is>
      </c>
      <c r="X182" t="n">
        <v>1</v>
      </c>
      <c r="Y182" t="n">
        <v>45726.79</v>
      </c>
      <c r="Z182" t="n">
        <v>0</v>
      </c>
      <c r="AA182" t="n">
        <v>146769.45</v>
      </c>
      <c r="AF182" t="n">
        <v>0</v>
      </c>
      <c r="AG182" t="n">
        <v>205589.45</v>
      </c>
      <c r="AH182" t="n">
        <v>4.496039411469732</v>
      </c>
      <c r="AJ182" t="n">
        <v>4.496039411469732</v>
      </c>
      <c r="AK182" t="n">
        <v>4.496039411469732</v>
      </c>
      <c r="AQ182" t="n">
        <v>205589.45</v>
      </c>
      <c r="AR182" t="n">
        <v>4.496039411469732</v>
      </c>
      <c r="AS182" t="n">
        <v>1.133161274320675</v>
      </c>
      <c r="BL182" t="n">
        <v>1</v>
      </c>
      <c r="BM182" t="n">
        <v>40890</v>
      </c>
      <c r="BN182" t="n">
        <v>0</v>
      </c>
      <c r="BO182" t="n">
        <v>43460</v>
      </c>
      <c r="BP182" t="inlineStr">
        <is>
          <t>G,O</t>
        </is>
      </c>
      <c r="BQ182" t="inlineStr">
        <is>
          <t>T2</t>
        </is>
      </c>
      <c r="BS182" t="n">
        <v>4.43702616776718</v>
      </c>
      <c r="BT182" t="n">
        <v>0</v>
      </c>
      <c r="BV182" t="n">
        <v>4.43702616776718</v>
      </c>
      <c r="BY182" t="n">
        <v>181430</v>
      </c>
      <c r="BZ182" t="n">
        <v>4.43702616776718</v>
      </c>
      <c r="CP182" t="inlineStr">
        <is>
          <t>财经IT管理部</t>
        </is>
      </c>
      <c r="CQ182" t="inlineStr">
        <is>
          <t>5,3</t>
        </is>
      </c>
      <c r="CR182" t="n">
        <v>11</v>
      </c>
      <c r="CS182" t="inlineStr">
        <is>
          <t>T2</t>
        </is>
      </c>
      <c r="CT182" t="inlineStr">
        <is>
          <t>N</t>
        </is>
      </c>
    </row>
    <row r="183">
      <c r="A183" t="inlineStr">
        <is>
          <t>danielQian(钱博博)</t>
        </is>
      </c>
      <c r="C183" t="n">
        <v>51822655</v>
      </c>
      <c r="D183" t="inlineStr">
        <is>
          <t>CSIG财务管理</t>
        </is>
      </c>
      <c r="E183" t="inlineStr">
        <is>
          <t>行业财务管理3中心</t>
        </is>
      </c>
      <c r="G183" t="inlineStr">
        <is>
          <t>S2职能系统－财经线/CSIG财务管理/行业财务管理3中心</t>
        </is>
      </c>
      <c r="H183" s="188" t="n">
        <v>44856</v>
      </c>
      <c r="I183" t="inlineStr">
        <is>
          <t>社会招聘</t>
        </is>
      </c>
      <c r="J183" t="inlineStr">
        <is>
          <t>财经类－FN</t>
        </is>
      </c>
      <c r="K183" t="inlineStr">
        <is>
          <t>财务管理</t>
        </is>
      </c>
      <c r="L183" t="inlineStr">
        <is>
          <t>S11</t>
        </is>
      </c>
      <c r="N183" t="inlineStr">
        <is>
          <t>T1</t>
        </is>
      </c>
      <c r="Q183" t="inlineStr">
        <is>
          <t>G,G</t>
        </is>
      </c>
      <c r="U183" t="n">
        <v>49774.5</v>
      </c>
      <c r="V183" t="n">
        <v>0.083333</v>
      </c>
      <c r="W183" t="inlineStr">
        <is>
          <t>CNY</t>
        </is>
      </c>
      <c r="X183" t="n">
        <v>1</v>
      </c>
      <c r="Y183" t="n">
        <v>47334.89</v>
      </c>
      <c r="Z183" t="n">
        <v>0</v>
      </c>
      <c r="AA183" t="n">
        <v>99549</v>
      </c>
      <c r="AF183" t="n">
        <v>0</v>
      </c>
      <c r="AG183" t="n">
        <v>300239</v>
      </c>
      <c r="AH183" t="n">
        <v>6.342868864805643</v>
      </c>
      <c r="AJ183" t="n">
        <v>6.342868864805643</v>
      </c>
      <c r="AK183" t="n">
        <v>4.452825389474867</v>
      </c>
      <c r="AQ183" t="n">
        <v>300239</v>
      </c>
      <c r="AR183" t="n">
        <v>6.342868864805643</v>
      </c>
      <c r="AS183" t="n">
        <v>1.459383658192777</v>
      </c>
      <c r="BL183" t="n">
        <v>1</v>
      </c>
      <c r="BM183" t="n">
        <v>42385</v>
      </c>
      <c r="BN183" t="n">
        <v>0</v>
      </c>
      <c r="BO183" t="n">
        <v>44075</v>
      </c>
      <c r="BP183" t="inlineStr">
        <is>
          <t>G,G</t>
        </is>
      </c>
      <c r="BQ183" t="inlineStr">
        <is>
          <t>T1</t>
        </is>
      </c>
      <c r="BS183" t="n">
        <v>3.494042703786717</v>
      </c>
      <c r="BT183" t="n">
        <v>57635</v>
      </c>
      <c r="BV183" t="n">
        <v>4.85383980181668</v>
      </c>
      <c r="BY183" t="n">
        <v>205730</v>
      </c>
      <c r="BZ183" t="n">
        <v>4.85383980181668</v>
      </c>
      <c r="CP183" t="inlineStr">
        <is>
          <t>CSIG财务管理</t>
        </is>
      </c>
      <c r="CQ183" t="inlineStr">
        <is>
          <t>3,3</t>
        </is>
      </c>
      <c r="CR183" t="n">
        <v>11</v>
      </c>
      <c r="CS183" t="inlineStr">
        <is>
          <t>T1</t>
        </is>
      </c>
      <c r="CT183" t="inlineStr">
        <is>
          <t>N</t>
        </is>
      </c>
    </row>
    <row r="184">
      <c r="A184" t="inlineStr">
        <is>
          <t>rileyWang(王萍英)</t>
        </is>
      </c>
      <c r="C184" t="n">
        <v>52133669</v>
      </c>
      <c r="D184" t="inlineStr">
        <is>
          <t>财经投资并购及管理部</t>
        </is>
      </c>
      <c r="E184" t="inlineStr">
        <is>
          <t>运营支持中心</t>
        </is>
      </c>
      <c r="G184" t="inlineStr">
        <is>
          <t>S2职能系统－财经线/财经投资并购及管理部/运营支持中心</t>
        </is>
      </c>
      <c r="H184" s="188" t="n">
        <v>36561</v>
      </c>
      <c r="I184" t="inlineStr">
        <is>
          <t>社会招聘</t>
        </is>
      </c>
      <c r="J184" t="inlineStr">
        <is>
          <t>财经类－FN</t>
        </is>
      </c>
      <c r="K184" t="inlineStr">
        <is>
          <t>投资并购</t>
        </is>
      </c>
      <c r="L184" t="inlineStr">
        <is>
          <t>S6</t>
        </is>
      </c>
      <c r="N184" t="inlineStr">
        <is>
          <t>T2</t>
        </is>
      </c>
      <c r="Q184" t="inlineStr">
        <is>
          <t>U,G</t>
        </is>
      </c>
      <c r="U184" t="n">
        <v>27714.95</v>
      </c>
      <c r="V184" t="n">
        <v>0.083333</v>
      </c>
      <c r="W184" t="inlineStr">
        <is>
          <t>CNY</t>
        </is>
      </c>
      <c r="X184" t="n">
        <v>1</v>
      </c>
      <c r="Y184" t="n">
        <v>26089.25</v>
      </c>
      <c r="Z184" t="n">
        <v>0</v>
      </c>
      <c r="AA184" t="n">
        <v>27714.95</v>
      </c>
      <c r="AF184" t="n">
        <v>0</v>
      </c>
      <c r="AG184" t="n">
        <v>59554.95</v>
      </c>
      <c r="AH184" t="n">
        <v>2.282739059191046</v>
      </c>
      <c r="AJ184" t="n">
        <v>2.282739059191046</v>
      </c>
      <c r="AK184" t="n">
        <v>2.282739059191046</v>
      </c>
      <c r="AQ184" t="n">
        <v>59554.95</v>
      </c>
      <c r="AR184" t="n">
        <v>2.282739059191046</v>
      </c>
      <c r="AS184" t="n">
        <v>0.6841071736258687</v>
      </c>
      <c r="BL184" t="n">
        <v>1</v>
      </c>
      <c r="BM184" t="n">
        <v>24700</v>
      </c>
      <c r="BN184" t="n">
        <v>0</v>
      </c>
      <c r="BO184" t="n">
        <v>26530</v>
      </c>
      <c r="BP184" t="inlineStr">
        <is>
          <t>G,G</t>
        </is>
      </c>
      <c r="BQ184" t="inlineStr">
        <is>
          <t>T2</t>
        </is>
      </c>
      <c r="BS184" t="n">
        <v>3.524493927125506</v>
      </c>
      <c r="BT184" t="n">
        <v>0</v>
      </c>
      <c r="BV184" t="n">
        <v>3.524493927125506</v>
      </c>
      <c r="BY184" t="n">
        <v>87055</v>
      </c>
      <c r="BZ184" t="n">
        <v>3.524493927125506</v>
      </c>
      <c r="CP184" t="inlineStr">
        <is>
          <t>财经投资并购及管理部</t>
        </is>
      </c>
      <c r="CQ184" t="inlineStr">
        <is>
          <t>3,1</t>
        </is>
      </c>
      <c r="CR184" t="n">
        <v>6</v>
      </c>
      <c r="CS184" t="inlineStr">
        <is>
          <t>T2</t>
        </is>
      </c>
      <c r="CT184" t="inlineStr">
        <is>
          <t>N</t>
        </is>
      </c>
    </row>
    <row r="185">
      <c r="A185" t="inlineStr">
        <is>
          <t>marthaLei(雷佳颖)</t>
        </is>
      </c>
      <c r="C185" t="n">
        <v>3906538</v>
      </c>
      <c r="D185" t="inlineStr">
        <is>
          <t>应收账款管理中心</t>
        </is>
      </c>
      <c r="E185" t="inlineStr">
        <is>
          <t>应收管理2组</t>
        </is>
      </c>
      <c r="G185" t="inlineStr">
        <is>
          <t>S2职能系统－财经线/应收账款管理中心/应收管理2组</t>
        </is>
      </c>
      <c r="H185" s="188" t="n">
        <v>37671</v>
      </c>
      <c r="I185" t="inlineStr">
        <is>
          <t>高校招聘</t>
        </is>
      </c>
      <c r="J185" t="inlineStr">
        <is>
          <t>财经类－FN</t>
        </is>
      </c>
      <c r="K185" t="inlineStr">
        <is>
          <t>会计</t>
        </is>
      </c>
      <c r="L185" t="inlineStr">
        <is>
          <t>S6</t>
        </is>
      </c>
      <c r="N185" t="inlineStr">
        <is>
          <t>T1</t>
        </is>
      </c>
      <c r="Q185" t="inlineStr">
        <is>
          <t>U,G</t>
        </is>
      </c>
      <c r="U185" t="n">
        <v>31275.15</v>
      </c>
      <c r="V185" t="n">
        <v>0.083333</v>
      </c>
      <c r="W185" t="inlineStr">
        <is>
          <t>CNY</t>
        </is>
      </c>
      <c r="X185" t="n">
        <v>1</v>
      </c>
      <c r="Y185" t="n">
        <v>28404.7</v>
      </c>
      <c r="Z185" t="n">
        <v>0</v>
      </c>
      <c r="AA185" t="n">
        <v>31275.15</v>
      </c>
      <c r="AF185" t="n">
        <v>0</v>
      </c>
      <c r="AG185" t="n">
        <v>108870.15</v>
      </c>
      <c r="AH185" t="n">
        <v>3.832821680919003</v>
      </c>
      <c r="AJ185" t="n">
        <v>3.832821680919003</v>
      </c>
      <c r="AK185" t="n">
        <v>3.832821680919003</v>
      </c>
      <c r="AQ185" t="n">
        <v>108870.15</v>
      </c>
      <c r="AR185" t="n">
        <v>3.832821680919003</v>
      </c>
      <c r="AS185" t="n">
        <v>1.12358893647763</v>
      </c>
      <c r="BL185" t="n">
        <v>1</v>
      </c>
      <c r="BM185" t="n">
        <v>27165</v>
      </c>
      <c r="BN185" t="n">
        <v>0</v>
      </c>
      <c r="BO185" t="n">
        <v>27805</v>
      </c>
      <c r="BP185" t="inlineStr">
        <is>
          <t>G,G</t>
        </is>
      </c>
      <c r="BQ185" t="inlineStr">
        <is>
          <t>Others</t>
        </is>
      </c>
      <c r="BS185" t="n">
        <v>3.566905945150009</v>
      </c>
      <c r="BT185" t="n">
        <v>0</v>
      </c>
      <c r="BV185" t="n">
        <v>3.566905945150009</v>
      </c>
      <c r="BY185" t="n">
        <v>96895</v>
      </c>
      <c r="BZ185" t="n">
        <v>3.566905945150009</v>
      </c>
      <c r="CP185" t="inlineStr">
        <is>
          <t>应收账款管理中心</t>
        </is>
      </c>
      <c r="CQ185" t="inlineStr">
        <is>
          <t>3,1</t>
        </is>
      </c>
      <c r="CR185" t="n">
        <v>6</v>
      </c>
      <c r="CS185" t="inlineStr">
        <is>
          <t>T1</t>
        </is>
      </c>
      <c r="CT185" t="inlineStr">
        <is>
          <t>N</t>
        </is>
      </c>
    </row>
    <row r="186">
      <c r="A186" t="inlineStr">
        <is>
          <t>joyceLiu(刘霞颖)</t>
        </is>
      </c>
      <c r="C186" t="n">
        <v>34127738</v>
      </c>
      <c r="D186" t="inlineStr">
        <is>
          <t>反舞弊调查部</t>
        </is>
      </c>
      <c r="E186" t="inlineStr">
        <is>
          <t>反舞弊调查部</t>
        </is>
      </c>
      <c r="G186" t="inlineStr">
        <is>
          <t>S2职能系统－财经线/反舞弊调查部</t>
        </is>
      </c>
      <c r="H186" s="188" t="n">
        <v>41059</v>
      </c>
      <c r="I186" t="inlineStr">
        <is>
          <t>社会招聘</t>
        </is>
      </c>
      <c r="J186" t="inlineStr">
        <is>
          <t>财经类－FN</t>
        </is>
      </c>
      <c r="K186" t="inlineStr">
        <is>
          <t>风险管理</t>
        </is>
      </c>
      <c r="L186" t="inlineStr">
        <is>
          <t>S8</t>
        </is>
      </c>
      <c r="N186" t="inlineStr">
        <is>
          <t>T2</t>
        </is>
      </c>
      <c r="Q186" t="inlineStr">
        <is>
          <t>O,U</t>
        </is>
      </c>
      <c r="U186" t="n">
        <v>36420.35</v>
      </c>
      <c r="V186" t="n">
        <v>0.083333</v>
      </c>
      <c r="W186" t="inlineStr">
        <is>
          <t>CNY</t>
        </is>
      </c>
      <c r="X186" t="n">
        <v>1</v>
      </c>
      <c r="Y186" t="n">
        <v>35884.98</v>
      </c>
      <c r="Z186" t="n">
        <v>0</v>
      </c>
      <c r="AA186" t="n">
        <v>72840.7</v>
      </c>
      <c r="AF186" t="n">
        <v>0</v>
      </c>
      <c r="AG186" t="n">
        <v>118780.7</v>
      </c>
      <c r="AH186" t="n">
        <v>3.310039464979498</v>
      </c>
      <c r="AJ186" t="n">
        <v>3.310039464979498</v>
      </c>
      <c r="AK186" t="n">
        <v>3.310039464979498</v>
      </c>
      <c r="AQ186" t="n">
        <v>118780.7</v>
      </c>
      <c r="AR186" t="n">
        <v>3.310039464979498</v>
      </c>
      <c r="AS186" t="n">
        <v>0.849708133629015</v>
      </c>
      <c r="BL186" t="n">
        <v>1</v>
      </c>
      <c r="BM186" t="n">
        <v>32145</v>
      </c>
      <c r="BN186" t="n">
        <v>0</v>
      </c>
      <c r="BO186" t="n">
        <v>32580</v>
      </c>
      <c r="BP186" t="inlineStr">
        <is>
          <t>G,O</t>
        </is>
      </c>
      <c r="BQ186" t="inlineStr">
        <is>
          <t>T2</t>
        </is>
      </c>
      <c r="BS186" t="n">
        <v>4.348732306735107</v>
      </c>
      <c r="BT186" t="n">
        <v>0</v>
      </c>
      <c r="BV186" t="n">
        <v>4.348732306735107</v>
      </c>
      <c r="BY186" t="n">
        <v>139790</v>
      </c>
      <c r="BZ186" t="n">
        <v>4.348732306735107</v>
      </c>
      <c r="CP186" t="inlineStr">
        <is>
          <t>反舞弊调查部</t>
        </is>
      </c>
      <c r="CQ186" t="inlineStr">
        <is>
          <t>5,1</t>
        </is>
      </c>
      <c r="CR186" t="n">
        <v>8</v>
      </c>
      <c r="CS186" t="inlineStr">
        <is>
          <t>T2</t>
        </is>
      </c>
      <c r="CT186" t="inlineStr">
        <is>
          <t>N</t>
        </is>
      </c>
    </row>
    <row r="187">
      <c r="A187" t="inlineStr">
        <is>
          <t>francesCheng(程娇)</t>
        </is>
      </c>
      <c r="C187" t="n">
        <v>80645338</v>
      </c>
      <c r="D187" t="inlineStr">
        <is>
          <t>CSIG财务管理</t>
        </is>
      </c>
      <c r="E187" t="inlineStr">
        <is>
          <t>投资公司财务管理中心</t>
        </is>
      </c>
      <c r="G187" t="inlineStr">
        <is>
          <t>S2职能系统－财经线/CSIG财务管理/投资公司财务管理中心</t>
        </is>
      </c>
      <c r="H187" s="188" t="n">
        <v>36527</v>
      </c>
      <c r="I187" t="inlineStr">
        <is>
          <t>社会招聘</t>
        </is>
      </c>
      <c r="J187" t="inlineStr">
        <is>
          <t>财经类－FN</t>
        </is>
      </c>
      <c r="K187" t="inlineStr">
        <is>
          <t>财务管理</t>
        </is>
      </c>
      <c r="L187" t="inlineStr">
        <is>
          <t>S6</t>
        </is>
      </c>
      <c r="N187" t="inlineStr">
        <is>
          <t>T1</t>
        </is>
      </c>
      <c r="Q187" t="inlineStr">
        <is>
          <t>G,O</t>
        </is>
      </c>
      <c r="U187" t="n">
        <v>22979.45</v>
      </c>
      <c r="V187" t="n">
        <v>0.083333</v>
      </c>
      <c r="W187" t="inlineStr">
        <is>
          <t>CNY</t>
        </is>
      </c>
      <c r="X187" t="n">
        <v>1</v>
      </c>
      <c r="Y187" t="n">
        <v>20950.99</v>
      </c>
      <c r="Z187" t="n">
        <v>0</v>
      </c>
      <c r="AA187" t="n">
        <v>68938.35000000001</v>
      </c>
      <c r="AF187" t="n">
        <v>0</v>
      </c>
      <c r="AG187" t="n">
        <v>158528.35</v>
      </c>
      <c r="AH187" t="n">
        <v>7.566628116380181</v>
      </c>
      <c r="AJ187" t="n">
        <v>7.566628116380181</v>
      </c>
      <c r="AK187" t="n">
        <v>5.879595665885001</v>
      </c>
      <c r="AQ187" t="n">
        <v>158528.35</v>
      </c>
      <c r="AR187" t="n">
        <v>7.566628116380181</v>
      </c>
      <c r="AS187" t="n">
        <v>1.772950287983001</v>
      </c>
      <c r="BL187" t="n">
        <v>1</v>
      </c>
      <c r="BM187" t="n">
        <v>19620</v>
      </c>
      <c r="BN187" t="n">
        <v>0</v>
      </c>
      <c r="BO187" t="n">
        <v>20475</v>
      </c>
      <c r="BP187" t="inlineStr">
        <is>
          <t>O,G</t>
        </is>
      </c>
      <c r="BQ187" t="inlineStr">
        <is>
          <t>T2</t>
        </is>
      </c>
      <c r="BS187" t="n">
        <v>4.557339449541284</v>
      </c>
      <c r="BT187" t="n">
        <v>0</v>
      </c>
      <c r="BV187" t="n">
        <v>4.557339449541284</v>
      </c>
      <c r="BY187" t="n">
        <v>89415</v>
      </c>
      <c r="BZ187" t="n">
        <v>4.557339449541284</v>
      </c>
      <c r="CP187" t="inlineStr">
        <is>
          <t>CSIG财务管理</t>
        </is>
      </c>
      <c r="CQ187" t="inlineStr">
        <is>
          <t>5,3</t>
        </is>
      </c>
      <c r="CR187" t="n">
        <v>6</v>
      </c>
      <c r="CS187" t="inlineStr">
        <is>
          <t>T1</t>
        </is>
      </c>
      <c r="CT187" t="inlineStr">
        <is>
          <t>N</t>
        </is>
      </c>
    </row>
    <row r="188">
      <c r="A188" t="inlineStr">
        <is>
          <t>dianeFeng(冯晗)</t>
        </is>
      </c>
      <c r="C188" t="n">
        <v>20940120</v>
      </c>
      <c r="D188" t="inlineStr">
        <is>
          <t>资金管理</t>
        </is>
      </c>
      <c r="E188" t="inlineStr">
        <is>
          <t>融资及资金筹划中心</t>
        </is>
      </c>
      <c r="G188" t="inlineStr">
        <is>
          <t>S2职能系统－财经线/资金管理/融资及资金筹划中心</t>
        </is>
      </c>
      <c r="H188" s="188" t="n">
        <v>40436</v>
      </c>
      <c r="I188" t="inlineStr">
        <is>
          <t>社会招聘</t>
        </is>
      </c>
      <c r="J188" t="inlineStr">
        <is>
          <t>财经类－FN</t>
        </is>
      </c>
      <c r="K188" t="inlineStr">
        <is>
          <t>资金管理</t>
        </is>
      </c>
      <c r="L188" t="inlineStr">
        <is>
          <t>S9</t>
        </is>
      </c>
      <c r="N188" t="inlineStr">
        <is>
          <t>T1</t>
        </is>
      </c>
      <c r="Q188" t="inlineStr">
        <is>
          <t>O,G</t>
        </is>
      </c>
      <c r="U188" t="n">
        <v>39018.75</v>
      </c>
      <c r="V188" t="n">
        <v>0.083333</v>
      </c>
      <c r="W188" t="inlineStr">
        <is>
          <t>CNY</t>
        </is>
      </c>
      <c r="X188" t="n">
        <v>1</v>
      </c>
      <c r="Y188" t="n">
        <v>36532.12</v>
      </c>
      <c r="Z188" t="n">
        <v>0</v>
      </c>
      <c r="AA188" t="n">
        <v>117056.25</v>
      </c>
      <c r="AF188" t="n">
        <v>0</v>
      </c>
      <c r="AG188" t="n">
        <v>268116.25</v>
      </c>
      <c r="AH188" t="n">
        <v>7.339192195799203</v>
      </c>
      <c r="AJ188" t="n">
        <v>7.339192195799203</v>
      </c>
      <c r="AK188" t="n">
        <v>5.615640428204002</v>
      </c>
      <c r="AQ188" t="n">
        <v>268116.25</v>
      </c>
      <c r="AR188" t="n">
        <v>7.339192195799203</v>
      </c>
      <c r="AS188" t="n">
        <v>1.853936177568801</v>
      </c>
      <c r="BL188" t="n">
        <v>1</v>
      </c>
      <c r="BM188" t="n">
        <v>31565</v>
      </c>
      <c r="BN188" t="n">
        <v>0</v>
      </c>
      <c r="BO188" t="n">
        <v>32910</v>
      </c>
      <c r="BP188" t="inlineStr">
        <is>
          <t>G,G</t>
        </is>
      </c>
      <c r="BQ188" t="inlineStr">
        <is>
          <t>T1</t>
        </is>
      </c>
      <c r="BS188" t="n">
        <v>3.376049421827974</v>
      </c>
      <c r="BT188" t="n">
        <v>38055</v>
      </c>
      <c r="BV188" t="n">
        <v>4.581656898463488</v>
      </c>
      <c r="BY188" t="n">
        <v>144620</v>
      </c>
      <c r="BZ188" t="n">
        <v>4.581656898463488</v>
      </c>
      <c r="CP188" t="inlineStr">
        <is>
          <t>资金管理</t>
        </is>
      </c>
      <c r="CQ188" t="inlineStr">
        <is>
          <t>5,3</t>
        </is>
      </c>
      <c r="CR188" t="n">
        <v>9</v>
      </c>
      <c r="CS188" t="inlineStr">
        <is>
          <t>T1</t>
        </is>
      </c>
      <c r="CT188" t="inlineStr">
        <is>
          <t>N</t>
        </is>
      </c>
    </row>
    <row r="189">
      <c r="A189" t="inlineStr">
        <is>
          <t>lillianZheng(郑琪颖)</t>
        </is>
      </c>
      <c r="C189" t="n">
        <v>77342776</v>
      </c>
      <c r="D189" t="inlineStr">
        <is>
          <t>CDG财务管理</t>
        </is>
      </c>
      <c r="E189" t="inlineStr">
        <is>
          <t>AMS收入支持中心</t>
        </is>
      </c>
      <c r="G189" t="inlineStr">
        <is>
          <t>S2职能系统－财经线/CDG财务管理/AMS收入支持中心</t>
        </is>
      </c>
      <c r="H189" s="188" t="n">
        <v>37106</v>
      </c>
      <c r="I189" t="inlineStr">
        <is>
          <t>社会招聘</t>
        </is>
      </c>
      <c r="J189" t="inlineStr">
        <is>
          <t>财经类－FN</t>
        </is>
      </c>
      <c r="K189" t="inlineStr">
        <is>
          <t>财务管理</t>
        </is>
      </c>
      <c r="L189" t="inlineStr">
        <is>
          <t>S7</t>
        </is>
      </c>
      <c r="N189" t="inlineStr">
        <is>
          <t>Others</t>
        </is>
      </c>
      <c r="Q189" t="inlineStr">
        <is>
          <t>O,G</t>
        </is>
      </c>
      <c r="U189" t="n">
        <v>27143.2</v>
      </c>
      <c r="V189" t="n">
        <v>0.083333</v>
      </c>
      <c r="W189" t="inlineStr">
        <is>
          <t>CNY</t>
        </is>
      </c>
      <c r="X189" t="n">
        <v>1</v>
      </c>
      <c r="Y189" t="n">
        <v>25939.26</v>
      </c>
      <c r="Z189" t="n">
        <v>0</v>
      </c>
      <c r="AA189" t="n">
        <v>81429.60000000001</v>
      </c>
      <c r="AF189" t="n">
        <v>0</v>
      </c>
      <c r="AG189" t="n">
        <v>101949.6</v>
      </c>
      <c r="AH189" t="n">
        <v>3.930320294410866</v>
      </c>
      <c r="AJ189" t="n">
        <v>3.930320294410866</v>
      </c>
      <c r="AK189" t="n">
        <v>3.930320294410866</v>
      </c>
      <c r="AQ189" t="n">
        <v>101949.6</v>
      </c>
      <c r="AR189" t="n">
        <v>3.930320294410866</v>
      </c>
      <c r="AS189" t="n">
        <v>1.182709976798144</v>
      </c>
      <c r="BL189" t="n">
        <v>1</v>
      </c>
      <c r="BM189" t="n">
        <v>23360</v>
      </c>
      <c r="BN189" t="n">
        <v>0</v>
      </c>
      <c r="BO189" t="n">
        <v>25655</v>
      </c>
      <c r="BP189" t="inlineStr">
        <is>
          <t>G,G</t>
        </is>
      </c>
      <c r="BQ189" t="inlineStr">
        <is>
          <t>Others</t>
        </is>
      </c>
      <c r="BS189" t="n">
        <v>3.690068493150685</v>
      </c>
      <c r="BT189" t="n">
        <v>0</v>
      </c>
      <c r="BV189" t="n">
        <v>3.690068493150685</v>
      </c>
      <c r="BY189" t="n">
        <v>86200</v>
      </c>
      <c r="BZ189" t="n">
        <v>3.690068493150685</v>
      </c>
      <c r="CP189" t="inlineStr">
        <is>
          <t>CDG财务管理</t>
        </is>
      </c>
      <c r="CQ189" t="inlineStr">
        <is>
          <t>5,3</t>
        </is>
      </c>
      <c r="CR189" t="n">
        <v>7</v>
      </c>
      <c r="CS189" t="inlineStr">
        <is>
          <t>Others</t>
        </is>
      </c>
      <c r="CT189" t="inlineStr">
        <is>
          <t>N</t>
        </is>
      </c>
    </row>
    <row r="190">
      <c r="A190" t="inlineStr">
        <is>
          <t>walterHe(何鹏)</t>
        </is>
      </c>
      <c r="C190" t="n">
        <v>64497857</v>
      </c>
      <c r="D190" t="inlineStr">
        <is>
          <t>反舞弊调查部</t>
        </is>
      </c>
      <c r="E190" t="inlineStr">
        <is>
          <t>海外反舞弊工作组</t>
        </is>
      </c>
      <c r="G190" t="inlineStr">
        <is>
          <t>S2职能系统－财经线/反舞弊调查部/海外反舞弊工作组</t>
        </is>
      </c>
      <c r="H190" s="188" t="n">
        <v>36169</v>
      </c>
      <c r="I190" t="inlineStr">
        <is>
          <t>社会招聘</t>
        </is>
      </c>
      <c r="J190" t="inlineStr">
        <is>
          <t>财经类－FN</t>
        </is>
      </c>
      <c r="K190" t="inlineStr">
        <is>
          <t>风险管理</t>
        </is>
      </c>
      <c r="L190" t="inlineStr">
        <is>
          <t>S6</t>
        </is>
      </c>
      <c r="N190" t="inlineStr">
        <is>
          <t>T1</t>
        </is>
      </c>
      <c r="Q190" t="inlineStr">
        <is>
          <t>O,O</t>
        </is>
      </c>
      <c r="U190" t="n">
        <v>37946.55</v>
      </c>
      <c r="V190" t="n">
        <v>0.083333</v>
      </c>
      <c r="W190" t="inlineStr">
        <is>
          <t>CNY</t>
        </is>
      </c>
      <c r="X190" t="n">
        <v>1</v>
      </c>
      <c r="Y190" t="n">
        <v>36560.27</v>
      </c>
      <c r="Z190" t="n">
        <v>0</v>
      </c>
      <c r="AA190" t="n">
        <v>151786.2</v>
      </c>
      <c r="AF190" t="n">
        <v>0</v>
      </c>
      <c r="AG190" t="n">
        <v>305226.2</v>
      </c>
      <c r="AH190" t="n">
        <v>8.348576200339878</v>
      </c>
      <c r="AJ190" t="n">
        <v>8.348576200339878</v>
      </c>
      <c r="AK190" t="n">
        <v>6.535132262425853</v>
      </c>
      <c r="AQ190" t="n">
        <v>305226.2</v>
      </c>
      <c r="AR190" t="n">
        <v>8.348576200339878</v>
      </c>
      <c r="AS190" t="n">
        <v>4.35975146407656</v>
      </c>
      <c r="BL190" t="n">
        <v>1</v>
      </c>
      <c r="BM190" t="n">
        <v>30455</v>
      </c>
      <c r="BN190" t="n">
        <v>0</v>
      </c>
      <c r="BO190" t="n">
        <v>33280</v>
      </c>
      <c r="BP190" t="inlineStr">
        <is>
          <t>G,U</t>
        </is>
      </c>
      <c r="BQ190" t="inlineStr">
        <is>
          <t>T1</t>
        </is>
      </c>
      <c r="BS190" t="n">
        <v>2.298801510425218</v>
      </c>
      <c r="BT190" t="n">
        <v>0</v>
      </c>
      <c r="BV190" t="n">
        <v>2.298801510425218</v>
      </c>
      <c r="BY190" t="n">
        <v>70010</v>
      </c>
      <c r="BZ190" t="n">
        <v>2.298801510425218</v>
      </c>
      <c r="CP190" t="inlineStr">
        <is>
          <t>反舞弊调查部</t>
        </is>
      </c>
      <c r="CQ190" t="inlineStr">
        <is>
          <t>5,5</t>
        </is>
      </c>
      <c r="CR190" t="n">
        <v>6</v>
      </c>
      <c r="CS190" t="inlineStr">
        <is>
          <t>T1</t>
        </is>
      </c>
      <c r="CT190" t="inlineStr">
        <is>
          <t>N</t>
        </is>
      </c>
    </row>
    <row r="191">
      <c r="A191" t="inlineStr">
        <is>
          <t>paulFang(方胜)</t>
        </is>
      </c>
      <c r="C191" t="n">
        <v>89612566</v>
      </c>
      <c r="D191" t="inlineStr">
        <is>
          <t>FiT财务管理</t>
        </is>
      </c>
      <c r="E191" t="inlineStr">
        <is>
          <t>结算支持中心</t>
        </is>
      </c>
      <c r="G191" t="inlineStr">
        <is>
          <t>S2职能系统－财经线/FiT财务管理/结算支持中心</t>
        </is>
      </c>
      <c r="H191" s="188" t="n">
        <v>37554</v>
      </c>
      <c r="I191" t="inlineStr">
        <is>
          <t>高校招聘</t>
        </is>
      </c>
      <c r="J191" t="inlineStr">
        <is>
          <t>财经类－FN</t>
        </is>
      </c>
      <c r="K191" t="inlineStr">
        <is>
          <t>财务管理</t>
        </is>
      </c>
      <c r="L191" t="inlineStr">
        <is>
          <t>S9</t>
        </is>
      </c>
      <c r="N191" t="inlineStr">
        <is>
          <t>T1</t>
        </is>
      </c>
      <c r="Q191" t="inlineStr">
        <is>
          <t>G,O</t>
        </is>
      </c>
      <c r="U191" t="n">
        <v>38480.65</v>
      </c>
      <c r="V191" t="n">
        <v>0.083333</v>
      </c>
      <c r="W191" t="inlineStr">
        <is>
          <t>CNY</t>
        </is>
      </c>
      <c r="X191" t="n">
        <v>1</v>
      </c>
      <c r="Y191" t="n">
        <v>37035.55</v>
      </c>
      <c r="Z191" t="n">
        <v>0</v>
      </c>
      <c r="AA191" t="n">
        <v>115441.95</v>
      </c>
      <c r="AF191" t="n">
        <v>0</v>
      </c>
      <c r="AG191" t="n">
        <v>277546.95</v>
      </c>
      <c r="AH191" t="n">
        <v>7.494068536851755</v>
      </c>
      <c r="AJ191" t="n">
        <v>7.494068536851755</v>
      </c>
      <c r="AK191" t="n">
        <v>5.641794168035847</v>
      </c>
      <c r="AQ191" t="n">
        <v>277546.95</v>
      </c>
      <c r="AR191" t="n">
        <v>7.494068536851755</v>
      </c>
      <c r="AS191" t="n">
        <v>2.462596601747926</v>
      </c>
      <c r="BL191" t="n">
        <v>1</v>
      </c>
      <c r="BM191" t="n">
        <v>32400</v>
      </c>
      <c r="BN191" t="n">
        <v>0</v>
      </c>
      <c r="BO191" t="n">
        <v>34810</v>
      </c>
      <c r="BP191" t="inlineStr">
        <is>
          <t>U,O</t>
        </is>
      </c>
      <c r="BQ191" t="inlineStr">
        <is>
          <t>T1</t>
        </is>
      </c>
      <c r="BS191" t="n">
        <v>3.478549382716049</v>
      </c>
      <c r="BT191" t="n">
        <v>0</v>
      </c>
      <c r="BV191" t="n">
        <v>3.478549382716049</v>
      </c>
      <c r="BY191" t="n">
        <v>112705</v>
      </c>
      <c r="BZ191" t="n">
        <v>3.478549382716049</v>
      </c>
      <c r="CP191" t="inlineStr">
        <is>
          <t>FiT财务管理</t>
        </is>
      </c>
      <c r="CQ191" t="inlineStr">
        <is>
          <t>5,3</t>
        </is>
      </c>
      <c r="CR191" t="n">
        <v>9</v>
      </c>
      <c r="CS191" t="inlineStr">
        <is>
          <t>T1</t>
        </is>
      </c>
      <c r="CT191" t="inlineStr">
        <is>
          <t>N</t>
        </is>
      </c>
    </row>
    <row r="192">
      <c r="A192" t="inlineStr">
        <is>
          <t>lucyZheng(郑洁雅)</t>
        </is>
      </c>
      <c r="C192" t="n">
        <v>77250745</v>
      </c>
      <c r="D192" t="inlineStr">
        <is>
          <t>税务部</t>
        </is>
      </c>
      <c r="E192" t="inlineStr">
        <is>
          <t>投并税务组</t>
        </is>
      </c>
      <c r="G192" t="inlineStr">
        <is>
          <t>S2职能系统－财经线/税务部/投并税务组</t>
        </is>
      </c>
      <c r="H192" s="188" t="n">
        <v>45079</v>
      </c>
      <c r="I192" t="inlineStr">
        <is>
          <t>社会招聘</t>
        </is>
      </c>
      <c r="J192" t="inlineStr">
        <is>
          <t>财经类－FN</t>
        </is>
      </c>
      <c r="K192" t="inlineStr">
        <is>
          <t>税务</t>
        </is>
      </c>
      <c r="L192" t="inlineStr">
        <is>
          <t>S6</t>
        </is>
      </c>
      <c r="N192" t="inlineStr">
        <is>
          <t>T1#</t>
        </is>
      </c>
      <c r="Q192" t="inlineStr">
        <is>
          <t>O,G</t>
        </is>
      </c>
      <c r="U192" t="n">
        <v>25125.6</v>
      </c>
      <c r="V192" t="n">
        <v>0.083333</v>
      </c>
      <c r="W192" t="inlineStr">
        <is>
          <t>CNY</t>
        </is>
      </c>
      <c r="X192" t="n">
        <v>1</v>
      </c>
      <c r="Y192" t="n">
        <v>22779.23</v>
      </c>
      <c r="Z192" t="n">
        <v>0</v>
      </c>
      <c r="AA192" t="n">
        <v>75376.8</v>
      </c>
      <c r="AF192" t="n">
        <v>0</v>
      </c>
      <c r="AG192" t="n">
        <v>196926.8</v>
      </c>
      <c r="AH192" t="n">
        <v>8.645015656806661</v>
      </c>
      <c r="AJ192" t="n">
        <v>8.645015656806661</v>
      </c>
      <c r="AK192" t="n">
        <v>6.725942887446151</v>
      </c>
      <c r="AQ192" t="n">
        <v>196926.8</v>
      </c>
      <c r="AR192" t="n">
        <v>8.645015656806661</v>
      </c>
      <c r="AS192" t="n">
        <v>16.01030894308943</v>
      </c>
      <c r="BL192" t="n">
        <v>0.580821917808219</v>
      </c>
      <c r="BM192" t="n">
        <v>20985</v>
      </c>
      <c r="BN192" t="n">
        <v>0</v>
      </c>
      <c r="BO192" t="n">
        <v>21185</v>
      </c>
      <c r="BP192" t="inlineStr">
        <is>
          <t>N,G</t>
        </is>
      </c>
      <c r="BQ192" t="inlineStr">
        <is>
          <t>Others</t>
        </is>
      </c>
      <c r="BS192" t="n">
        <v>0.586132952108649</v>
      </c>
      <c r="BT192" t="n">
        <v>0</v>
      </c>
      <c r="BV192" t="n">
        <v>0.586132952108649</v>
      </c>
      <c r="BY192" t="n">
        <v>12300</v>
      </c>
      <c r="BZ192" t="n">
        <v>0.586132952108649</v>
      </c>
      <c r="CP192" t="inlineStr">
        <is>
          <t>税务部</t>
        </is>
      </c>
      <c r="CQ192" t="inlineStr">
        <is>
          <t>5,3</t>
        </is>
      </c>
      <c r="CR192" t="n">
        <v>6</v>
      </c>
      <c r="CS192" t="inlineStr">
        <is>
          <t>T1#</t>
        </is>
      </c>
      <c r="CT192" t="inlineStr">
        <is>
          <t>N</t>
        </is>
      </c>
    </row>
    <row r="193">
      <c r="A193" t="inlineStr">
        <is>
          <t>williamDong(董林)</t>
        </is>
      </c>
      <c r="C193" t="n">
        <v>31176201</v>
      </c>
      <c r="D193" t="inlineStr">
        <is>
          <t>财会及报告管理部</t>
        </is>
      </c>
      <c r="E193" t="inlineStr">
        <is>
          <t>员工报销服务中心</t>
        </is>
      </c>
      <c r="G193" t="inlineStr">
        <is>
          <t>S2职能系统－财经线/财会及报告管理部/员工报销服务中心</t>
        </is>
      </c>
      <c r="H193" s="188" t="n">
        <v>36275</v>
      </c>
      <c r="I193" t="inlineStr">
        <is>
          <t>社会招聘</t>
        </is>
      </c>
      <c r="J193" t="inlineStr">
        <is>
          <t>财经类－FN</t>
        </is>
      </c>
      <c r="K193" t="inlineStr">
        <is>
          <t>会计</t>
        </is>
      </c>
      <c r="L193" t="inlineStr">
        <is>
          <t>S9</t>
        </is>
      </c>
      <c r="N193" t="inlineStr">
        <is>
          <t>T1</t>
        </is>
      </c>
      <c r="Q193" t="inlineStr">
        <is>
          <t>G,U</t>
        </is>
      </c>
      <c r="U193" t="n">
        <v>53887.95</v>
      </c>
      <c r="V193" t="n">
        <v>0.083333</v>
      </c>
      <c r="W193" t="inlineStr">
        <is>
          <t>CNY</t>
        </is>
      </c>
      <c r="X193" t="n">
        <v>1</v>
      </c>
      <c r="Y193" t="n">
        <v>50914.64</v>
      </c>
      <c r="Z193" t="n">
        <v>0</v>
      </c>
      <c r="AA193" t="n">
        <v>53887.95</v>
      </c>
      <c r="AF193" t="n">
        <v>0</v>
      </c>
      <c r="AG193" t="n">
        <v>186587.95</v>
      </c>
      <c r="AH193" t="n">
        <v>3.664720991840461</v>
      </c>
      <c r="AJ193" t="n">
        <v>3.664720991840461</v>
      </c>
      <c r="AK193" t="n">
        <v>3.664720991840461</v>
      </c>
      <c r="AQ193" t="n">
        <v>186587.95</v>
      </c>
      <c r="AR193" t="n">
        <v>3.664720991840461</v>
      </c>
      <c r="AS193" t="n">
        <v>0.8402024090960262</v>
      </c>
      <c r="BL193" t="n">
        <v>1</v>
      </c>
      <c r="BM193" t="n">
        <v>45255</v>
      </c>
      <c r="BN193" t="n">
        <v>0</v>
      </c>
      <c r="BO193" t="n">
        <v>45380</v>
      </c>
      <c r="BP193" t="inlineStr">
        <is>
          <t>G,G</t>
        </is>
      </c>
      <c r="BQ193" t="inlineStr">
        <is>
          <t>T1</t>
        </is>
      </c>
      <c r="BS193" t="n">
        <v>3.044635951828527</v>
      </c>
      <c r="BT193" t="n">
        <v>84290</v>
      </c>
      <c r="BV193" t="n">
        <v>4.907192575406032</v>
      </c>
      <c r="BY193" t="n">
        <v>222075</v>
      </c>
      <c r="BZ193" t="n">
        <v>4.907192575406032</v>
      </c>
      <c r="CP193" t="inlineStr">
        <is>
          <t>财会及报告管理部</t>
        </is>
      </c>
      <c r="CQ193" t="inlineStr">
        <is>
          <t>3,1</t>
        </is>
      </c>
      <c r="CR193" t="n">
        <v>9</v>
      </c>
      <c r="CS193" t="inlineStr">
        <is>
          <t>T1</t>
        </is>
      </c>
      <c r="CT193" t="inlineStr">
        <is>
          <t>N</t>
        </is>
      </c>
    </row>
    <row r="194">
      <c r="A194" t="inlineStr">
        <is>
          <t>bettyLu(卢英蝶)</t>
        </is>
      </c>
      <c r="C194" t="n">
        <v>16207133</v>
      </c>
      <c r="D194" t="inlineStr">
        <is>
          <t>财会及报告管理部</t>
        </is>
      </c>
      <c r="E194" t="inlineStr">
        <is>
          <t>财报中心</t>
        </is>
      </c>
      <c r="G194" t="inlineStr">
        <is>
          <t>S2职能系统－财经线/财会及报告管理部/财报中心</t>
        </is>
      </c>
      <c r="H194" s="188" t="n">
        <v>40667</v>
      </c>
      <c r="I194" t="inlineStr">
        <is>
          <t>高校招聘</t>
        </is>
      </c>
      <c r="J194" t="inlineStr">
        <is>
          <t>财经类－FN</t>
        </is>
      </c>
      <c r="K194" t="inlineStr">
        <is>
          <t>会计</t>
        </is>
      </c>
      <c r="L194" t="inlineStr">
        <is>
          <t>S11</t>
        </is>
      </c>
      <c r="N194" t="inlineStr">
        <is>
          <t>T2</t>
        </is>
      </c>
      <c r="Q194" t="inlineStr">
        <is>
          <t>G,G</t>
        </is>
      </c>
      <c r="U194" t="n">
        <v>40635.7</v>
      </c>
      <c r="V194" t="n">
        <v>0.083333</v>
      </c>
      <c r="W194" t="inlineStr">
        <is>
          <t>CNY</t>
        </is>
      </c>
      <c r="X194" t="n">
        <v>1</v>
      </c>
      <c r="Y194" t="n">
        <v>37331.29</v>
      </c>
      <c r="Z194" t="n">
        <v>0</v>
      </c>
      <c r="AA194" t="n">
        <v>81271.39999999999</v>
      </c>
      <c r="AF194" t="n">
        <v>0</v>
      </c>
      <c r="AG194" t="n">
        <v>130286.4</v>
      </c>
      <c r="AH194" t="n">
        <v>3.490005301183002</v>
      </c>
      <c r="AJ194" t="n">
        <v>3.490005301183002</v>
      </c>
      <c r="AK194" t="n">
        <v>3.490005301183002</v>
      </c>
      <c r="AQ194" t="n">
        <v>130286.4</v>
      </c>
      <c r="AR194" t="n">
        <v>3.490005301183002</v>
      </c>
      <c r="AS194" t="n">
        <v>0.6725847916989314</v>
      </c>
      <c r="BL194" t="n">
        <v>1</v>
      </c>
      <c r="BM194" t="n">
        <v>33110</v>
      </c>
      <c r="BN194" t="n">
        <v>0</v>
      </c>
      <c r="BO194" t="n">
        <v>36110</v>
      </c>
      <c r="BP194" t="inlineStr">
        <is>
          <t>G,G</t>
        </is>
      </c>
      <c r="BQ194" t="inlineStr">
        <is>
          <t>T1</t>
        </is>
      </c>
      <c r="BS194" t="n">
        <v>3.73784355179704</v>
      </c>
      <c r="BT194" t="n">
        <v>69950</v>
      </c>
      <c r="BV194" t="n">
        <v>5.850498338870432</v>
      </c>
      <c r="BY194" t="n">
        <v>193710</v>
      </c>
      <c r="BZ194" t="n">
        <v>5.850498338870432</v>
      </c>
      <c r="CP194" t="inlineStr">
        <is>
          <t>财会及报告管理部</t>
        </is>
      </c>
      <c r="CQ194" t="inlineStr">
        <is>
          <t>3,3</t>
        </is>
      </c>
      <c r="CR194" t="n">
        <v>11</v>
      </c>
      <c r="CS194" t="inlineStr">
        <is>
          <t>T2</t>
        </is>
      </c>
      <c r="CT194" t="inlineStr">
        <is>
          <t>N</t>
        </is>
      </c>
    </row>
    <row r="195">
      <c r="A195" t="inlineStr">
        <is>
          <t>carolZhu(朱露云)</t>
        </is>
      </c>
      <c r="C195" t="n">
        <v>45429686</v>
      </c>
      <c r="D195" t="inlineStr">
        <is>
          <t>财经投资并购及管理部</t>
        </is>
      </c>
      <c r="E195" t="inlineStr">
        <is>
          <t>行业及项目管理中心</t>
        </is>
      </c>
      <c r="G195" t="inlineStr">
        <is>
          <t>S2职能系统－财经线/财经投资并购及管理部/行业及项目管理中心</t>
        </is>
      </c>
      <c r="H195" s="188" t="n">
        <v>42566</v>
      </c>
      <c r="I195" t="inlineStr">
        <is>
          <t>社会招聘</t>
        </is>
      </c>
      <c r="J195" t="inlineStr">
        <is>
          <t>财经类－FN</t>
        </is>
      </c>
      <c r="K195" t="inlineStr">
        <is>
          <t>投资并购</t>
        </is>
      </c>
      <c r="L195" t="inlineStr">
        <is>
          <t>S8</t>
        </is>
      </c>
      <c r="N195" t="inlineStr">
        <is>
          <t>T1#</t>
        </is>
      </c>
      <c r="Q195" t="inlineStr">
        <is>
          <t>O,G</t>
        </is>
      </c>
      <c r="U195" t="n">
        <v>47383.85</v>
      </c>
      <c r="V195" t="n">
        <v>0.083333</v>
      </c>
      <c r="W195" t="inlineStr">
        <is>
          <t>CNY</t>
        </is>
      </c>
      <c r="X195" t="n">
        <v>1</v>
      </c>
      <c r="Y195" t="n">
        <v>43872.22</v>
      </c>
      <c r="Z195" t="n">
        <v>0</v>
      </c>
      <c r="AA195" t="n">
        <v>142151.55</v>
      </c>
      <c r="AF195" t="n">
        <v>0</v>
      </c>
      <c r="AG195" t="n">
        <v>373031.55</v>
      </c>
      <c r="AH195" t="n">
        <v>8.502682335199815</v>
      </c>
      <c r="AJ195" t="n">
        <v>8.502682335199815</v>
      </c>
      <c r="AK195" t="n">
        <v>6.915003389388547</v>
      </c>
      <c r="AQ195" t="n">
        <v>373031.55</v>
      </c>
      <c r="AR195" t="n">
        <v>8.502682335199815</v>
      </c>
      <c r="AS195" t="n">
        <v>2.209051905368193</v>
      </c>
      <c r="BL195" t="n">
        <v>1</v>
      </c>
      <c r="BM195" t="n">
        <v>38335</v>
      </c>
      <c r="BN195" t="n">
        <v>0</v>
      </c>
      <c r="BO195" t="n">
        <v>41590</v>
      </c>
      <c r="BP195" t="inlineStr">
        <is>
          <t>G,U</t>
        </is>
      </c>
      <c r="BQ195" t="inlineStr">
        <is>
          <t>T1#</t>
        </is>
      </c>
      <c r="BS195" t="n">
        <v>4.40498239206991</v>
      </c>
      <c r="BT195" t="n">
        <v>0</v>
      </c>
      <c r="BV195" t="n">
        <v>4.40498239206991</v>
      </c>
      <c r="BY195" t="n">
        <v>168865</v>
      </c>
      <c r="BZ195" t="n">
        <v>4.40498239206991</v>
      </c>
      <c r="CP195" t="inlineStr">
        <is>
          <t>财经投资并购及管理部</t>
        </is>
      </c>
      <c r="CQ195" t="inlineStr">
        <is>
          <t>5,3</t>
        </is>
      </c>
      <c r="CR195" t="n">
        <v>8</v>
      </c>
      <c r="CS195" t="inlineStr">
        <is>
          <t>T1#</t>
        </is>
      </c>
      <c r="CT195" t="inlineStr">
        <is>
          <t>N</t>
        </is>
      </c>
    </row>
    <row r="196">
      <c r="A196" t="inlineStr">
        <is>
          <t>ericPeng(彭睿)</t>
        </is>
      </c>
      <c r="C196" t="n">
        <v>74978451</v>
      </c>
      <c r="D196" t="inlineStr">
        <is>
          <t>财经IT管理部</t>
        </is>
      </c>
      <c r="E196" t="inlineStr">
        <is>
          <t>财经IT管理部</t>
        </is>
      </c>
      <c r="G196" t="inlineStr">
        <is>
          <t>S2职能系统－财经线/财经IT管理部</t>
        </is>
      </c>
      <c r="H196" s="188" t="n">
        <v>45000</v>
      </c>
      <c r="I196" t="inlineStr">
        <is>
          <t>社会招聘</t>
        </is>
      </c>
      <c r="J196" t="inlineStr">
        <is>
          <t>技术研发类－TRD</t>
        </is>
      </c>
      <c r="K196" t="inlineStr">
        <is>
          <t>应用开发</t>
        </is>
      </c>
      <c r="L196" t="inlineStr">
        <is>
          <t>T13</t>
        </is>
      </c>
      <c r="N196" t="inlineStr">
        <is>
          <t>T2</t>
        </is>
      </c>
      <c r="Q196" t="inlineStr">
        <is>
          <t>G,O</t>
        </is>
      </c>
      <c r="U196" t="n">
        <v>53302.95</v>
      </c>
      <c r="V196" t="n">
        <v>0.083333</v>
      </c>
      <c r="W196" t="inlineStr">
        <is>
          <t>CNY</t>
        </is>
      </c>
      <c r="X196" t="n">
        <v>1</v>
      </c>
      <c r="Y196" t="n">
        <v>49329.57</v>
      </c>
      <c r="Z196" t="n">
        <v>0</v>
      </c>
      <c r="AA196" t="n">
        <v>159908.85</v>
      </c>
      <c r="AF196" t="n">
        <v>0</v>
      </c>
      <c r="AG196" t="n">
        <v>214788.85</v>
      </c>
      <c r="AH196" t="n">
        <v>4.354160192355215</v>
      </c>
      <c r="AJ196" t="n">
        <v>4.354160192355215</v>
      </c>
      <c r="AK196" t="n">
        <v>4.354160192355215</v>
      </c>
      <c r="AQ196" t="n">
        <v>214788.85</v>
      </c>
      <c r="AR196" t="n">
        <v>4.354160192355215</v>
      </c>
      <c r="AS196" t="n">
        <v>5.449419002917671</v>
      </c>
      <c r="BL196" t="n">
        <v>0.797260273972602</v>
      </c>
      <c r="BM196" t="n">
        <v>45495</v>
      </c>
      <c r="BN196" t="n">
        <v>0</v>
      </c>
      <c r="BO196" t="n">
        <v>49440</v>
      </c>
      <c r="BP196" t="inlineStr">
        <is>
          <t>U,O</t>
        </is>
      </c>
      <c r="BQ196" t="inlineStr">
        <is>
          <t>Others</t>
        </is>
      </c>
      <c r="BS196" t="n">
        <v>0.8663589405429168</v>
      </c>
      <c r="BT196" t="n">
        <v>0</v>
      </c>
      <c r="BV196" t="n">
        <v>0.8663589405429168</v>
      </c>
      <c r="BY196" t="n">
        <v>39415</v>
      </c>
      <c r="BZ196" t="n">
        <v>0.8663589405429168</v>
      </c>
      <c r="CP196" t="inlineStr">
        <is>
          <t>财经IT管理部</t>
        </is>
      </c>
      <c r="CQ196" t="inlineStr">
        <is>
          <t>5,3</t>
        </is>
      </c>
      <c r="CR196" t="n">
        <v>13</v>
      </c>
      <c r="CS196" t="inlineStr">
        <is>
          <t>T2</t>
        </is>
      </c>
      <c r="CT196" t="inlineStr">
        <is>
          <t>N</t>
        </is>
      </c>
    </row>
    <row r="197">
      <c r="A197" t="inlineStr">
        <is>
          <t>henryMa(马锋龙)</t>
        </is>
      </c>
      <c r="C197" t="n">
        <v>70261089</v>
      </c>
      <c r="D197" t="inlineStr">
        <is>
          <t>反舞弊调查部</t>
        </is>
      </c>
      <c r="E197" t="inlineStr">
        <is>
          <t>反舞弊调查部</t>
        </is>
      </c>
      <c r="G197" t="inlineStr">
        <is>
          <t>S2职能系统－财经线/反舞弊调查部</t>
        </is>
      </c>
      <c r="H197" s="188" t="n">
        <v>42864</v>
      </c>
      <c r="I197" t="inlineStr">
        <is>
          <t>社会招聘</t>
        </is>
      </c>
      <c r="J197" t="inlineStr">
        <is>
          <t>财经类－FN</t>
        </is>
      </c>
      <c r="K197" t="inlineStr">
        <is>
          <t>风险管理</t>
        </is>
      </c>
      <c r="L197" t="inlineStr">
        <is>
          <t>S6</t>
        </is>
      </c>
      <c r="N197" t="inlineStr">
        <is>
          <t>T2</t>
        </is>
      </c>
      <c r="Q197" t="inlineStr">
        <is>
          <t>G,G</t>
        </is>
      </c>
      <c r="U197" t="n">
        <v>21418.15</v>
      </c>
      <c r="V197" t="n">
        <v>0.083333</v>
      </c>
      <c r="W197" t="inlineStr">
        <is>
          <t>CNY</t>
        </is>
      </c>
      <c r="X197" t="n">
        <v>1</v>
      </c>
      <c r="Y197" t="n">
        <v>20125.01</v>
      </c>
      <c r="Z197" t="n">
        <v>0</v>
      </c>
      <c r="AA197" t="n">
        <v>42836.3</v>
      </c>
      <c r="AF197" t="n">
        <v>0</v>
      </c>
      <c r="AG197" t="n">
        <v>74601.3</v>
      </c>
      <c r="AH197" t="n">
        <v>3.706895052474509</v>
      </c>
      <c r="AJ197" t="n">
        <v>3.706895052474509</v>
      </c>
      <c r="AK197" t="n">
        <v>3.706895052474509</v>
      </c>
      <c r="AQ197" t="n">
        <v>74601.3</v>
      </c>
      <c r="AR197" t="n">
        <v>3.706895052474509</v>
      </c>
      <c r="AS197" t="n">
        <v>1.220571007853403</v>
      </c>
      <c r="BL197" t="n">
        <v>1</v>
      </c>
      <c r="BM197" t="n">
        <v>18065</v>
      </c>
      <c r="BN197" t="n">
        <v>0</v>
      </c>
      <c r="BO197" t="n">
        <v>18945</v>
      </c>
      <c r="BP197" t="inlineStr">
        <is>
          <t>G,G</t>
        </is>
      </c>
      <c r="BQ197" t="inlineStr">
        <is>
          <t>T2</t>
        </is>
      </c>
      <c r="BS197" t="n">
        <v>3.38333794630501</v>
      </c>
      <c r="BT197" t="n">
        <v>0</v>
      </c>
      <c r="BV197" t="n">
        <v>3.38333794630501</v>
      </c>
      <c r="BY197" t="n">
        <v>61120</v>
      </c>
      <c r="BZ197" t="n">
        <v>3.38333794630501</v>
      </c>
      <c r="CP197" t="inlineStr">
        <is>
          <t>反舞弊调查部</t>
        </is>
      </c>
      <c r="CQ197" t="inlineStr">
        <is>
          <t>3,3</t>
        </is>
      </c>
      <c r="CR197" t="n">
        <v>6</v>
      </c>
      <c r="CS197" t="inlineStr">
        <is>
          <t>T2</t>
        </is>
      </c>
      <c r="CT197" t="inlineStr">
        <is>
          <t>N</t>
        </is>
      </c>
    </row>
    <row r="198">
      <c r="A198" t="inlineStr">
        <is>
          <t>vincentQian(钱阳)</t>
        </is>
      </c>
      <c r="C198" t="n">
        <v>41930499</v>
      </c>
      <c r="D198" t="inlineStr">
        <is>
          <t>财会及报告管理部</t>
        </is>
      </c>
      <c r="E198" t="inlineStr">
        <is>
          <t>应收管理中心</t>
        </is>
      </c>
      <c r="G198" t="inlineStr">
        <is>
          <t>S2职能系统－财经线/财会及报告管理部/应收管理中心</t>
        </is>
      </c>
      <c r="H198" s="188" t="n">
        <v>42676</v>
      </c>
      <c r="I198" t="inlineStr">
        <is>
          <t>高校招聘</t>
        </is>
      </c>
      <c r="J198" t="inlineStr">
        <is>
          <t>财经类－FN</t>
        </is>
      </c>
      <c r="K198" t="inlineStr">
        <is>
          <t>会计</t>
        </is>
      </c>
      <c r="L198" t="inlineStr">
        <is>
          <t>S5</t>
        </is>
      </c>
      <c r="N198" t="inlineStr">
        <is>
          <t>T1</t>
        </is>
      </c>
      <c r="Q198" t="inlineStr">
        <is>
          <t>G,G</t>
        </is>
      </c>
      <c r="U198" t="n">
        <v>31674.8</v>
      </c>
      <c r="V198" t="n">
        <v>0.083333</v>
      </c>
      <c r="W198" t="inlineStr">
        <is>
          <t>CNY</t>
        </is>
      </c>
      <c r="X198" t="n">
        <v>1</v>
      </c>
      <c r="Y198" t="n">
        <v>29854.68</v>
      </c>
      <c r="Z198" t="n">
        <v>0</v>
      </c>
      <c r="AA198" t="n">
        <v>63349.6</v>
      </c>
      <c r="AF198" t="n">
        <v>0</v>
      </c>
      <c r="AG198" t="n">
        <v>164089.6</v>
      </c>
      <c r="AH198" t="n">
        <v>5.49627730057733</v>
      </c>
      <c r="AJ198" t="n">
        <v>5.49627730057733</v>
      </c>
      <c r="AK198" t="n">
        <v>4.309361212379433</v>
      </c>
      <c r="AQ198" t="n">
        <v>164089.6</v>
      </c>
      <c r="AR198" t="n">
        <v>5.49627730057733</v>
      </c>
      <c r="AS198" t="n">
        <v>1.073779406471878</v>
      </c>
      <c r="BL198" t="n">
        <v>1</v>
      </c>
      <c r="BM198" t="n">
        <v>26170</v>
      </c>
      <c r="BN198" t="n">
        <v>0</v>
      </c>
      <c r="BO198" t="n">
        <v>27005</v>
      </c>
      <c r="BP198" t="inlineStr">
        <is>
          <t>G,O</t>
        </is>
      </c>
      <c r="BQ198" t="inlineStr">
        <is>
          <t>T1</t>
        </is>
      </c>
      <c r="BS198" t="n">
        <v>4.157241115781429</v>
      </c>
      <c r="BT198" t="n">
        <v>44020</v>
      </c>
      <c r="BV198" t="n">
        <v>5.839319831868552</v>
      </c>
      <c r="BY198" t="n">
        <v>152815</v>
      </c>
      <c r="BZ198" t="n">
        <v>5.839319831868552</v>
      </c>
      <c r="CP198" t="inlineStr">
        <is>
          <t>财会及报告管理部</t>
        </is>
      </c>
      <c r="CQ198" t="inlineStr">
        <is>
          <t>3,3</t>
        </is>
      </c>
      <c r="CR198" t="n">
        <v>5</v>
      </c>
      <c r="CS198" t="inlineStr">
        <is>
          <t>T1</t>
        </is>
      </c>
      <c r="CT198" t="inlineStr">
        <is>
          <t>N</t>
        </is>
      </c>
    </row>
    <row r="199">
      <c r="A199" t="inlineStr">
        <is>
          <t>lucyZou(邹霞)</t>
        </is>
      </c>
      <c r="C199" t="n">
        <v>59489941</v>
      </c>
      <c r="D199" t="inlineStr">
        <is>
          <t>税务部</t>
        </is>
      </c>
      <c r="E199" t="inlineStr">
        <is>
          <t>税务部</t>
        </is>
      </c>
      <c r="G199" t="inlineStr">
        <is>
          <t>S2职能系统－财经线/税务部</t>
        </is>
      </c>
      <c r="H199" s="188" t="n">
        <v>44933</v>
      </c>
      <c r="I199" t="inlineStr">
        <is>
          <t>社会招聘</t>
        </is>
      </c>
      <c r="J199" t="inlineStr">
        <is>
          <t>财经类－FN</t>
        </is>
      </c>
      <c r="K199" t="inlineStr">
        <is>
          <t>税务</t>
        </is>
      </c>
      <c r="L199" t="inlineStr">
        <is>
          <t>S9</t>
        </is>
      </c>
      <c r="N199" t="inlineStr">
        <is>
          <t>T1#</t>
        </is>
      </c>
      <c r="Q199" t="inlineStr">
        <is>
          <t>G,G</t>
        </is>
      </c>
      <c r="U199" t="n">
        <v>38546.4</v>
      </c>
      <c r="V199" t="n">
        <v>0.083333</v>
      </c>
      <c r="W199" t="inlineStr">
        <is>
          <t>CNY</t>
        </is>
      </c>
      <c r="X199" t="n">
        <v>1</v>
      </c>
      <c r="Y199" t="n">
        <v>34879.21</v>
      </c>
      <c r="Z199" t="n">
        <v>0</v>
      </c>
      <c r="AA199" t="n">
        <v>77092.8</v>
      </c>
      <c r="AF199" t="n">
        <v>0</v>
      </c>
      <c r="AG199" t="n">
        <v>238717.8</v>
      </c>
      <c r="AH199" t="n">
        <v>6.844128637087824</v>
      </c>
      <c r="AJ199" t="n">
        <v>6.844128637087824</v>
      </c>
      <c r="AK199" t="n">
        <v>5.612449364535492</v>
      </c>
      <c r="AQ199" t="n">
        <v>238717.8</v>
      </c>
      <c r="AR199" t="n">
        <v>6.844128637087824</v>
      </c>
      <c r="AS199" t="n">
        <v>6.895372616984401</v>
      </c>
      <c r="BL199" t="n">
        <v>0.980821917808219</v>
      </c>
      <c r="BM199" t="n">
        <v>32675</v>
      </c>
      <c r="BN199" t="n">
        <v>0</v>
      </c>
      <c r="BO199" t="n">
        <v>35300</v>
      </c>
      <c r="BP199" t="inlineStr">
        <is>
          <t>U,G</t>
        </is>
      </c>
      <c r="BQ199" t="inlineStr">
        <is>
          <t>T1#</t>
        </is>
      </c>
      <c r="BS199" t="n">
        <v>1.059525631216526</v>
      </c>
      <c r="BT199" t="n">
        <v>0</v>
      </c>
      <c r="BV199" t="n">
        <v>1.059525631216526</v>
      </c>
      <c r="BY199" t="n">
        <v>34620</v>
      </c>
      <c r="BZ199" t="n">
        <v>1.059525631216526</v>
      </c>
      <c r="CP199" t="inlineStr">
        <is>
          <t>税务部</t>
        </is>
      </c>
      <c r="CQ199" t="inlineStr">
        <is>
          <t>3,3</t>
        </is>
      </c>
      <c r="CR199" t="n">
        <v>9</v>
      </c>
      <c r="CS199" t="inlineStr">
        <is>
          <t>T1#</t>
        </is>
      </c>
      <c r="CT199" t="inlineStr">
        <is>
          <t>N</t>
        </is>
      </c>
    </row>
    <row r="200">
      <c r="A200" t="inlineStr">
        <is>
          <t>christinaFu(傅艳)</t>
        </is>
      </c>
      <c r="C200" t="n">
        <v>43153200</v>
      </c>
      <c r="D200" t="inlineStr">
        <is>
          <t>风险管理和内部控制</t>
        </is>
      </c>
      <c r="E200" t="inlineStr">
        <is>
          <t>IEG风控中心</t>
        </is>
      </c>
      <c r="G200" t="inlineStr">
        <is>
          <t>S2职能系统－财经线/风险管理和内部控制/IEG风控中心</t>
        </is>
      </c>
      <c r="H200" s="188" t="n">
        <v>44420</v>
      </c>
      <c r="I200" t="inlineStr">
        <is>
          <t>高校招聘</t>
        </is>
      </c>
      <c r="J200" t="inlineStr">
        <is>
          <t>财经类－FN</t>
        </is>
      </c>
      <c r="K200" t="inlineStr">
        <is>
          <t>风险管理</t>
        </is>
      </c>
      <c r="L200" t="inlineStr">
        <is>
          <t>S5</t>
        </is>
      </c>
      <c r="N200" t="inlineStr">
        <is>
          <t>T2</t>
        </is>
      </c>
      <c r="Q200" t="inlineStr">
        <is>
          <t>G,G</t>
        </is>
      </c>
      <c r="U200" t="n">
        <v>20130.1</v>
      </c>
      <c r="V200" t="n">
        <v>0.083333</v>
      </c>
      <c r="W200" t="inlineStr">
        <is>
          <t>CNY</t>
        </is>
      </c>
      <c r="X200" t="n">
        <v>1</v>
      </c>
      <c r="Y200" t="n">
        <v>18573.37</v>
      </c>
      <c r="Z200" t="n">
        <v>0</v>
      </c>
      <c r="AA200" t="n">
        <v>40260.2</v>
      </c>
      <c r="AF200" t="n">
        <v>0</v>
      </c>
      <c r="AG200" t="n">
        <v>63030.2</v>
      </c>
      <c r="AH200" t="n">
        <v>3.393579086617022</v>
      </c>
      <c r="AJ200" t="n">
        <v>3.393579086617022</v>
      </c>
      <c r="AK200" t="n">
        <v>3.393579086617022</v>
      </c>
      <c r="AQ200" t="n">
        <v>63030.2</v>
      </c>
      <c r="AR200" t="n">
        <v>3.393579086617022</v>
      </c>
      <c r="AS200" t="n">
        <v>1.0222218618229</v>
      </c>
      <c r="BL200" t="n">
        <v>1</v>
      </c>
      <c r="BM200" t="n">
        <v>17835</v>
      </c>
      <c r="BN200" t="n">
        <v>0</v>
      </c>
      <c r="BO200" t="n">
        <v>18095</v>
      </c>
      <c r="BP200" t="inlineStr">
        <is>
          <t>G,G</t>
        </is>
      </c>
      <c r="BQ200" t="inlineStr">
        <is>
          <t>T2</t>
        </is>
      </c>
      <c r="BS200" t="n">
        <v>3.457246986262966</v>
      </c>
      <c r="BT200" t="n">
        <v>0</v>
      </c>
      <c r="BV200" t="n">
        <v>3.457246986262966</v>
      </c>
      <c r="BY200" t="n">
        <v>61660</v>
      </c>
      <c r="BZ200" t="n">
        <v>3.457246986262966</v>
      </c>
      <c r="CP200" t="inlineStr">
        <is>
          <t>风险管理和内部控制</t>
        </is>
      </c>
      <c r="CQ200" t="inlineStr">
        <is>
          <t>3,3</t>
        </is>
      </c>
      <c r="CR200" t="n">
        <v>5</v>
      </c>
      <c r="CS200" t="inlineStr">
        <is>
          <t>T2</t>
        </is>
      </c>
      <c r="CT200" t="inlineStr">
        <is>
          <t>N</t>
        </is>
      </c>
    </row>
    <row r="201">
      <c r="A201" t="inlineStr">
        <is>
          <t>evelynShen(沈茹畅)</t>
        </is>
      </c>
      <c r="C201" t="n">
        <v>31546688</v>
      </c>
      <c r="D201" t="inlineStr">
        <is>
          <t>CFO办公室</t>
        </is>
      </c>
      <c r="E201" t="inlineStr">
        <is>
          <t>管理决策委员会</t>
        </is>
      </c>
      <c r="G201" t="inlineStr">
        <is>
          <t>S2职能系统－财经线/CFO办公室/管理决策委员会</t>
        </is>
      </c>
      <c r="H201" s="188" t="n">
        <v>37248</v>
      </c>
      <c r="I201" t="inlineStr">
        <is>
          <t>高校招聘</t>
        </is>
      </c>
      <c r="J201" t="inlineStr">
        <is>
          <t>财经类－FN</t>
        </is>
      </c>
      <c r="K201" t="inlineStr">
        <is>
          <t>投资者关系</t>
        </is>
      </c>
      <c r="L201" t="inlineStr">
        <is>
          <t>S6</t>
        </is>
      </c>
      <c r="N201" t="inlineStr">
        <is>
          <t>T1#</t>
        </is>
      </c>
      <c r="Q201" t="inlineStr">
        <is>
          <t>G,G</t>
        </is>
      </c>
      <c r="U201" t="n">
        <v>32193.05</v>
      </c>
      <c r="V201" t="n">
        <v>0.083333</v>
      </c>
      <c r="W201" t="inlineStr">
        <is>
          <t>CNY</t>
        </is>
      </c>
      <c r="X201" t="n">
        <v>1</v>
      </c>
      <c r="Y201" t="n">
        <v>29173.74</v>
      </c>
      <c r="Z201" t="n">
        <v>0</v>
      </c>
      <c r="AA201" t="n">
        <v>64386.1</v>
      </c>
      <c r="AF201" t="n">
        <v>0</v>
      </c>
      <c r="AG201" t="n">
        <v>206181.1</v>
      </c>
      <c r="AH201" t="n">
        <v>7.067352351806796</v>
      </c>
      <c r="AJ201" t="n">
        <v>7.067352351806796</v>
      </c>
      <c r="AK201" t="n">
        <v>5.773723218209253</v>
      </c>
      <c r="AQ201" t="n">
        <v>206181.1</v>
      </c>
      <c r="AR201" t="n">
        <v>7.067352351806796</v>
      </c>
      <c r="AS201" t="n">
        <v>0.9745289974949189</v>
      </c>
      <c r="BL201" t="n">
        <v>1</v>
      </c>
      <c r="BM201" t="n">
        <v>28875</v>
      </c>
      <c r="BN201" t="n">
        <v>0</v>
      </c>
      <c r="BO201" t="n">
        <v>30235</v>
      </c>
      <c r="BP201" t="inlineStr">
        <is>
          <t>G,G</t>
        </is>
      </c>
      <c r="BQ201" t="inlineStr">
        <is>
          <t>T1#</t>
        </is>
      </c>
      <c r="BS201" t="n">
        <v>5.377316017316017</v>
      </c>
      <c r="BT201" t="n">
        <v>56300</v>
      </c>
      <c r="BV201" t="n">
        <v>7.327099567099567</v>
      </c>
      <c r="BY201" t="n">
        <v>211570</v>
      </c>
      <c r="BZ201" t="n">
        <v>7.327099567099567</v>
      </c>
      <c r="CP201" t="inlineStr">
        <is>
          <t>CFO办公室</t>
        </is>
      </c>
      <c r="CQ201" t="inlineStr">
        <is>
          <t>3,3</t>
        </is>
      </c>
      <c r="CR201" t="n">
        <v>6</v>
      </c>
      <c r="CS201" t="inlineStr">
        <is>
          <t>T1#</t>
        </is>
      </c>
      <c r="CT201" t="inlineStr">
        <is>
          <t>N</t>
        </is>
      </c>
    </row>
    <row r="202">
      <c r="A202" t="inlineStr">
        <is>
          <t>fredShi(史飞雄)</t>
        </is>
      </c>
      <c r="C202" t="n">
        <v>51184834</v>
      </c>
      <c r="D202" t="inlineStr">
        <is>
          <t>资金管理</t>
        </is>
      </c>
      <c r="E202" t="inlineStr">
        <is>
          <t>资金结算及风险控制中心</t>
        </is>
      </c>
      <c r="G202" t="inlineStr">
        <is>
          <t>S2职能系统－财经线/资金管理/资金结算及风险控制中心</t>
        </is>
      </c>
      <c r="H202" s="188" t="n">
        <v>39349</v>
      </c>
      <c r="I202" t="inlineStr">
        <is>
          <t>高校招聘</t>
        </is>
      </c>
      <c r="J202" t="inlineStr">
        <is>
          <t>财经类－FN</t>
        </is>
      </c>
      <c r="K202" t="inlineStr">
        <is>
          <t>资金管理</t>
        </is>
      </c>
      <c r="L202" t="inlineStr">
        <is>
          <t>S7</t>
        </is>
      </c>
      <c r="N202" t="inlineStr">
        <is>
          <t>T1#</t>
        </is>
      </c>
      <c r="Q202" t="inlineStr">
        <is>
          <t>G,G</t>
        </is>
      </c>
      <c r="U202" t="n">
        <v>31665.8</v>
      </c>
      <c r="V202" t="n">
        <v>0.083333</v>
      </c>
      <c r="W202" t="inlineStr">
        <is>
          <t>CNY</t>
        </is>
      </c>
      <c r="X202" t="n">
        <v>1</v>
      </c>
      <c r="Y202" t="n">
        <v>29885.05</v>
      </c>
      <c r="Z202" t="n">
        <v>0</v>
      </c>
      <c r="AA202" t="n">
        <v>63331.6</v>
      </c>
      <c r="AF202" t="n">
        <v>0</v>
      </c>
      <c r="AG202" t="n">
        <v>226961.6</v>
      </c>
      <c r="AH202" t="n">
        <v>7.59448620631386</v>
      </c>
      <c r="AJ202" t="n">
        <v>7.59448620631386</v>
      </c>
      <c r="AK202" t="n">
        <v>5.676804957662778</v>
      </c>
      <c r="AQ202" t="n">
        <v>226961.6</v>
      </c>
      <c r="AR202" t="n">
        <v>7.59448620631386</v>
      </c>
      <c r="AS202" t="n">
        <v>1.143296980077072</v>
      </c>
      <c r="BL202" t="n">
        <v>1</v>
      </c>
      <c r="BM202" t="n">
        <v>26650</v>
      </c>
      <c r="BN202" t="n">
        <v>0</v>
      </c>
      <c r="BO202" t="n">
        <v>28545</v>
      </c>
      <c r="BP202" t="inlineStr">
        <is>
          <t>G,G</t>
        </is>
      </c>
      <c r="BQ202" t="inlineStr">
        <is>
          <t>T1#</t>
        </is>
      </c>
      <c r="BS202" t="n">
        <v>5.618761726078799</v>
      </c>
      <c r="BT202" t="n">
        <v>48775</v>
      </c>
      <c r="BV202" t="n">
        <v>7.448968105065666</v>
      </c>
      <c r="BY202" t="n">
        <v>198515</v>
      </c>
      <c r="BZ202" t="n">
        <v>7.448968105065666</v>
      </c>
      <c r="CP202" t="inlineStr">
        <is>
          <t>资金管理</t>
        </is>
      </c>
      <c r="CQ202" t="inlineStr">
        <is>
          <t>3,3</t>
        </is>
      </c>
      <c r="CR202" t="n">
        <v>7</v>
      </c>
      <c r="CS202" t="inlineStr">
        <is>
          <t>T1#</t>
        </is>
      </c>
      <c r="CT202" t="inlineStr">
        <is>
          <t>N</t>
        </is>
      </c>
    </row>
    <row r="203">
      <c r="A203" t="inlineStr">
        <is>
          <t>henryXie(谢曦军)</t>
        </is>
      </c>
      <c r="C203" t="n">
        <v>9187571</v>
      </c>
      <c r="D203" t="inlineStr">
        <is>
          <t>财经IT管理部</t>
        </is>
      </c>
      <c r="E203" t="inlineStr">
        <is>
          <t>中台开发中心</t>
        </is>
      </c>
      <c r="G203" t="inlineStr">
        <is>
          <t>S2职能系统－财经线/财经IT管理部/中台开发中心</t>
        </is>
      </c>
      <c r="H203" s="188" t="n">
        <v>40569</v>
      </c>
      <c r="I203" t="inlineStr">
        <is>
          <t>社会招聘</t>
        </is>
      </c>
      <c r="J203" t="inlineStr">
        <is>
          <t>技术研发类－TRD</t>
        </is>
      </c>
      <c r="K203" t="inlineStr">
        <is>
          <t>应用开发</t>
        </is>
      </c>
      <c r="L203" t="inlineStr">
        <is>
          <t>T9</t>
        </is>
      </c>
      <c r="N203" t="inlineStr">
        <is>
          <t>T1#</t>
        </is>
      </c>
      <c r="Q203" t="inlineStr">
        <is>
          <t>G,U</t>
        </is>
      </c>
      <c r="U203" t="n">
        <v>55222.3</v>
      </c>
      <c r="V203" t="n">
        <v>0.083333</v>
      </c>
      <c r="W203" t="inlineStr">
        <is>
          <t>CNY</t>
        </is>
      </c>
      <c r="X203" t="n">
        <v>1</v>
      </c>
      <c r="Y203" t="n">
        <v>53938.87</v>
      </c>
      <c r="Z203" t="n">
        <v>0</v>
      </c>
      <c r="AA203" t="n">
        <v>55222.3</v>
      </c>
      <c r="AF203" t="n">
        <v>0</v>
      </c>
      <c r="AG203" t="n">
        <v>228337.3</v>
      </c>
      <c r="AH203" t="n">
        <v>4.233260726448292</v>
      </c>
      <c r="AJ203" t="n">
        <v>4.233260726448292</v>
      </c>
      <c r="AK203" t="n">
        <v>4.233260726448292</v>
      </c>
      <c r="AQ203" t="n">
        <v>228337.3</v>
      </c>
      <c r="AR203" t="n">
        <v>4.233260726448292</v>
      </c>
      <c r="AS203" t="n">
        <v>0.6954823873414251</v>
      </c>
      <c r="BL203" t="n">
        <v>1</v>
      </c>
      <c r="BM203" t="n">
        <v>46375</v>
      </c>
      <c r="BN203" t="n">
        <v>0</v>
      </c>
      <c r="BO203" t="n">
        <v>47475</v>
      </c>
      <c r="BP203" t="inlineStr">
        <is>
          <t>G,G</t>
        </is>
      </c>
      <c r="BQ203" t="inlineStr">
        <is>
          <t>T1#</t>
        </is>
      </c>
      <c r="BS203" t="n">
        <v>5.531105121293801</v>
      </c>
      <c r="BT203" t="n">
        <v>71810</v>
      </c>
      <c r="BV203" t="n">
        <v>7.079568733153639</v>
      </c>
      <c r="BY203" t="n">
        <v>328315</v>
      </c>
      <c r="BZ203" t="n">
        <v>7.079568733153639</v>
      </c>
      <c r="CP203" t="inlineStr">
        <is>
          <t>财经IT管理部</t>
        </is>
      </c>
      <c r="CQ203" t="inlineStr">
        <is>
          <t>3,1</t>
        </is>
      </c>
      <c r="CR203" t="n">
        <v>9</v>
      </c>
      <c r="CS203" t="inlineStr">
        <is>
          <t>T1#</t>
        </is>
      </c>
      <c r="CT203" t="inlineStr">
        <is>
          <t>N</t>
        </is>
      </c>
    </row>
    <row r="204">
      <c r="A204" t="inlineStr">
        <is>
          <t>ruthXia(夏菲)</t>
        </is>
      </c>
      <c r="C204" t="n">
        <v>56348363</v>
      </c>
      <c r="D204" t="inlineStr">
        <is>
          <t>海外财经中心</t>
        </is>
      </c>
      <c r="E204" t="inlineStr">
        <is>
          <t>海外本地财务</t>
        </is>
      </c>
      <c r="G204" t="inlineStr">
        <is>
          <t>S2职能系统－财经线/海外财经中心/海外本地财务</t>
        </is>
      </c>
      <c r="H204" s="188" t="n">
        <v>39752</v>
      </c>
      <c r="I204" t="inlineStr">
        <is>
          <t>高校招聘</t>
        </is>
      </c>
      <c r="J204" t="inlineStr">
        <is>
          <t>财经类－FN</t>
        </is>
      </c>
      <c r="K204" t="inlineStr">
        <is>
          <t>财务管理</t>
        </is>
      </c>
      <c r="L204" t="inlineStr">
        <is>
          <t>S9</t>
        </is>
      </c>
      <c r="N204" t="inlineStr">
        <is>
          <t>T1</t>
        </is>
      </c>
      <c r="Q204" t="inlineStr">
        <is>
          <t>O,G</t>
        </is>
      </c>
      <c r="U204" t="n">
        <v>55744.15</v>
      </c>
      <c r="V204" t="n">
        <v>0.083333</v>
      </c>
      <c r="W204" t="inlineStr">
        <is>
          <t>CNY</t>
        </is>
      </c>
      <c r="X204" t="n">
        <v>1</v>
      </c>
      <c r="Y204" t="n">
        <v>52032.54</v>
      </c>
      <c r="Z204" t="n">
        <v>0</v>
      </c>
      <c r="AA204" t="n">
        <v>167232.45</v>
      </c>
      <c r="AF204" t="n">
        <v>0</v>
      </c>
      <c r="AG204" t="n">
        <v>349402.45</v>
      </c>
      <c r="AH204" t="n">
        <v>6.715075796799464</v>
      </c>
      <c r="AJ204" t="n">
        <v>6.715075796799464</v>
      </c>
      <c r="AK204" t="n">
        <v>5.392634109347727</v>
      </c>
      <c r="AQ204" t="n">
        <v>349402.45</v>
      </c>
      <c r="AR204" t="n">
        <v>6.715075796799464</v>
      </c>
      <c r="AS204" t="n">
        <v>1.339502194790009</v>
      </c>
      <c r="BL204" t="n">
        <v>1</v>
      </c>
      <c r="BM204" t="n">
        <v>44765</v>
      </c>
      <c r="BN204" t="n">
        <v>0</v>
      </c>
      <c r="BO204" t="n">
        <v>48540</v>
      </c>
      <c r="BP204" t="inlineStr">
        <is>
          <t>G,O</t>
        </is>
      </c>
      <c r="BQ204" t="inlineStr">
        <is>
          <t>T1</t>
        </is>
      </c>
      <c r="BS204" t="n">
        <v>4.373729476153245</v>
      </c>
      <c r="BT204" t="n">
        <v>65055</v>
      </c>
      <c r="BV204" t="n">
        <v>5.826985368033061</v>
      </c>
      <c r="BY204" t="n">
        <v>260845</v>
      </c>
      <c r="BZ204" t="n">
        <v>5.826985368033061</v>
      </c>
      <c r="CP204" t="inlineStr">
        <is>
          <t>海外财经中心</t>
        </is>
      </c>
      <c r="CQ204" t="inlineStr">
        <is>
          <t>5,3</t>
        </is>
      </c>
      <c r="CR204" t="n">
        <v>9</v>
      </c>
      <c r="CS204" t="inlineStr">
        <is>
          <t>T1</t>
        </is>
      </c>
      <c r="CT204" t="inlineStr">
        <is>
          <t>N</t>
        </is>
      </c>
    </row>
    <row r="205">
      <c r="A205" t="inlineStr">
        <is>
          <t>charlotteZeng(曾露妍)</t>
        </is>
      </c>
      <c r="C205" t="n">
        <v>88653318</v>
      </c>
      <c r="D205" t="inlineStr">
        <is>
          <t>风险管理和内部控制</t>
        </is>
      </c>
      <c r="E205" t="inlineStr">
        <is>
          <t>采购财务管理中心</t>
        </is>
      </c>
      <c r="G205" t="inlineStr">
        <is>
          <t>S2职能系统－财经线/风险管理和内部控制/采购财务管理中心</t>
        </is>
      </c>
      <c r="H205" s="188" t="n">
        <v>45632</v>
      </c>
      <c r="I205" t="inlineStr">
        <is>
          <t>社会招聘</t>
        </is>
      </c>
      <c r="J205" t="inlineStr">
        <is>
          <t>财经类－FN</t>
        </is>
      </c>
      <c r="K205" t="inlineStr">
        <is>
          <t>风险管理</t>
        </is>
      </c>
      <c r="L205" t="inlineStr">
        <is>
          <t>S8</t>
        </is>
      </c>
      <c r="N205" t="inlineStr">
        <is>
          <t>T2</t>
        </is>
      </c>
      <c r="Q205" t="inlineStr">
        <is>
          <t>N,N</t>
        </is>
      </c>
      <c r="U205" t="n">
        <v>46534.9</v>
      </c>
      <c r="V205" t="n">
        <v>0.083333</v>
      </c>
      <c r="W205" t="inlineStr">
        <is>
          <t>CNY</t>
        </is>
      </c>
      <c r="X205" t="n">
        <v>0.068493</v>
      </c>
      <c r="Y205" t="n">
        <v>46534.9</v>
      </c>
      <c r="Z205" t="n">
        <v>0</v>
      </c>
      <c r="AA205" t="n">
        <v>3187.31</v>
      </c>
      <c r="AF205" t="n">
        <v>0</v>
      </c>
      <c r="AG205" t="n">
        <v>3187.31</v>
      </c>
      <c r="AH205" t="n">
        <v>0.06849289458019679</v>
      </c>
      <c r="AJ205" t="n">
        <v>0.06849289458019679</v>
      </c>
      <c r="AK205" t="n">
        <v>0.06849289458019679</v>
      </c>
      <c r="AQ205" t="n">
        <v>3187.31</v>
      </c>
      <c r="AR205" t="n">
        <v>0.06849289458019679</v>
      </c>
      <c r="BM205" t="n">
        <v>0</v>
      </c>
      <c r="BN205" t="n">
        <v>0</v>
      </c>
      <c r="BO205" t="n">
        <v>0</v>
      </c>
      <c r="BT205" t="n">
        <v>0</v>
      </c>
      <c r="BY205" t="n">
        <v>0</v>
      </c>
      <c r="CP205" t="inlineStr">
        <is>
          <t>风险管理和内部控制</t>
        </is>
      </c>
      <c r="CR205" t="n">
        <v>8</v>
      </c>
      <c r="CS205" t="inlineStr">
        <is>
          <t>T2</t>
        </is>
      </c>
      <c r="CT205" t="inlineStr">
        <is>
          <t>N</t>
        </is>
      </c>
    </row>
    <row r="206">
      <c r="A206" t="inlineStr">
        <is>
          <t>lisaGu(顾丽燕)</t>
        </is>
      </c>
      <c r="C206" t="n">
        <v>80168989</v>
      </c>
      <c r="D206" t="inlineStr">
        <is>
          <t>CFO办公室</t>
        </is>
      </c>
      <c r="E206" t="inlineStr">
        <is>
          <t>ESG协同办公室</t>
        </is>
      </c>
      <c r="G206" t="inlineStr">
        <is>
          <t>S2职能系统－财经线/CFO办公室/ESG协同办公室</t>
        </is>
      </c>
      <c r="H206" s="188" t="n">
        <v>38246</v>
      </c>
      <c r="I206" t="inlineStr">
        <is>
          <t>社会招聘</t>
        </is>
      </c>
      <c r="J206" t="inlineStr">
        <is>
          <t>财经类－FN</t>
        </is>
      </c>
      <c r="K206" t="inlineStr">
        <is>
          <t>投资者关系</t>
        </is>
      </c>
      <c r="L206" t="inlineStr">
        <is>
          <t>S6</t>
        </is>
      </c>
      <c r="N206" t="inlineStr">
        <is>
          <t>T1</t>
        </is>
      </c>
      <c r="Q206" t="inlineStr">
        <is>
          <t>O,G</t>
        </is>
      </c>
      <c r="U206" t="n">
        <v>29117.85</v>
      </c>
      <c r="V206" t="n">
        <v>0.083333</v>
      </c>
      <c r="W206" t="inlineStr">
        <is>
          <t>CNY</t>
        </is>
      </c>
      <c r="X206" t="n">
        <v>1</v>
      </c>
      <c r="Y206" t="n">
        <v>28282.68</v>
      </c>
      <c r="Z206" t="n">
        <v>0</v>
      </c>
      <c r="AA206" t="n">
        <v>87353.55</v>
      </c>
      <c r="AF206" t="n">
        <v>0</v>
      </c>
      <c r="AG206" t="n">
        <v>207878.55</v>
      </c>
      <c r="AH206" t="n">
        <v>7.350030124443652</v>
      </c>
      <c r="AJ206" t="n">
        <v>7.350030124443652</v>
      </c>
      <c r="AK206" t="n">
        <v>5.336783854995353</v>
      </c>
      <c r="AQ206" t="n">
        <v>207878.55</v>
      </c>
      <c r="AR206" t="n">
        <v>7.350030124443652</v>
      </c>
      <c r="AS206" t="n">
        <v>1.366543189587168</v>
      </c>
      <c r="BL206" t="n">
        <v>1</v>
      </c>
      <c r="BM206" t="n">
        <v>24220</v>
      </c>
      <c r="BN206" t="n">
        <v>0</v>
      </c>
      <c r="BO206" t="n">
        <v>24975</v>
      </c>
      <c r="BP206" t="inlineStr">
        <is>
          <t>O,G</t>
        </is>
      </c>
      <c r="BQ206" t="inlineStr">
        <is>
          <t>T1</t>
        </is>
      </c>
      <c r="BS206" t="n">
        <v>4.297894302229563</v>
      </c>
      <c r="BT206" t="n">
        <v>48025</v>
      </c>
      <c r="BV206" t="n">
        <v>6.280759702725021</v>
      </c>
      <c r="BY206" t="n">
        <v>152120</v>
      </c>
      <c r="BZ206" t="n">
        <v>6.280759702725021</v>
      </c>
      <c r="CP206" t="inlineStr">
        <is>
          <t>CFO办公室</t>
        </is>
      </c>
      <c r="CQ206" t="inlineStr">
        <is>
          <t>5,3</t>
        </is>
      </c>
      <c r="CR206" t="n">
        <v>6</v>
      </c>
      <c r="CS206" t="inlineStr">
        <is>
          <t>T1</t>
        </is>
      </c>
      <c r="CT206" t="inlineStr">
        <is>
          <t>N</t>
        </is>
      </c>
    </row>
    <row r="207">
      <c r="A207" t="inlineStr">
        <is>
          <t>christinaChen(陈颖馨)</t>
        </is>
      </c>
      <c r="C207" t="n">
        <v>30585945</v>
      </c>
      <c r="D207" t="inlineStr">
        <is>
          <t>风险管理和内部控制</t>
        </is>
      </c>
      <c r="E207" t="inlineStr">
        <is>
          <t>WXG风控中心</t>
        </is>
      </c>
      <c r="G207" t="inlineStr">
        <is>
          <t>S2职能系统－财经线/风险管理和内部控制/WXG风控中心</t>
        </is>
      </c>
      <c r="H207" s="188" t="n">
        <v>43564</v>
      </c>
      <c r="I207" t="inlineStr">
        <is>
          <t>社会招聘</t>
        </is>
      </c>
      <c r="J207" t="inlineStr">
        <is>
          <t>财经类－FN</t>
        </is>
      </c>
      <c r="K207" t="inlineStr">
        <is>
          <t>风险管理</t>
        </is>
      </c>
      <c r="L207" t="inlineStr">
        <is>
          <t>S6</t>
        </is>
      </c>
      <c r="N207" t="inlineStr">
        <is>
          <t>T1</t>
        </is>
      </c>
      <c r="Q207" t="inlineStr">
        <is>
          <t>G,U</t>
        </is>
      </c>
      <c r="U207" t="n">
        <v>34213.9</v>
      </c>
      <c r="V207" t="n">
        <v>0.083333</v>
      </c>
      <c r="W207" t="inlineStr">
        <is>
          <t>CNY</t>
        </is>
      </c>
      <c r="X207" t="n">
        <v>1</v>
      </c>
      <c r="Y207" t="n">
        <v>31105.33</v>
      </c>
      <c r="Z207" t="n">
        <v>0</v>
      </c>
      <c r="AA207" t="n">
        <v>34213.9</v>
      </c>
      <c r="AF207" t="n">
        <v>0</v>
      </c>
      <c r="AG207" t="n">
        <v>107213.9</v>
      </c>
      <c r="AH207" t="n">
        <v>3.446801561018642</v>
      </c>
      <c r="AJ207" t="n">
        <v>3.446801561018642</v>
      </c>
      <c r="AK207" t="n">
        <v>3.446801561018642</v>
      </c>
      <c r="AQ207" t="n">
        <v>107213.9</v>
      </c>
      <c r="AR207" t="n">
        <v>3.446801561018642</v>
      </c>
      <c r="AS207" t="n">
        <v>0.6240077990862264</v>
      </c>
      <c r="BL207" t="n">
        <v>1</v>
      </c>
      <c r="BM207" t="n">
        <v>29490</v>
      </c>
      <c r="BN207" t="n">
        <v>0</v>
      </c>
      <c r="BO207" t="n">
        <v>31110</v>
      </c>
      <c r="BP207" t="inlineStr">
        <is>
          <t>O,G</t>
        </is>
      </c>
      <c r="BQ207" t="inlineStr">
        <is>
          <t>T1</t>
        </is>
      </c>
      <c r="BS207" t="n">
        <v>4.586978636826043</v>
      </c>
      <c r="BT207" t="n">
        <v>36545</v>
      </c>
      <c r="BV207" t="n">
        <v>5.826212275347576</v>
      </c>
      <c r="BY207" t="n">
        <v>171815</v>
      </c>
      <c r="BZ207" t="n">
        <v>5.826212275347576</v>
      </c>
      <c r="CP207" t="inlineStr">
        <is>
          <t>风险管理和内部控制</t>
        </is>
      </c>
      <c r="CQ207" t="inlineStr">
        <is>
          <t>3,1</t>
        </is>
      </c>
      <c r="CR207" t="n">
        <v>6</v>
      </c>
      <c r="CS207" t="inlineStr">
        <is>
          <t>T1</t>
        </is>
      </c>
      <c r="CT207" t="inlineStr">
        <is>
          <t>N</t>
        </is>
      </c>
    </row>
    <row r="208">
      <c r="A208" t="inlineStr">
        <is>
          <t>marcusZheng(郑亮健)</t>
        </is>
      </c>
      <c r="C208" t="n">
        <v>99666512</v>
      </c>
      <c r="D208" t="inlineStr">
        <is>
          <t>风险管理和内部控制</t>
        </is>
      </c>
      <c r="E208" t="inlineStr">
        <is>
          <t>S系统风控组</t>
        </is>
      </c>
      <c r="G208" t="inlineStr">
        <is>
          <t>S2职能系统－财经线/风险管理和内部控制/S系统风控组</t>
        </is>
      </c>
      <c r="H208" s="188" t="n">
        <v>43959</v>
      </c>
      <c r="I208" t="inlineStr">
        <is>
          <t>社会招聘</t>
        </is>
      </c>
      <c r="J208" t="inlineStr">
        <is>
          <t>财经类－FN</t>
        </is>
      </c>
      <c r="K208" t="inlineStr">
        <is>
          <t>风险管理</t>
        </is>
      </c>
      <c r="L208" t="inlineStr">
        <is>
          <t>S9</t>
        </is>
      </c>
      <c r="N208" t="inlineStr">
        <is>
          <t>T1#</t>
        </is>
      </c>
      <c r="Q208" t="inlineStr">
        <is>
          <t>G,O</t>
        </is>
      </c>
      <c r="U208" t="n">
        <v>38774.2</v>
      </c>
      <c r="V208" t="n">
        <v>0.083333</v>
      </c>
      <c r="W208" t="inlineStr">
        <is>
          <t>CNY</t>
        </is>
      </c>
      <c r="X208" t="n">
        <v>1</v>
      </c>
      <c r="Y208" t="n">
        <v>36121</v>
      </c>
      <c r="Z208" t="n">
        <v>0</v>
      </c>
      <c r="AA208" t="n">
        <v>116322.6</v>
      </c>
      <c r="AF208" t="n">
        <v>0</v>
      </c>
      <c r="AG208" t="n">
        <v>302652.6</v>
      </c>
      <c r="AH208" t="n">
        <v>8.378854406024196</v>
      </c>
      <c r="AJ208" t="n">
        <v>8.378854406024196</v>
      </c>
      <c r="AK208" t="n">
        <v>6.442030951524044</v>
      </c>
      <c r="AQ208" t="n">
        <v>302652.6</v>
      </c>
      <c r="AR208" t="n">
        <v>8.378854406024196</v>
      </c>
      <c r="AS208" t="n">
        <v>1.212501902968631</v>
      </c>
      <c r="BL208" t="n">
        <v>1</v>
      </c>
      <c r="BM208" t="n">
        <v>31060</v>
      </c>
      <c r="BN208" t="n">
        <v>0</v>
      </c>
      <c r="BO208" t="n">
        <v>31135</v>
      </c>
      <c r="BP208" t="inlineStr">
        <is>
          <t>O,G</t>
        </is>
      </c>
      <c r="BQ208" t="inlineStr">
        <is>
          <t>T1#</t>
        </is>
      </c>
      <c r="BS208" t="n">
        <v>6.321796522858983</v>
      </c>
      <c r="BT208" t="n">
        <v>53255</v>
      </c>
      <c r="BV208" t="n">
        <v>8.036381197681907</v>
      </c>
      <c r="BY208" t="n">
        <v>249610</v>
      </c>
      <c r="BZ208" t="n">
        <v>8.036381197681907</v>
      </c>
      <c r="CP208" t="inlineStr">
        <is>
          <t>风险管理和内部控制</t>
        </is>
      </c>
      <c r="CQ208" t="inlineStr">
        <is>
          <t>5,3</t>
        </is>
      </c>
      <c r="CR208" t="n">
        <v>9</v>
      </c>
      <c r="CS208" t="inlineStr">
        <is>
          <t>T1#</t>
        </is>
      </c>
      <c r="CT208" t="inlineStr">
        <is>
          <t>N</t>
        </is>
      </c>
    </row>
    <row r="209">
      <c r="A209" t="inlineStr">
        <is>
          <t>ashleyZhou(周君)</t>
        </is>
      </c>
      <c r="C209" t="n">
        <v>82233294</v>
      </c>
      <c r="D209" t="inlineStr">
        <is>
          <t>FiT财务管理</t>
        </is>
      </c>
      <c r="E209" t="inlineStr">
        <is>
          <t>业务支持与分析中心</t>
        </is>
      </c>
      <c r="G209" t="inlineStr">
        <is>
          <t>S2职能系统－财经线/FiT财务管理/业务支持与分析中心</t>
        </is>
      </c>
      <c r="H209" s="188" t="n">
        <v>42191</v>
      </c>
      <c r="I209" t="inlineStr">
        <is>
          <t>高校招聘</t>
        </is>
      </c>
      <c r="J209" t="inlineStr">
        <is>
          <t>财经类－FN</t>
        </is>
      </c>
      <c r="K209" t="inlineStr">
        <is>
          <t>财务管理</t>
        </is>
      </c>
      <c r="L209" t="inlineStr">
        <is>
          <t>S5</t>
        </is>
      </c>
      <c r="N209" t="inlineStr">
        <is>
          <t>T2</t>
        </is>
      </c>
      <c r="Q209" t="inlineStr">
        <is>
          <t>O,G</t>
        </is>
      </c>
      <c r="U209" t="n">
        <v>27115.5</v>
      </c>
      <c r="V209" t="n">
        <v>0.083333</v>
      </c>
      <c r="W209" t="inlineStr">
        <is>
          <t>CNY</t>
        </is>
      </c>
      <c r="X209" t="n">
        <v>1</v>
      </c>
      <c r="Y209" t="n">
        <v>24747.37</v>
      </c>
      <c r="Z209" t="n">
        <v>0</v>
      </c>
      <c r="AA209" t="n">
        <v>81346.5</v>
      </c>
      <c r="AF209" t="n">
        <v>0</v>
      </c>
      <c r="AG209" t="n">
        <v>111916.5</v>
      </c>
      <c r="AH209" t="n">
        <v>4.522359345659761</v>
      </c>
      <c r="AJ209" t="n">
        <v>4.522359345659761</v>
      </c>
      <c r="AK209" t="n">
        <v>4.522359345659761</v>
      </c>
      <c r="AQ209" t="n">
        <v>111916.5</v>
      </c>
      <c r="AR209" t="n">
        <v>4.522359345659761</v>
      </c>
      <c r="AS209" t="n">
        <v>1.088099752078168</v>
      </c>
      <c r="BL209" t="n">
        <v>1</v>
      </c>
      <c r="BM209" t="n">
        <v>23600</v>
      </c>
      <c r="BN209" t="n">
        <v>0</v>
      </c>
      <c r="BO209" t="n">
        <v>25230</v>
      </c>
      <c r="BP209" t="inlineStr">
        <is>
          <t>O,G</t>
        </is>
      </c>
      <c r="BQ209" t="inlineStr">
        <is>
          <t>T2</t>
        </is>
      </c>
      <c r="BS209" t="n">
        <v>4.358262711864406</v>
      </c>
      <c r="BT209" t="n">
        <v>0</v>
      </c>
      <c r="BV209" t="n">
        <v>4.358262711864406</v>
      </c>
      <c r="BY209" t="n">
        <v>102855</v>
      </c>
      <c r="BZ209" t="n">
        <v>4.358262711864406</v>
      </c>
      <c r="CP209" t="inlineStr">
        <is>
          <t>FiT财务管理</t>
        </is>
      </c>
      <c r="CQ209" t="inlineStr">
        <is>
          <t>5,3</t>
        </is>
      </c>
      <c r="CR209" t="n">
        <v>5</v>
      </c>
      <c r="CS209" t="inlineStr">
        <is>
          <t>T2</t>
        </is>
      </c>
      <c r="CT209" t="inlineStr">
        <is>
          <t>N</t>
        </is>
      </c>
    </row>
    <row r="210">
      <c r="A210" t="inlineStr">
        <is>
          <t>maryFu(傅曼素)</t>
        </is>
      </c>
      <c r="C210" t="n">
        <v>57377298</v>
      </c>
      <c r="D210" t="inlineStr">
        <is>
          <t>财经线-公共</t>
        </is>
      </c>
      <c r="E210" t="inlineStr">
        <is>
          <t>财经线-公共</t>
        </is>
      </c>
      <c r="G210" t="inlineStr">
        <is>
          <t>S2职能系统－财经线/财经线-公共</t>
        </is>
      </c>
      <c r="H210" s="188" t="n">
        <v>41219</v>
      </c>
      <c r="I210" t="inlineStr">
        <is>
          <t>社会招聘</t>
        </is>
      </c>
      <c r="J210" t="inlineStr">
        <is>
          <t>财经类－FN</t>
        </is>
      </c>
      <c r="K210" t="inlineStr">
        <is>
          <t>财务管理</t>
        </is>
      </c>
      <c r="L210" t="inlineStr">
        <is>
          <t>S7</t>
        </is>
      </c>
      <c r="N210" t="inlineStr">
        <is>
          <t>T1</t>
        </is>
      </c>
      <c r="Q210" t="inlineStr">
        <is>
          <t>U,U</t>
        </is>
      </c>
      <c r="U210" t="n">
        <v>27395.55</v>
      </c>
      <c r="V210" t="n">
        <v>0.083333</v>
      </c>
      <c r="W210" t="inlineStr">
        <is>
          <t>CNY</t>
        </is>
      </c>
      <c r="X210" t="n">
        <v>1</v>
      </c>
      <c r="Y210" t="n">
        <v>24679.5</v>
      </c>
      <c r="Z210" t="n">
        <v>0</v>
      </c>
      <c r="AA210" t="n">
        <v>0</v>
      </c>
      <c r="AF210" t="n">
        <v>0</v>
      </c>
      <c r="AG210" t="n">
        <v>55425</v>
      </c>
      <c r="AH210" t="n">
        <v>2.245791041147511</v>
      </c>
      <c r="AJ210" t="n">
        <v>2.245791041147511</v>
      </c>
      <c r="AK210" t="n">
        <v>2.245791041147511</v>
      </c>
      <c r="AQ210" t="n">
        <v>55425</v>
      </c>
      <c r="AR210" t="n">
        <v>2.245791041147511</v>
      </c>
      <c r="AS210" t="n">
        <v>0.3373197005660033</v>
      </c>
      <c r="BL210" t="n">
        <v>1</v>
      </c>
      <c r="BM210" t="n">
        <v>22915</v>
      </c>
      <c r="BN210" t="n">
        <v>0</v>
      </c>
      <c r="BO210" t="n">
        <v>23350</v>
      </c>
      <c r="BP210" t="inlineStr">
        <is>
          <t>G,G</t>
        </is>
      </c>
      <c r="BQ210" t="inlineStr">
        <is>
          <t>T1#</t>
        </is>
      </c>
      <c r="BS210" t="n">
        <v>5.132882391446651</v>
      </c>
      <c r="BT210" t="n">
        <v>46690</v>
      </c>
      <c r="BV210" t="n">
        <v>7.170412393628627</v>
      </c>
      <c r="BY210" t="n">
        <v>164310</v>
      </c>
      <c r="BZ210" t="n">
        <v>7.170412393628627</v>
      </c>
      <c r="CP210" t="inlineStr">
        <is>
          <t>财经线-公共</t>
        </is>
      </c>
      <c r="CQ210" t="inlineStr">
        <is>
          <t>1,1</t>
        </is>
      </c>
      <c r="CR210" t="n">
        <v>7</v>
      </c>
      <c r="CS210" t="inlineStr">
        <is>
          <t>T1</t>
        </is>
      </c>
      <c r="CT210" t="inlineStr">
        <is>
          <t>N</t>
        </is>
      </c>
    </row>
    <row r="211">
      <c r="A211" t="inlineStr">
        <is>
          <t>penelopeGuo(郭瑶琳)</t>
        </is>
      </c>
      <c r="C211" t="n">
        <v>14712429</v>
      </c>
      <c r="D211" t="inlineStr">
        <is>
          <t>风险管理和内部控制</t>
        </is>
      </c>
      <c r="E211" t="inlineStr">
        <is>
          <t>PCG风控中心</t>
        </is>
      </c>
      <c r="G211" t="inlineStr">
        <is>
          <t>S2职能系统－财经线/风险管理和内部控制/PCG风控中心</t>
        </is>
      </c>
      <c r="H211" s="188" t="n">
        <v>43851</v>
      </c>
      <c r="I211" t="inlineStr">
        <is>
          <t>高校招聘</t>
        </is>
      </c>
      <c r="J211" t="inlineStr">
        <is>
          <t>财经类－FN</t>
        </is>
      </c>
      <c r="K211" t="inlineStr">
        <is>
          <t>风险管理</t>
        </is>
      </c>
      <c r="L211" t="inlineStr">
        <is>
          <t>S5</t>
        </is>
      </c>
      <c r="N211" t="inlineStr">
        <is>
          <t>T2</t>
        </is>
      </c>
      <c r="Q211" t="inlineStr">
        <is>
          <t>G,G</t>
        </is>
      </c>
      <c r="U211" t="n">
        <v>19528.3</v>
      </c>
      <c r="V211" t="n">
        <v>0.083333</v>
      </c>
      <c r="W211" t="inlineStr">
        <is>
          <t>CNY</t>
        </is>
      </c>
      <c r="X211" t="n">
        <v>1</v>
      </c>
      <c r="Y211" t="n">
        <v>19174.16</v>
      </c>
      <c r="Z211" t="n">
        <v>0</v>
      </c>
      <c r="AA211" t="n">
        <v>39056.6</v>
      </c>
      <c r="AF211" t="n">
        <v>0</v>
      </c>
      <c r="AG211" t="n">
        <v>67411.60000000001</v>
      </c>
      <c r="AH211" t="n">
        <v>3.515752450172524</v>
      </c>
      <c r="AJ211" t="n">
        <v>3.515752450172524</v>
      </c>
      <c r="AK211" t="n">
        <v>3.515752450172524</v>
      </c>
      <c r="AQ211" t="n">
        <v>67411.60000000001</v>
      </c>
      <c r="AR211" t="n">
        <v>3.515752450172524</v>
      </c>
      <c r="AS211" t="n">
        <v>0.9242695550832934</v>
      </c>
      <c r="BL211" t="n">
        <v>1</v>
      </c>
      <c r="BM211" t="n">
        <v>16630</v>
      </c>
      <c r="BN211" t="n">
        <v>0</v>
      </c>
      <c r="BO211" t="n">
        <v>18095</v>
      </c>
      <c r="BP211" t="inlineStr">
        <is>
          <t>G,O</t>
        </is>
      </c>
      <c r="BQ211" t="inlineStr">
        <is>
          <t>T2</t>
        </is>
      </c>
      <c r="BS211" t="n">
        <v>4.385748647023451</v>
      </c>
      <c r="BT211" t="n">
        <v>0</v>
      </c>
      <c r="BV211" t="n">
        <v>4.385748647023451</v>
      </c>
      <c r="BY211" t="n">
        <v>72935</v>
      </c>
      <c r="BZ211" t="n">
        <v>4.385748647023451</v>
      </c>
      <c r="CP211" t="inlineStr">
        <is>
          <t>风险管理和内部控制</t>
        </is>
      </c>
      <c r="CQ211" t="inlineStr">
        <is>
          <t>3,3</t>
        </is>
      </c>
      <c r="CR211" t="n">
        <v>5</v>
      </c>
      <c r="CS211" t="inlineStr">
        <is>
          <t>T2</t>
        </is>
      </c>
      <c r="CT211" t="inlineStr">
        <is>
          <t>N</t>
        </is>
      </c>
    </row>
    <row r="212">
      <c r="A212" t="inlineStr">
        <is>
          <t>susanJin(金君)</t>
        </is>
      </c>
      <c r="C212" t="n">
        <v>66431558</v>
      </c>
      <c r="D212" t="inlineStr">
        <is>
          <t>CSIG财务管理</t>
        </is>
      </c>
      <c r="E212" t="inlineStr">
        <is>
          <t>应收账款管理中心</t>
        </is>
      </c>
      <c r="G212" t="inlineStr">
        <is>
          <t>S2职能系统－财经线/CSIG财务管理/应收账款管理中心</t>
        </is>
      </c>
      <c r="H212" s="188" t="n">
        <v>44090</v>
      </c>
      <c r="I212" t="inlineStr">
        <is>
          <t>高校招聘</t>
        </is>
      </c>
      <c r="J212" t="inlineStr">
        <is>
          <t>财经类－FN</t>
        </is>
      </c>
      <c r="K212" t="inlineStr">
        <is>
          <t>财务管理</t>
        </is>
      </c>
      <c r="L212" t="inlineStr">
        <is>
          <t>S6</t>
        </is>
      </c>
      <c r="N212" t="inlineStr">
        <is>
          <t>T1</t>
        </is>
      </c>
      <c r="Q212" t="inlineStr">
        <is>
          <t>O,O</t>
        </is>
      </c>
      <c r="U212" t="n">
        <v>28603.75</v>
      </c>
      <c r="V212" t="n">
        <v>0.083333</v>
      </c>
      <c r="W212" t="inlineStr">
        <is>
          <t>CNY</t>
        </is>
      </c>
      <c r="X212" t="n">
        <v>1</v>
      </c>
      <c r="Y212" t="n">
        <v>27917.23</v>
      </c>
      <c r="Z212" t="n">
        <v>0</v>
      </c>
      <c r="AA212" t="n">
        <v>114415</v>
      </c>
      <c r="AF212" t="n">
        <v>0</v>
      </c>
      <c r="AG212" t="n">
        <v>222170</v>
      </c>
      <c r="AH212" t="n">
        <v>7.958167769510084</v>
      </c>
      <c r="AJ212" t="n">
        <v>7.958167769510084</v>
      </c>
      <c r="AK212" t="n">
        <v>6.541838140818412</v>
      </c>
      <c r="AQ212" t="n">
        <v>222170</v>
      </c>
      <c r="AR212" t="n">
        <v>7.958167769510084</v>
      </c>
      <c r="AS212" t="n">
        <v>3.085908743662754</v>
      </c>
      <c r="BL212" t="n">
        <v>1</v>
      </c>
      <c r="BM212" t="n">
        <v>22920</v>
      </c>
      <c r="BN212" t="n">
        <v>0</v>
      </c>
      <c r="BO212" t="n">
        <v>23470</v>
      </c>
      <c r="BP212" t="inlineStr">
        <is>
          <t>O,U</t>
        </is>
      </c>
      <c r="BQ212" t="inlineStr">
        <is>
          <t>T2</t>
        </is>
      </c>
      <c r="BS212" t="n">
        <v>3.141143106457243</v>
      </c>
      <c r="BT212" t="n">
        <v>0</v>
      </c>
      <c r="BV212" t="n">
        <v>3.141143106457243</v>
      </c>
      <c r="BY212" t="n">
        <v>71995</v>
      </c>
      <c r="BZ212" t="n">
        <v>3.141143106457243</v>
      </c>
      <c r="CP212" t="inlineStr">
        <is>
          <t>CSIG财务管理</t>
        </is>
      </c>
      <c r="CQ212" t="inlineStr">
        <is>
          <t>5,5</t>
        </is>
      </c>
      <c r="CR212" t="n">
        <v>6</v>
      </c>
      <c r="CS212" t="inlineStr">
        <is>
          <t>T1</t>
        </is>
      </c>
      <c r="CT212" t="inlineStr">
        <is>
          <t>N</t>
        </is>
      </c>
    </row>
    <row r="213">
      <c r="A213" t="inlineStr">
        <is>
          <t>madelynHe(贺梅)</t>
        </is>
      </c>
      <c r="C213" t="n">
        <v>5691753</v>
      </c>
      <c r="D213" t="inlineStr">
        <is>
          <t>FiT财务管理</t>
        </is>
      </c>
      <c r="E213" t="inlineStr">
        <is>
          <t>业务支持与分析中心</t>
        </is>
      </c>
      <c r="G213" t="inlineStr">
        <is>
          <t>S2职能系统－财经线/FiT财务管理/业务支持与分析中心</t>
        </is>
      </c>
      <c r="H213" s="188" t="n">
        <v>40873</v>
      </c>
      <c r="I213" t="inlineStr">
        <is>
          <t>社会招聘</t>
        </is>
      </c>
      <c r="J213" t="inlineStr">
        <is>
          <t>财经类－FN</t>
        </is>
      </c>
      <c r="K213" t="inlineStr">
        <is>
          <t>财务管理</t>
        </is>
      </c>
      <c r="L213" t="inlineStr">
        <is>
          <t>S8</t>
        </is>
      </c>
      <c r="N213" t="inlineStr">
        <is>
          <t>T1</t>
        </is>
      </c>
      <c r="Q213" t="inlineStr">
        <is>
          <t>O,G</t>
        </is>
      </c>
      <c r="U213" t="n">
        <v>29277.45</v>
      </c>
      <c r="V213" t="n">
        <v>0.083333</v>
      </c>
      <c r="W213" t="inlineStr">
        <is>
          <t>CNY</t>
        </is>
      </c>
      <c r="X213" t="n">
        <v>1</v>
      </c>
      <c r="Y213" t="n">
        <v>26538.46</v>
      </c>
      <c r="Z213" t="n">
        <v>0</v>
      </c>
      <c r="AA213" t="n">
        <v>87832.35000000001</v>
      </c>
      <c r="AF213" t="n">
        <v>0</v>
      </c>
      <c r="AG213" t="n">
        <v>190142.35</v>
      </c>
      <c r="AH213" t="n">
        <v>7.164784618248384</v>
      </c>
      <c r="AJ213" t="n">
        <v>7.164784618248384</v>
      </c>
      <c r="AK213" t="n">
        <v>5.591972932867996</v>
      </c>
      <c r="AQ213" t="n">
        <v>190142.35</v>
      </c>
      <c r="AR213" t="n">
        <v>7.164784618248384</v>
      </c>
      <c r="AS213" t="n">
        <v>2.310918206125426</v>
      </c>
      <c r="BL213" t="n">
        <v>1</v>
      </c>
      <c r="BM213" t="n">
        <v>24825</v>
      </c>
      <c r="BN213" t="n">
        <v>0</v>
      </c>
      <c r="BO213" t="n">
        <v>25865</v>
      </c>
      <c r="BP213" t="inlineStr">
        <is>
          <t>U,O</t>
        </is>
      </c>
      <c r="BQ213" t="inlineStr">
        <is>
          <t>T2</t>
        </is>
      </c>
      <c r="BS213" t="n">
        <v>3.314400805639476</v>
      </c>
      <c r="BT213" t="n">
        <v>0</v>
      </c>
      <c r="BV213" t="n">
        <v>3.314400805639476</v>
      </c>
      <c r="BY213" t="n">
        <v>82280</v>
      </c>
      <c r="BZ213" t="n">
        <v>3.314400805639476</v>
      </c>
      <c r="CP213" t="inlineStr">
        <is>
          <t>FiT财务管理</t>
        </is>
      </c>
      <c r="CQ213" t="inlineStr">
        <is>
          <t>5,3</t>
        </is>
      </c>
      <c r="CR213" t="n">
        <v>8</v>
      </c>
      <c r="CS213" t="inlineStr">
        <is>
          <t>T1</t>
        </is>
      </c>
      <c r="CT213" t="inlineStr">
        <is>
          <t>N</t>
        </is>
      </c>
    </row>
    <row r="214">
      <c r="A214" t="inlineStr">
        <is>
          <t>elizabethWei(韦妍嫣)</t>
        </is>
      </c>
      <c r="C214" t="n">
        <v>63211544</v>
      </c>
      <c r="D214" t="inlineStr">
        <is>
          <t>PCG财务管理</t>
        </is>
      </c>
      <c r="E214" t="inlineStr">
        <is>
          <t>财务规划及分析组</t>
        </is>
      </c>
      <c r="G214" t="inlineStr">
        <is>
          <t>S2职能系统－财经线/PCG财务管理/财务规划及分析组</t>
        </is>
      </c>
      <c r="H214" s="188" t="n">
        <v>39652</v>
      </c>
      <c r="I214" t="inlineStr">
        <is>
          <t>社会招聘</t>
        </is>
      </c>
      <c r="J214" t="inlineStr">
        <is>
          <t>财经类－FN</t>
        </is>
      </c>
      <c r="K214" t="inlineStr">
        <is>
          <t>财务管理</t>
        </is>
      </c>
      <c r="L214" t="inlineStr">
        <is>
          <t>S8</t>
        </is>
      </c>
      <c r="N214" t="inlineStr">
        <is>
          <t>T2</t>
        </is>
      </c>
      <c r="Q214" t="inlineStr">
        <is>
          <t>O,U</t>
        </is>
      </c>
      <c r="U214" t="n">
        <v>44560.7</v>
      </c>
      <c r="V214" t="n">
        <v>0.083333</v>
      </c>
      <c r="W214" t="inlineStr">
        <is>
          <t>CNY</t>
        </is>
      </c>
      <c r="X214" t="n">
        <v>1</v>
      </c>
      <c r="Y214" t="n">
        <v>43841.33</v>
      </c>
      <c r="Z214" t="n">
        <v>0</v>
      </c>
      <c r="AA214" t="n">
        <v>89121.39999999999</v>
      </c>
      <c r="AF214" t="n">
        <v>0</v>
      </c>
      <c r="AG214" t="n">
        <v>142991.4</v>
      </c>
      <c r="AH214" t="n">
        <v>3.261566197923284</v>
      </c>
      <c r="AJ214" t="n">
        <v>3.261566197923284</v>
      </c>
      <c r="AK214" t="n">
        <v>3.261566197923284</v>
      </c>
      <c r="AQ214" t="n">
        <v>142991.4</v>
      </c>
      <c r="AR214" t="n">
        <v>3.261566197923284</v>
      </c>
      <c r="AS214" t="n">
        <v>1.128582478295185</v>
      </c>
      <c r="BL214" t="n">
        <v>1</v>
      </c>
      <c r="BM214" t="n">
        <v>35710</v>
      </c>
      <c r="BN214" t="n">
        <v>0</v>
      </c>
      <c r="BO214" t="n">
        <v>39105</v>
      </c>
      <c r="BP214" t="inlineStr">
        <is>
          <t>G,G</t>
        </is>
      </c>
      <c r="BQ214" t="inlineStr">
        <is>
          <t>T2</t>
        </is>
      </c>
      <c r="BS214" t="n">
        <v>3.548025763091571</v>
      </c>
      <c r="BT214" t="n">
        <v>0</v>
      </c>
      <c r="BV214" t="n">
        <v>3.548025763091571</v>
      </c>
      <c r="BY214" t="n">
        <v>126700</v>
      </c>
      <c r="BZ214" t="n">
        <v>3.548025763091571</v>
      </c>
      <c r="CP214" t="inlineStr">
        <is>
          <t>PCG财务管理</t>
        </is>
      </c>
      <c r="CQ214" t="inlineStr">
        <is>
          <t>5,1</t>
        </is>
      </c>
      <c r="CR214" t="n">
        <v>8</v>
      </c>
      <c r="CS214" t="inlineStr">
        <is>
          <t>T2</t>
        </is>
      </c>
      <c r="CT214" t="inlineStr">
        <is>
          <t>N</t>
        </is>
      </c>
    </row>
    <row r="215">
      <c r="A215" t="inlineStr">
        <is>
          <t>barbaraPeng(彭萍)</t>
        </is>
      </c>
      <c r="C215" t="n">
        <v>94854269</v>
      </c>
      <c r="D215" t="inlineStr">
        <is>
          <t>税务部</t>
        </is>
      </c>
      <c r="E215" t="inlineStr">
        <is>
          <t>BG税务组</t>
        </is>
      </c>
      <c r="G215" t="inlineStr">
        <is>
          <t>S2职能系统－财经线/税务部/BG税务组</t>
        </is>
      </c>
      <c r="H215" s="188" t="n">
        <v>40999</v>
      </c>
      <c r="I215" t="inlineStr">
        <is>
          <t>社会招聘</t>
        </is>
      </c>
      <c r="J215" t="inlineStr">
        <is>
          <t>财经类－FN</t>
        </is>
      </c>
      <c r="K215" t="inlineStr">
        <is>
          <t>税务</t>
        </is>
      </c>
      <c r="L215" t="inlineStr">
        <is>
          <t>S10</t>
        </is>
      </c>
      <c r="N215" t="inlineStr">
        <is>
          <t>T2</t>
        </is>
      </c>
      <c r="Q215" t="inlineStr">
        <is>
          <t>G,U</t>
        </is>
      </c>
      <c r="U215" t="n">
        <v>52429.9</v>
      </c>
      <c r="V215" t="n">
        <v>0.083333</v>
      </c>
      <c r="W215" t="inlineStr">
        <is>
          <t>CNY</t>
        </is>
      </c>
      <c r="X215" t="n">
        <v>1</v>
      </c>
      <c r="Y215" t="n">
        <v>50360.51</v>
      </c>
      <c r="Z215" t="n">
        <v>0</v>
      </c>
      <c r="AA215" t="n">
        <v>52429.9</v>
      </c>
      <c r="AF215" t="n">
        <v>0</v>
      </c>
      <c r="AG215" t="n">
        <v>124039.9</v>
      </c>
      <c r="AH215" t="n">
        <v>2.463038996229387</v>
      </c>
      <c r="AJ215" t="n">
        <v>2.463038996229387</v>
      </c>
      <c r="AK215" t="n">
        <v>2.463038996229387</v>
      </c>
      <c r="AQ215" t="n">
        <v>124039.9</v>
      </c>
      <c r="AR215" t="n">
        <v>2.463038996229387</v>
      </c>
      <c r="AS215" t="n">
        <v>0.4439033031528469</v>
      </c>
      <c r="BL215" t="n">
        <v>1</v>
      </c>
      <c r="BM215" t="n">
        <v>42570</v>
      </c>
      <c r="BN215" t="n">
        <v>0</v>
      </c>
      <c r="BO215" t="n">
        <v>42585</v>
      </c>
      <c r="BP215" t="inlineStr">
        <is>
          <t>G,G</t>
        </is>
      </c>
      <c r="BQ215" t="inlineStr">
        <is>
          <t>T1#</t>
        </is>
      </c>
      <c r="BS215" t="n">
        <v>5.434578341555086</v>
      </c>
      <c r="BT215" t="n">
        <v>48080</v>
      </c>
      <c r="BV215" t="n">
        <v>6.564012215175006</v>
      </c>
      <c r="BY215" t="n">
        <v>279430</v>
      </c>
      <c r="BZ215" t="n">
        <v>6.564012215175006</v>
      </c>
      <c r="CP215" t="inlineStr">
        <is>
          <t>税务部</t>
        </is>
      </c>
      <c r="CQ215" t="inlineStr">
        <is>
          <t>3,1</t>
        </is>
      </c>
      <c r="CR215" t="n">
        <v>10</v>
      </c>
      <c r="CS215" t="inlineStr">
        <is>
          <t>T2</t>
        </is>
      </c>
      <c r="CT215" t="inlineStr">
        <is>
          <t>N</t>
        </is>
      </c>
    </row>
    <row r="216">
      <c r="A216" t="inlineStr">
        <is>
          <t>scarlettLiu(刘琪)</t>
        </is>
      </c>
      <c r="C216" t="n">
        <v>5997427</v>
      </c>
      <c r="D216" t="inlineStr">
        <is>
          <t>CSIG财务管理</t>
        </is>
      </c>
      <c r="E216" t="inlineStr">
        <is>
          <t>产品财务管理中心</t>
        </is>
      </c>
      <c r="G216" t="inlineStr">
        <is>
          <t>S2职能系统－财经线/CSIG财务管理/产品财务管理中心</t>
        </is>
      </c>
      <c r="H216" s="188" t="n">
        <v>39894</v>
      </c>
      <c r="I216" t="inlineStr">
        <is>
          <t>社会招聘</t>
        </is>
      </c>
      <c r="J216" t="inlineStr">
        <is>
          <t>财经类－FN</t>
        </is>
      </c>
      <c r="K216" t="inlineStr">
        <is>
          <t>财务管理</t>
        </is>
      </c>
      <c r="L216" t="inlineStr">
        <is>
          <t>S5</t>
        </is>
      </c>
      <c r="N216" t="inlineStr">
        <is>
          <t>T2</t>
        </is>
      </c>
      <c r="Q216" t="inlineStr">
        <is>
          <t>G,G</t>
        </is>
      </c>
      <c r="U216" t="n">
        <v>31946.1</v>
      </c>
      <c r="V216" t="n">
        <v>0.083333</v>
      </c>
      <c r="W216" t="inlineStr">
        <is>
          <t>CNY</t>
        </is>
      </c>
      <c r="X216" t="n">
        <v>1</v>
      </c>
      <c r="Y216" t="n">
        <v>29612.24</v>
      </c>
      <c r="Z216" t="n">
        <v>0</v>
      </c>
      <c r="AA216" t="n">
        <v>63892.2</v>
      </c>
      <c r="AF216" t="n">
        <v>0</v>
      </c>
      <c r="AG216" t="n">
        <v>111502.2</v>
      </c>
      <c r="AH216" t="n">
        <v>3.765409168641075</v>
      </c>
      <c r="AJ216" t="n">
        <v>3.765409168641075</v>
      </c>
      <c r="AK216" t="n">
        <v>3.765409168641075</v>
      </c>
      <c r="AQ216" t="n">
        <v>111502.2</v>
      </c>
      <c r="AR216" t="n">
        <v>3.765409168641075</v>
      </c>
      <c r="AS216" t="n">
        <v>0.9527252531294057</v>
      </c>
      <c r="BL216" t="n">
        <v>1</v>
      </c>
      <c r="BM216" t="n">
        <v>27165</v>
      </c>
      <c r="BN216" t="n">
        <v>0</v>
      </c>
      <c r="BO216" t="n">
        <v>28775</v>
      </c>
      <c r="BP216" t="inlineStr">
        <is>
          <t>G,O</t>
        </is>
      </c>
      <c r="BQ216" t="inlineStr">
        <is>
          <t>T2</t>
        </is>
      </c>
      <c r="BS216" t="n">
        <v>4.308301122768268</v>
      </c>
      <c r="BT216" t="n">
        <v>0</v>
      </c>
      <c r="BV216" t="n">
        <v>4.308301122768268</v>
      </c>
      <c r="BY216" t="n">
        <v>117035</v>
      </c>
      <c r="BZ216" t="n">
        <v>4.308301122768268</v>
      </c>
      <c r="CP216" t="inlineStr">
        <is>
          <t>CSIG财务管理</t>
        </is>
      </c>
      <c r="CQ216" t="inlineStr">
        <is>
          <t>3,3</t>
        </is>
      </c>
      <c r="CR216" t="n">
        <v>5</v>
      </c>
      <c r="CS216" t="inlineStr">
        <is>
          <t>T2</t>
        </is>
      </c>
      <c r="CT216" t="inlineStr">
        <is>
          <t>N</t>
        </is>
      </c>
    </row>
    <row r="217">
      <c r="A217" t="inlineStr">
        <is>
          <t>paulYu(余博)</t>
        </is>
      </c>
      <c r="C217" t="n">
        <v>79467106</v>
      </c>
      <c r="D217" t="inlineStr">
        <is>
          <t>风险管理和内部控制</t>
        </is>
      </c>
      <c r="E217" t="inlineStr">
        <is>
          <t>CSIG风控中心</t>
        </is>
      </c>
      <c r="G217" t="inlineStr">
        <is>
          <t>S2职能系统－财经线/风险管理和内部控制/CSIG风控中心</t>
        </is>
      </c>
      <c r="H217" s="188" t="n">
        <v>36578</v>
      </c>
      <c r="I217" t="inlineStr">
        <is>
          <t>高校招聘</t>
        </is>
      </c>
      <c r="J217" t="inlineStr">
        <is>
          <t>财经类－FN</t>
        </is>
      </c>
      <c r="K217" t="inlineStr">
        <is>
          <t>风险管理</t>
        </is>
      </c>
      <c r="L217" t="inlineStr">
        <is>
          <t>S10</t>
        </is>
      </c>
      <c r="N217" t="inlineStr">
        <is>
          <t>T1</t>
        </is>
      </c>
      <c r="Q217" t="inlineStr">
        <is>
          <t>G,O</t>
        </is>
      </c>
      <c r="U217" t="n">
        <v>44357.25</v>
      </c>
      <c r="V217" t="n">
        <v>0.083333</v>
      </c>
      <c r="W217" t="inlineStr">
        <is>
          <t>CNY</t>
        </is>
      </c>
      <c r="X217" t="n">
        <v>1</v>
      </c>
      <c r="Y217" t="n">
        <v>41946.39</v>
      </c>
      <c r="Z217" t="n">
        <v>0</v>
      </c>
      <c r="AA217" t="n">
        <v>133071.75</v>
      </c>
      <c r="AF217" t="n">
        <v>0</v>
      </c>
      <c r="AG217" t="n">
        <v>285576.75</v>
      </c>
      <c r="AH217" t="n">
        <v>6.808136528554662</v>
      </c>
      <c r="AJ217" t="n">
        <v>6.808136528554662</v>
      </c>
      <c r="AK217" t="n">
        <v>5.692545890123084</v>
      </c>
      <c r="AQ217" t="n">
        <v>285576.75</v>
      </c>
      <c r="AR217" t="n">
        <v>6.808136528554662</v>
      </c>
      <c r="AS217" t="n">
        <v>1.273219420852003</v>
      </c>
      <c r="BL217" t="n">
        <v>1</v>
      </c>
      <c r="BM217" t="n">
        <v>38425</v>
      </c>
      <c r="BN217" t="n">
        <v>0</v>
      </c>
      <c r="BO217" t="n">
        <v>39760</v>
      </c>
      <c r="BP217" t="inlineStr">
        <is>
          <t>O,G</t>
        </is>
      </c>
      <c r="BQ217" t="inlineStr">
        <is>
          <t>T1</t>
        </is>
      </c>
      <c r="BS217" t="n">
        <v>4.573324658425504</v>
      </c>
      <c r="BT217" t="n">
        <v>48565</v>
      </c>
      <c r="BV217" t="n">
        <v>5.837215354586857</v>
      </c>
      <c r="BY217" t="n">
        <v>224295</v>
      </c>
      <c r="BZ217" t="n">
        <v>5.837215354586857</v>
      </c>
      <c r="CP217" t="inlineStr">
        <is>
          <t>风险管理和内部控制</t>
        </is>
      </c>
      <c r="CQ217" t="inlineStr">
        <is>
          <t>5,3</t>
        </is>
      </c>
      <c r="CR217" t="n">
        <v>10</v>
      </c>
      <c r="CS217" t="inlineStr">
        <is>
          <t>T1</t>
        </is>
      </c>
      <c r="CT217" t="inlineStr">
        <is>
          <t>N</t>
        </is>
      </c>
    </row>
    <row r="218">
      <c r="A218" t="inlineStr">
        <is>
          <t>hannahSong(宋茜梅)</t>
        </is>
      </c>
      <c r="C218" t="n">
        <v>16904404</v>
      </c>
      <c r="D218" t="inlineStr">
        <is>
          <t>海外财经中心</t>
        </is>
      </c>
      <c r="E218" t="inlineStr">
        <is>
          <t>海外本地财务</t>
        </is>
      </c>
      <c r="G218" t="inlineStr">
        <is>
          <t>S2职能系统－财经线/海外财经中心/海外本地财务</t>
        </is>
      </c>
      <c r="H218" s="188" t="n">
        <v>45041</v>
      </c>
      <c r="I218" t="inlineStr">
        <is>
          <t>社会招聘</t>
        </is>
      </c>
      <c r="J218" t="inlineStr">
        <is>
          <t>财经类－FN</t>
        </is>
      </c>
      <c r="K218" t="inlineStr">
        <is>
          <t>财务管理</t>
        </is>
      </c>
      <c r="L218" t="inlineStr">
        <is>
          <t>S9</t>
        </is>
      </c>
      <c r="N218" t="inlineStr">
        <is>
          <t>Others</t>
        </is>
      </c>
      <c r="Q218" t="inlineStr">
        <is>
          <t>G,G</t>
        </is>
      </c>
      <c r="U218" t="n">
        <v>40428.7</v>
      </c>
      <c r="V218" t="n">
        <v>0.083333</v>
      </c>
      <c r="W218" t="inlineStr">
        <is>
          <t>CNY</t>
        </is>
      </c>
      <c r="X218" t="n">
        <v>1</v>
      </c>
      <c r="Y218" t="n">
        <v>39174.26</v>
      </c>
      <c r="Z218" t="n">
        <v>0</v>
      </c>
      <c r="AA218" t="n">
        <v>80857.39999999999</v>
      </c>
      <c r="AF218" t="n">
        <v>0</v>
      </c>
      <c r="AG218" t="n">
        <v>111052.4</v>
      </c>
      <c r="AH218" t="n">
        <v>2.834830830244145</v>
      </c>
      <c r="AJ218" t="n">
        <v>2.834830830244145</v>
      </c>
      <c r="AK218" t="n">
        <v>2.834830830244145</v>
      </c>
      <c r="AQ218" t="n">
        <v>111052.4</v>
      </c>
      <c r="AR218" t="n">
        <v>2.834830830244145</v>
      </c>
      <c r="AS218" t="n">
        <v>4.24106931449303</v>
      </c>
      <c r="BL218" t="n">
        <v>0.684931506849315</v>
      </c>
      <c r="BM218" t="n">
        <v>35035</v>
      </c>
      <c r="BN218" t="n">
        <v>0</v>
      </c>
      <c r="BO218" t="n">
        <v>38235</v>
      </c>
      <c r="BP218" t="inlineStr">
        <is>
          <t>N,G</t>
        </is>
      </c>
      <c r="BQ218" t="inlineStr">
        <is>
          <t>Others</t>
        </is>
      </c>
      <c r="BS218" t="n">
        <v>0.747395461681176</v>
      </c>
      <c r="BT218" t="n">
        <v>0</v>
      </c>
      <c r="BV218" t="n">
        <v>0.747395461681176</v>
      </c>
      <c r="BY218" t="n">
        <v>26185</v>
      </c>
      <c r="BZ218" t="n">
        <v>0.747395461681176</v>
      </c>
      <c r="CP218" t="inlineStr">
        <is>
          <t>海外财经中心</t>
        </is>
      </c>
      <c r="CQ218" t="inlineStr">
        <is>
          <t>3,3</t>
        </is>
      </c>
      <c r="CR218" t="n">
        <v>9</v>
      </c>
      <c r="CS218" t="inlineStr">
        <is>
          <t>Others</t>
        </is>
      </c>
      <c r="CT218" t="inlineStr">
        <is>
          <t>N</t>
        </is>
      </c>
    </row>
    <row r="219">
      <c r="A219" t="inlineStr">
        <is>
          <t>bettyLiu(刘丽菲)</t>
        </is>
      </c>
      <c r="C219" t="n">
        <v>70240620</v>
      </c>
      <c r="D219" t="inlineStr">
        <is>
          <t>财经IT管理部</t>
        </is>
      </c>
      <c r="E219" t="inlineStr">
        <is>
          <t>国际业务支持中心</t>
        </is>
      </c>
      <c r="G219" t="inlineStr">
        <is>
          <t>S2职能系统－财经线/财经IT管理部/国际业务支持中心</t>
        </is>
      </c>
      <c r="H219" s="188" t="n">
        <v>43031</v>
      </c>
      <c r="I219" t="inlineStr">
        <is>
          <t>社会招聘</t>
        </is>
      </c>
      <c r="J219" t="inlineStr">
        <is>
          <t>技术研发类－TRD</t>
        </is>
      </c>
      <c r="K219" t="inlineStr">
        <is>
          <t>应用开发</t>
        </is>
      </c>
      <c r="L219" t="inlineStr">
        <is>
          <t>T6</t>
        </is>
      </c>
      <c r="N219" t="inlineStr">
        <is>
          <t>T1</t>
        </is>
      </c>
      <c r="Q219" t="inlineStr">
        <is>
          <t>G,G</t>
        </is>
      </c>
      <c r="U219" t="n">
        <v>38098.2</v>
      </c>
      <c r="V219" t="n">
        <v>0.083333</v>
      </c>
      <c r="W219" t="inlineStr">
        <is>
          <t>CNY</t>
        </is>
      </c>
      <c r="X219" t="n">
        <v>1</v>
      </c>
      <c r="Y219" t="n">
        <v>37171.43</v>
      </c>
      <c r="Z219" t="n">
        <v>0</v>
      </c>
      <c r="AA219" t="n">
        <v>76196.39999999999</v>
      </c>
      <c r="AF219" t="n">
        <v>0</v>
      </c>
      <c r="AG219" t="n">
        <v>226781.4</v>
      </c>
      <c r="AH219" t="n">
        <v>6.100959796273643</v>
      </c>
      <c r="AJ219" t="n">
        <v>6.100959796273643</v>
      </c>
      <c r="AK219" t="n">
        <v>4.515602439830805</v>
      </c>
      <c r="AQ219" t="n">
        <v>226781.4</v>
      </c>
      <c r="AR219" t="n">
        <v>6.100959796273643</v>
      </c>
      <c r="AS219" t="n">
        <v>1.171331026289964</v>
      </c>
      <c r="BL219" t="n">
        <v>1</v>
      </c>
      <c r="BM219" t="n">
        <v>30640</v>
      </c>
      <c r="BN219" t="n">
        <v>0</v>
      </c>
      <c r="BO219" t="n">
        <v>32545</v>
      </c>
      <c r="BP219" t="inlineStr">
        <is>
          <t>O,G</t>
        </is>
      </c>
      <c r="BQ219" t="inlineStr">
        <is>
          <t>T1</t>
        </is>
      </c>
      <c r="BS219" t="n">
        <v>4.630058746736292</v>
      </c>
      <c r="BT219" t="n">
        <v>51745</v>
      </c>
      <c r="BV219" t="n">
        <v>6.318864229765013</v>
      </c>
      <c r="BY219" t="n">
        <v>193610</v>
      </c>
      <c r="BZ219" t="n">
        <v>6.318864229765013</v>
      </c>
      <c r="CP219" t="inlineStr">
        <is>
          <t>财经IT管理部</t>
        </is>
      </c>
      <c r="CQ219" t="inlineStr">
        <is>
          <t>3,3</t>
        </is>
      </c>
      <c r="CR219" t="n">
        <v>6</v>
      </c>
      <c r="CS219" t="inlineStr">
        <is>
          <t>T1</t>
        </is>
      </c>
      <c r="CT219" t="inlineStr">
        <is>
          <t>N</t>
        </is>
      </c>
    </row>
    <row r="220">
      <c r="A220" t="inlineStr">
        <is>
          <t>rubyHao(郝玲君)</t>
        </is>
      </c>
      <c r="C220" t="n">
        <v>53349519</v>
      </c>
      <c r="D220" t="inlineStr">
        <is>
          <t>财经IT管理部</t>
        </is>
      </c>
      <c r="E220" t="inlineStr">
        <is>
          <t>业务开发中心</t>
        </is>
      </c>
      <c r="G220" t="inlineStr">
        <is>
          <t>S2职能系统－财经线/财经IT管理部/业务开发中心</t>
        </is>
      </c>
      <c r="H220" s="188" t="n">
        <v>36545</v>
      </c>
      <c r="I220" t="inlineStr">
        <is>
          <t>社会招聘</t>
        </is>
      </c>
      <c r="J220" t="inlineStr">
        <is>
          <t>技术研发类－TRD</t>
        </is>
      </c>
      <c r="K220" t="inlineStr">
        <is>
          <t>应用开发</t>
        </is>
      </c>
      <c r="L220" t="inlineStr">
        <is>
          <t>T7</t>
        </is>
      </c>
      <c r="N220" t="inlineStr">
        <is>
          <t>T2</t>
        </is>
      </c>
      <c r="Q220" t="inlineStr">
        <is>
          <t>G,U</t>
        </is>
      </c>
      <c r="U220" t="n">
        <v>33773.2</v>
      </c>
      <c r="V220" t="n">
        <v>0.083333</v>
      </c>
      <c r="W220" t="inlineStr">
        <is>
          <t>CNY</t>
        </is>
      </c>
      <c r="X220" t="n">
        <v>1</v>
      </c>
      <c r="Y220" t="n">
        <v>32730.09</v>
      </c>
      <c r="Z220" t="n">
        <v>0</v>
      </c>
      <c r="AA220" t="n">
        <v>33773.2</v>
      </c>
      <c r="AF220" t="n">
        <v>0</v>
      </c>
      <c r="AG220" t="n">
        <v>75738.2</v>
      </c>
      <c r="AH220" t="n">
        <v>2.314023578914693</v>
      </c>
      <c r="AJ220" t="n">
        <v>2.314023578914693</v>
      </c>
      <c r="AK220" t="n">
        <v>2.314023578914693</v>
      </c>
      <c r="AQ220" t="n">
        <v>75738.2</v>
      </c>
      <c r="AR220" t="n">
        <v>2.314023578914693</v>
      </c>
      <c r="AS220" t="n">
        <v>0.5636960404882405</v>
      </c>
      <c r="BL220" t="n">
        <v>1</v>
      </c>
      <c r="BM220" t="n">
        <v>29035</v>
      </c>
      <c r="BN220" t="n">
        <v>0</v>
      </c>
      <c r="BO220" t="n">
        <v>29945</v>
      </c>
      <c r="BP220" t="inlineStr">
        <is>
          <t>O,G</t>
        </is>
      </c>
      <c r="BQ220" t="inlineStr">
        <is>
          <t>T2</t>
        </is>
      </c>
      <c r="BS220" t="n">
        <v>4.62751851214052</v>
      </c>
      <c r="BT220" t="n">
        <v>0</v>
      </c>
      <c r="BV220" t="n">
        <v>4.62751851214052</v>
      </c>
      <c r="BY220" t="n">
        <v>134360</v>
      </c>
      <c r="BZ220" t="n">
        <v>4.62751851214052</v>
      </c>
      <c r="CP220" t="inlineStr">
        <is>
          <t>财经IT管理部</t>
        </is>
      </c>
      <c r="CQ220" t="inlineStr">
        <is>
          <t>3,1</t>
        </is>
      </c>
      <c r="CR220" t="n">
        <v>7</v>
      </c>
      <c r="CS220" t="inlineStr">
        <is>
          <t>T2</t>
        </is>
      </c>
      <c r="CT220" t="inlineStr">
        <is>
          <t>N</t>
        </is>
      </c>
    </row>
    <row r="221">
      <c r="A221" t="inlineStr">
        <is>
          <t>laylaZhu(朱嫣菲)</t>
        </is>
      </c>
      <c r="C221" t="n">
        <v>64007164</v>
      </c>
      <c r="D221" t="inlineStr">
        <is>
          <t>行政支持中心</t>
        </is>
      </c>
      <c r="E221" t="inlineStr">
        <is>
          <t>秘书组</t>
        </is>
      </c>
      <c r="G221" t="inlineStr">
        <is>
          <t>S2职能系统－财经线/行政支持中心/秘书组</t>
        </is>
      </c>
      <c r="H221" s="188" t="n">
        <v>36589</v>
      </c>
      <c r="I221" t="inlineStr">
        <is>
          <t>高校招聘</t>
        </is>
      </c>
      <c r="J221" t="inlineStr">
        <is>
          <t>财经类－FN</t>
        </is>
      </c>
      <c r="K221" t="inlineStr">
        <is>
          <t>公司秘书</t>
        </is>
      </c>
      <c r="L221" t="inlineStr">
        <is>
          <t>S7</t>
        </is>
      </c>
      <c r="N221" t="inlineStr">
        <is>
          <t>T1</t>
        </is>
      </c>
      <c r="Q221" t="inlineStr">
        <is>
          <t>O,O</t>
        </is>
      </c>
      <c r="U221" t="n">
        <v>27315.65</v>
      </c>
      <c r="V221" t="n">
        <v>0.083333</v>
      </c>
      <c r="W221" t="inlineStr">
        <is>
          <t>CNY</t>
        </is>
      </c>
      <c r="X221" t="n">
        <v>1</v>
      </c>
      <c r="Y221" t="n">
        <v>25328.24</v>
      </c>
      <c r="Z221" t="n">
        <v>0</v>
      </c>
      <c r="AA221" t="n">
        <v>109262.6</v>
      </c>
      <c r="AF221" t="n">
        <v>0</v>
      </c>
      <c r="AG221" t="n">
        <v>196102.6</v>
      </c>
      <c r="AH221" t="n">
        <v>7.742448744958197</v>
      </c>
      <c r="AJ221" t="n">
        <v>7.742448744958197</v>
      </c>
      <c r="AK221" t="n">
        <v>6.637160734421341</v>
      </c>
      <c r="AQ221" t="n">
        <v>196102.6</v>
      </c>
      <c r="AR221" t="n">
        <v>7.742448744958197</v>
      </c>
      <c r="AS221" t="n">
        <v>1.810400664697194</v>
      </c>
      <c r="BL221" t="n">
        <v>1</v>
      </c>
      <c r="BM221" t="n">
        <v>23405</v>
      </c>
      <c r="BN221" t="n">
        <v>0</v>
      </c>
      <c r="BO221" t="n">
        <v>25155</v>
      </c>
      <c r="BP221" t="inlineStr">
        <is>
          <t>G,G</t>
        </is>
      </c>
      <c r="BQ221" t="inlineStr">
        <is>
          <t>T1</t>
        </is>
      </c>
      <c r="BS221" t="n">
        <v>3.28583635975219</v>
      </c>
      <c r="BT221" t="n">
        <v>31415</v>
      </c>
      <c r="BV221" t="n">
        <v>4.628070925016022</v>
      </c>
      <c r="BY221" t="n">
        <v>108320</v>
      </c>
      <c r="BZ221" t="n">
        <v>4.628070925016022</v>
      </c>
      <c r="CP221" t="inlineStr">
        <is>
          <t>行政支持中心</t>
        </is>
      </c>
      <c r="CQ221" t="inlineStr">
        <is>
          <t>5,5</t>
        </is>
      </c>
      <c r="CR221" t="n">
        <v>7</v>
      </c>
      <c r="CS221" t="inlineStr">
        <is>
          <t>T1</t>
        </is>
      </c>
      <c r="CT221" t="inlineStr">
        <is>
          <t>N</t>
        </is>
      </c>
    </row>
    <row r="222">
      <c r="A222" t="inlineStr">
        <is>
          <t>scottWang(王彤昊)</t>
        </is>
      </c>
      <c r="C222" t="n">
        <v>17010611</v>
      </c>
      <c r="D222" t="inlineStr">
        <is>
          <t>税务部</t>
        </is>
      </c>
      <c r="E222" t="inlineStr">
        <is>
          <t>印章及文档管理组</t>
        </is>
      </c>
      <c r="G222" t="inlineStr">
        <is>
          <t>S2职能系统－财经线/税务部/印章及文档管理组</t>
        </is>
      </c>
      <c r="H222" s="188" t="n">
        <v>43761</v>
      </c>
      <c r="I222" t="inlineStr">
        <is>
          <t>高校招聘</t>
        </is>
      </c>
      <c r="J222" t="inlineStr">
        <is>
          <t>财经类－FN</t>
        </is>
      </c>
      <c r="K222" t="inlineStr">
        <is>
          <t>税务</t>
        </is>
      </c>
      <c r="L222" t="inlineStr">
        <is>
          <t>S9</t>
        </is>
      </c>
      <c r="N222" t="inlineStr">
        <is>
          <t>T1</t>
        </is>
      </c>
      <c r="Q222" t="inlineStr">
        <is>
          <t>G,U</t>
        </is>
      </c>
      <c r="U222" t="n">
        <v>42618.45</v>
      </c>
      <c r="V222" t="n">
        <v>0.083333</v>
      </c>
      <c r="W222" t="inlineStr">
        <is>
          <t>CNY</t>
        </is>
      </c>
      <c r="X222" t="n">
        <v>1</v>
      </c>
      <c r="Y222" t="n">
        <v>40989.5</v>
      </c>
      <c r="Z222" t="n">
        <v>0</v>
      </c>
      <c r="AA222" t="n">
        <v>42618.45</v>
      </c>
      <c r="AF222" t="n">
        <v>0</v>
      </c>
      <c r="AG222" t="n">
        <v>133543.45</v>
      </c>
      <c r="AH222" t="n">
        <v>3.257991680796302</v>
      </c>
      <c r="AJ222" t="n">
        <v>3.257991680796302</v>
      </c>
      <c r="AK222" t="n">
        <v>3.257991680796302</v>
      </c>
      <c r="AQ222" t="n">
        <v>133543.45</v>
      </c>
      <c r="AR222" t="n">
        <v>3.257991680796302</v>
      </c>
      <c r="AS222" t="n">
        <v>2.947003199823458</v>
      </c>
      <c r="BL222" t="n">
        <v>1</v>
      </c>
      <c r="BM222" t="n">
        <v>34575</v>
      </c>
      <c r="BN222" t="n">
        <v>0</v>
      </c>
      <c r="BO222" t="n">
        <v>37720</v>
      </c>
      <c r="BP222" t="inlineStr">
        <is>
          <t>U,U</t>
        </is>
      </c>
      <c r="BQ222" t="inlineStr">
        <is>
          <t>Others</t>
        </is>
      </c>
      <c r="BS222" t="n">
        <v>1.310629067245119</v>
      </c>
      <c r="BT222" t="n">
        <v>0</v>
      </c>
      <c r="BV222" t="n">
        <v>1.310629067245119</v>
      </c>
      <c r="BY222" t="n">
        <v>45315</v>
      </c>
      <c r="BZ222" t="n">
        <v>1.310629067245119</v>
      </c>
      <c r="CP222" t="inlineStr">
        <is>
          <t>税务部</t>
        </is>
      </c>
      <c r="CQ222" t="inlineStr">
        <is>
          <t>3,1</t>
        </is>
      </c>
      <c r="CR222" t="n">
        <v>9</v>
      </c>
      <c r="CS222" t="inlineStr">
        <is>
          <t>T1</t>
        </is>
      </c>
      <c r="CT222" t="inlineStr">
        <is>
          <t>N</t>
        </is>
      </c>
    </row>
    <row r="223">
      <c r="A223" t="inlineStr">
        <is>
          <t>isabellaWei(韦洁敏)</t>
        </is>
      </c>
      <c r="C223" t="n">
        <v>35546533</v>
      </c>
      <c r="D223" t="inlineStr">
        <is>
          <t>财会及报告管理部</t>
        </is>
      </c>
      <c r="E223" t="inlineStr">
        <is>
          <t>员工报销服务中心</t>
        </is>
      </c>
      <c r="G223" t="inlineStr">
        <is>
          <t>S2职能系统－财经线/财会及报告管理部/员工报销服务中心</t>
        </is>
      </c>
      <c r="H223" s="188" t="n">
        <v>42323</v>
      </c>
      <c r="I223" t="inlineStr">
        <is>
          <t>社会招聘</t>
        </is>
      </c>
      <c r="J223" t="inlineStr">
        <is>
          <t>财经类－FN</t>
        </is>
      </c>
      <c r="K223" t="inlineStr">
        <is>
          <t>会计</t>
        </is>
      </c>
      <c r="L223" t="inlineStr">
        <is>
          <t>S5</t>
        </is>
      </c>
      <c r="N223" t="inlineStr">
        <is>
          <t>T2</t>
        </is>
      </c>
      <c r="Q223" t="inlineStr">
        <is>
          <t>U,G</t>
        </is>
      </c>
      <c r="U223" t="n">
        <v>22029.75</v>
      </c>
      <c r="V223" t="n">
        <v>0.083333</v>
      </c>
      <c r="W223" t="inlineStr">
        <is>
          <t>CNY</t>
        </is>
      </c>
      <c r="X223" t="n">
        <v>1</v>
      </c>
      <c r="Y223" t="n">
        <v>21105.56</v>
      </c>
      <c r="Z223" t="n">
        <v>0</v>
      </c>
      <c r="AA223" t="n">
        <v>22029.75</v>
      </c>
      <c r="AF223" t="n">
        <v>0</v>
      </c>
      <c r="AG223" t="n">
        <v>52294.75</v>
      </c>
      <c r="AH223" t="n">
        <v>2.477771260274543</v>
      </c>
      <c r="AJ223" t="n">
        <v>2.477771260274543</v>
      </c>
      <c r="AK223" t="n">
        <v>2.477771260274543</v>
      </c>
      <c r="AQ223" t="n">
        <v>52294.75</v>
      </c>
      <c r="AR223" t="n">
        <v>2.477771260274543</v>
      </c>
      <c r="AS223" t="n">
        <v>0.8375870905741971</v>
      </c>
      <c r="BL223" t="n">
        <v>1</v>
      </c>
      <c r="BM223" t="n">
        <v>19070</v>
      </c>
      <c r="BN223" t="n">
        <v>0</v>
      </c>
      <c r="BO223" t="n">
        <v>20225</v>
      </c>
      <c r="BP223" t="inlineStr">
        <is>
          <t>G,G</t>
        </is>
      </c>
      <c r="BQ223" t="inlineStr">
        <is>
          <t>T2</t>
        </is>
      </c>
      <c r="BS223" t="n">
        <v>3.273990561090718</v>
      </c>
      <c r="BT223" t="n">
        <v>0</v>
      </c>
      <c r="BV223" t="n">
        <v>3.273990561090718</v>
      </c>
      <c r="BY223" t="n">
        <v>62435</v>
      </c>
      <c r="BZ223" t="n">
        <v>3.273990561090718</v>
      </c>
      <c r="CP223" t="inlineStr">
        <is>
          <t>财会及报告管理部</t>
        </is>
      </c>
      <c r="CQ223" t="inlineStr">
        <is>
          <t>3,1</t>
        </is>
      </c>
      <c r="CR223" t="n">
        <v>5</v>
      </c>
      <c r="CS223" t="inlineStr">
        <is>
          <t>T2</t>
        </is>
      </c>
      <c r="CT223" t="inlineStr">
        <is>
          <t>N</t>
        </is>
      </c>
    </row>
    <row r="224">
      <c r="A224" t="inlineStr">
        <is>
          <t>danielPan(潘力)</t>
        </is>
      </c>
      <c r="C224" t="n">
        <v>42434651</v>
      </c>
      <c r="D224" t="inlineStr">
        <is>
          <t>CDG财务管理</t>
        </is>
      </c>
      <c r="E224" t="inlineStr">
        <is>
          <t>AMS收入支持中心</t>
        </is>
      </c>
      <c r="G224" t="inlineStr">
        <is>
          <t>S2职能系统－财经线/CDG财务管理/AMS收入支持中心</t>
        </is>
      </c>
      <c r="H224" s="188" t="n">
        <v>40542</v>
      </c>
      <c r="I224" t="inlineStr">
        <is>
          <t>社会招聘</t>
        </is>
      </c>
      <c r="J224" t="inlineStr">
        <is>
          <t>财经类－FN</t>
        </is>
      </c>
      <c r="K224" t="inlineStr">
        <is>
          <t>财务管理</t>
        </is>
      </c>
      <c r="L224" t="inlineStr">
        <is>
          <t>S6</t>
        </is>
      </c>
      <c r="N224" t="inlineStr">
        <is>
          <t>T1</t>
        </is>
      </c>
      <c r="Q224" t="inlineStr">
        <is>
          <t>G,G</t>
        </is>
      </c>
      <c r="U224" t="n">
        <v>24218.65</v>
      </c>
      <c r="V224" t="n">
        <v>0.083333</v>
      </c>
      <c r="W224" t="inlineStr">
        <is>
          <t>CNY</t>
        </is>
      </c>
      <c r="X224" t="n">
        <v>1</v>
      </c>
      <c r="Y224" t="n">
        <v>23638.34</v>
      </c>
      <c r="Z224" t="n">
        <v>0</v>
      </c>
      <c r="AA224" t="n">
        <v>48437.3</v>
      </c>
      <c r="AF224" t="n">
        <v>0</v>
      </c>
      <c r="AG224" t="n">
        <v>138307.3</v>
      </c>
      <c r="AH224" t="n">
        <v>5.850973460911383</v>
      </c>
      <c r="AJ224" t="n">
        <v>5.850973460911383</v>
      </c>
      <c r="AK224" t="n">
        <v>4.532775990192205</v>
      </c>
      <c r="AQ224" t="n">
        <v>138307.3</v>
      </c>
      <c r="AR224" t="n">
        <v>5.850973460911383</v>
      </c>
      <c r="AS224" t="n">
        <v>1.358017575727822</v>
      </c>
      <c r="BL224" t="n">
        <v>1</v>
      </c>
      <c r="BM224" t="n">
        <v>20535</v>
      </c>
      <c r="BN224" t="n">
        <v>0</v>
      </c>
      <c r="BO224" t="n">
        <v>21515</v>
      </c>
      <c r="BP224" t="inlineStr">
        <is>
          <t>G,G</t>
        </is>
      </c>
      <c r="BQ224" t="inlineStr">
        <is>
          <t>T1</t>
        </is>
      </c>
      <c r="BS224" t="n">
        <v>3.237399561723886</v>
      </c>
      <c r="BT224" t="n">
        <v>35365</v>
      </c>
      <c r="BV224" t="n">
        <v>4.959581202824446</v>
      </c>
      <c r="BY224" t="n">
        <v>101845</v>
      </c>
      <c r="BZ224" t="n">
        <v>4.959581202824446</v>
      </c>
      <c r="CP224" t="inlineStr">
        <is>
          <t>CDG财务管理</t>
        </is>
      </c>
      <c r="CQ224" t="inlineStr">
        <is>
          <t>3,3</t>
        </is>
      </c>
      <c r="CR224" t="n">
        <v>6</v>
      </c>
      <c r="CS224" t="inlineStr">
        <is>
          <t>T1</t>
        </is>
      </c>
      <c r="CT224" t="inlineStr">
        <is>
          <t>N</t>
        </is>
      </c>
    </row>
    <row r="225">
      <c r="A225" t="inlineStr">
        <is>
          <t>lucyCui(崔娇柔)</t>
        </is>
      </c>
      <c r="C225" t="n">
        <v>1657381</v>
      </c>
      <c r="D225" t="inlineStr">
        <is>
          <t>财经投资并购及管理部</t>
        </is>
      </c>
      <c r="E225" t="inlineStr">
        <is>
          <t>行业及项目管理中心</t>
        </is>
      </c>
      <c r="G225" t="inlineStr">
        <is>
          <t>S2职能系统－财经线/财经投资并购及管理部/行业及项目管理中心</t>
        </is>
      </c>
      <c r="H225" s="188" t="n">
        <v>38089</v>
      </c>
      <c r="I225" t="inlineStr">
        <is>
          <t>社会招聘</t>
        </is>
      </c>
      <c r="J225" t="inlineStr">
        <is>
          <t>财经类－FN</t>
        </is>
      </c>
      <c r="K225" t="inlineStr">
        <is>
          <t>投资并购</t>
        </is>
      </c>
      <c r="M225" t="inlineStr">
        <is>
          <t>L2-1</t>
        </is>
      </c>
      <c r="N225" t="inlineStr">
        <is>
          <t>T1#</t>
        </is>
      </c>
      <c r="Q225" t="inlineStr">
        <is>
          <t>O,G</t>
        </is>
      </c>
      <c r="U225" t="n">
        <v>48015.7</v>
      </c>
      <c r="V225" t="n">
        <v>0.083333</v>
      </c>
      <c r="W225" t="inlineStr">
        <is>
          <t>CNY</t>
        </is>
      </c>
      <c r="X225" t="n">
        <v>1</v>
      </c>
      <c r="Y225" t="n">
        <v>47438.86</v>
      </c>
      <c r="Z225" t="n">
        <v>0</v>
      </c>
      <c r="AA225" t="n">
        <v>144047.1</v>
      </c>
      <c r="AF225" t="n">
        <v>14440</v>
      </c>
      <c r="AG225" t="n">
        <v>377082.1</v>
      </c>
      <c r="AH225" t="n">
        <v>7.948801889421457</v>
      </c>
      <c r="AJ225" t="n">
        <v>8.253193689730317</v>
      </c>
      <c r="AK225" t="n">
        <v>6.735029045807592</v>
      </c>
      <c r="AQ225" t="n">
        <v>391522.1</v>
      </c>
      <c r="AR225" t="n">
        <v>8.253193689730317</v>
      </c>
      <c r="AS225" t="n">
        <v>1.384693545534925</v>
      </c>
      <c r="BL225" t="n">
        <v>1</v>
      </c>
      <c r="BM225" t="n">
        <v>41470</v>
      </c>
      <c r="BN225" t="n">
        <v>0</v>
      </c>
      <c r="BO225" t="n">
        <v>43125</v>
      </c>
      <c r="BP225" t="inlineStr">
        <is>
          <t>G,G</t>
        </is>
      </c>
      <c r="BQ225" t="inlineStr">
        <is>
          <t>T1#</t>
        </is>
      </c>
      <c r="BS225" t="n">
        <v>5.262599469496021</v>
      </c>
      <c r="BT225" t="n">
        <v>64510</v>
      </c>
      <c r="BV225" t="n">
        <v>6.818181818181818</v>
      </c>
      <c r="BY225" t="n">
        <v>282750</v>
      </c>
      <c r="BZ225" t="n">
        <v>6.818181818181818</v>
      </c>
      <c r="CP225" t="inlineStr">
        <is>
          <t>财经投资并购及管理部</t>
        </is>
      </c>
      <c r="CQ225" t="inlineStr">
        <is>
          <t>5,3</t>
        </is>
      </c>
      <c r="CR225" t="inlineStr">
        <is>
          <t>L2-1</t>
        </is>
      </c>
      <c r="CS225" t="inlineStr">
        <is>
          <t>T1#</t>
        </is>
      </c>
      <c r="CT225" t="inlineStr">
        <is>
          <t>N</t>
        </is>
      </c>
    </row>
    <row r="226">
      <c r="A226" t="inlineStr">
        <is>
          <t>philipWan(万宏)</t>
        </is>
      </c>
      <c r="C226" t="n">
        <v>47835962</v>
      </c>
      <c r="D226" t="inlineStr">
        <is>
          <t>CDG财务管理</t>
        </is>
      </c>
      <c r="E226" t="inlineStr">
        <is>
          <t>综合财务管理中心</t>
        </is>
      </c>
      <c r="G226" t="inlineStr">
        <is>
          <t>S2职能系统－财经线/CDG财务管理/综合财务管理中心</t>
        </is>
      </c>
      <c r="H226" s="188" t="n">
        <v>39319</v>
      </c>
      <c r="I226" t="inlineStr">
        <is>
          <t>社会招聘</t>
        </is>
      </c>
      <c r="J226" t="inlineStr">
        <is>
          <t>财经类－FN</t>
        </is>
      </c>
      <c r="K226" t="inlineStr">
        <is>
          <t>财务管理</t>
        </is>
      </c>
      <c r="L226" t="inlineStr">
        <is>
          <t>S10</t>
        </is>
      </c>
      <c r="N226" t="inlineStr">
        <is>
          <t>T1#</t>
        </is>
      </c>
      <c r="Q226" t="inlineStr">
        <is>
          <t>G,U</t>
        </is>
      </c>
      <c r="U226" t="n">
        <v>54930.7</v>
      </c>
      <c r="V226" t="n">
        <v>0.083333</v>
      </c>
      <c r="W226" t="inlineStr">
        <is>
          <t>CNY</t>
        </is>
      </c>
      <c r="X226" t="n">
        <v>1</v>
      </c>
      <c r="Y226" t="n">
        <v>53738.23</v>
      </c>
      <c r="Z226" t="n">
        <v>0</v>
      </c>
      <c r="AA226" t="n">
        <v>54930.7</v>
      </c>
      <c r="AF226" t="n">
        <v>0</v>
      </c>
      <c r="AG226" t="n">
        <v>236690.7</v>
      </c>
      <c r="AH226" t="n">
        <v>4.404512392760238</v>
      </c>
      <c r="AJ226" t="n">
        <v>4.404512392760238</v>
      </c>
      <c r="AK226" t="n">
        <v>4.404512392760238</v>
      </c>
      <c r="AQ226" t="n">
        <v>236690.7</v>
      </c>
      <c r="AR226" t="n">
        <v>4.404512392760238</v>
      </c>
      <c r="AS226" t="n">
        <v>0.7123980797303195</v>
      </c>
      <c r="BL226" t="n">
        <v>1</v>
      </c>
      <c r="BM226" t="n">
        <v>48010</v>
      </c>
      <c r="BN226" t="n">
        <v>0</v>
      </c>
      <c r="BO226" t="n">
        <v>50535</v>
      </c>
      <c r="BP226" t="inlineStr">
        <is>
          <t>G,G</t>
        </is>
      </c>
      <c r="BQ226" t="inlineStr">
        <is>
          <t>T1#</t>
        </is>
      </c>
      <c r="BS226" t="n">
        <v>5.718183711726724</v>
      </c>
      <c r="BT226" t="n">
        <v>57715</v>
      </c>
      <c r="BV226" t="n">
        <v>6.920329098104562</v>
      </c>
      <c r="BY226" t="n">
        <v>332245</v>
      </c>
      <c r="BZ226" t="n">
        <v>6.920329098104562</v>
      </c>
      <c r="CP226" t="inlineStr">
        <is>
          <t>CDG财务管理</t>
        </is>
      </c>
      <c r="CQ226" t="inlineStr">
        <is>
          <t>3,1</t>
        </is>
      </c>
      <c r="CR226" t="n">
        <v>10</v>
      </c>
      <c r="CS226" t="inlineStr">
        <is>
          <t>T1#</t>
        </is>
      </c>
      <c r="CT226" t="inlineStr">
        <is>
          <t>N</t>
        </is>
      </c>
    </row>
    <row r="227">
      <c r="A227" t="inlineStr">
        <is>
          <t>jonathanGuo(郭勇)</t>
        </is>
      </c>
      <c r="C227" t="n">
        <v>6495275</v>
      </c>
      <c r="D227" t="inlineStr">
        <is>
          <t>WXG财务管理</t>
        </is>
      </c>
      <c r="E227" t="inlineStr">
        <is>
          <t>微信平台财务管理中心</t>
        </is>
      </c>
      <c r="G227" t="inlineStr">
        <is>
          <t>S2职能系统－财经线/WXG财务管理/微信平台财务管理中心</t>
        </is>
      </c>
      <c r="H227" s="188" t="n">
        <v>36176</v>
      </c>
      <c r="I227" t="inlineStr">
        <is>
          <t>社会招聘</t>
        </is>
      </c>
      <c r="J227" t="inlineStr">
        <is>
          <t>财经类－FN</t>
        </is>
      </c>
      <c r="K227" t="inlineStr">
        <is>
          <t>财务管理</t>
        </is>
      </c>
      <c r="L227" t="inlineStr">
        <is>
          <t>S10</t>
        </is>
      </c>
      <c r="N227" t="inlineStr">
        <is>
          <t>T1</t>
        </is>
      </c>
      <c r="Q227" t="inlineStr">
        <is>
          <t>U,G</t>
        </is>
      </c>
      <c r="U227" t="n">
        <v>54060.65</v>
      </c>
      <c r="V227" t="n">
        <v>0.083333</v>
      </c>
      <c r="W227" t="inlineStr">
        <is>
          <t>CNY</t>
        </is>
      </c>
      <c r="X227" t="n">
        <v>1</v>
      </c>
      <c r="Y227" t="n">
        <v>48813.31</v>
      </c>
      <c r="Z227" t="n">
        <v>0</v>
      </c>
      <c r="AA227" t="n">
        <v>54060.65</v>
      </c>
      <c r="AF227" t="n">
        <v>0</v>
      </c>
      <c r="AG227" t="n">
        <v>187325.65</v>
      </c>
      <c r="AH227" t="n">
        <v>3.837593680903836</v>
      </c>
      <c r="AJ227" t="n">
        <v>3.837593680903836</v>
      </c>
      <c r="AK227" t="n">
        <v>3.837593680903836</v>
      </c>
      <c r="AQ227" t="n">
        <v>187325.65</v>
      </c>
      <c r="AR227" t="n">
        <v>3.837593680903836</v>
      </c>
      <c r="AS227" t="n">
        <v>0.783592612733205</v>
      </c>
      <c r="BL227" t="n">
        <v>1</v>
      </c>
      <c r="BM227" t="n">
        <v>45395</v>
      </c>
      <c r="BN227" t="n">
        <v>0</v>
      </c>
      <c r="BO227" t="n">
        <v>48480</v>
      </c>
      <c r="BP227" t="inlineStr">
        <is>
          <t>G,G</t>
        </is>
      </c>
      <c r="BQ227" t="inlineStr">
        <is>
          <t>T1</t>
        </is>
      </c>
      <c r="BS227" t="n">
        <v>3.238902962881375</v>
      </c>
      <c r="BT227" t="n">
        <v>92030</v>
      </c>
      <c r="BV227" t="n">
        <v>5.266218746557991</v>
      </c>
      <c r="BY227" t="n">
        <v>239060</v>
      </c>
      <c r="BZ227" t="n">
        <v>5.266218746557991</v>
      </c>
      <c r="CP227" t="inlineStr">
        <is>
          <t>WXG财务管理</t>
        </is>
      </c>
      <c r="CQ227" t="inlineStr">
        <is>
          <t>3,1</t>
        </is>
      </c>
      <c r="CR227" t="n">
        <v>10</v>
      </c>
      <c r="CS227" t="inlineStr">
        <is>
          <t>T1</t>
        </is>
      </c>
      <c r="CT227" t="inlineStr">
        <is>
          <t>N</t>
        </is>
      </c>
    </row>
    <row r="228">
      <c r="A228" t="inlineStr">
        <is>
          <t>dorothyTan(谭雅嫣)</t>
        </is>
      </c>
      <c r="C228" t="n">
        <v>1350726</v>
      </c>
      <c r="D228" t="inlineStr">
        <is>
          <t>在线视频财务管理中心</t>
        </is>
      </c>
      <c r="E228" t="inlineStr">
        <is>
          <t>OVB长视频财务管理组</t>
        </is>
      </c>
      <c r="G228" t="inlineStr">
        <is>
          <t>S2职能系统－财经线/在线视频财务管理中心/OVB长视频财务管理组</t>
        </is>
      </c>
      <c r="H228" s="188" t="n">
        <v>39380</v>
      </c>
      <c r="I228" t="inlineStr">
        <is>
          <t>社会招聘</t>
        </is>
      </c>
      <c r="J228" t="inlineStr">
        <is>
          <t>财经类－FN</t>
        </is>
      </c>
      <c r="K228" t="inlineStr">
        <is>
          <t>财务管理</t>
        </is>
      </c>
      <c r="L228" t="inlineStr">
        <is>
          <t>S6</t>
        </is>
      </c>
      <c r="N228" t="inlineStr">
        <is>
          <t>T2</t>
        </is>
      </c>
      <c r="Q228" t="inlineStr">
        <is>
          <t>G,O</t>
        </is>
      </c>
      <c r="U228" t="n">
        <v>31127.1</v>
      </c>
      <c r="V228" t="n">
        <v>0.083333</v>
      </c>
      <c r="W228" t="inlineStr">
        <is>
          <t>CNY</t>
        </is>
      </c>
      <c r="X228" t="n">
        <v>1</v>
      </c>
      <c r="Y228" t="n">
        <v>29136.4</v>
      </c>
      <c r="Z228" t="n">
        <v>0</v>
      </c>
      <c r="AA228" t="n">
        <v>93381.3</v>
      </c>
      <c r="AF228" t="n">
        <v>0</v>
      </c>
      <c r="AG228" t="n">
        <v>134921.3</v>
      </c>
      <c r="AH228" t="n">
        <v>4.630678464051838</v>
      </c>
      <c r="AJ228" t="n">
        <v>4.630678464051838</v>
      </c>
      <c r="AK228" t="n">
        <v>4.630678464051838</v>
      </c>
      <c r="AQ228" t="n">
        <v>134921.3</v>
      </c>
      <c r="AR228" t="n">
        <v>4.630678464051838</v>
      </c>
      <c r="AS228" t="n">
        <v>2.27063783237967</v>
      </c>
      <c r="BL228" t="n">
        <v>1</v>
      </c>
      <c r="BM228" t="n">
        <v>25780</v>
      </c>
      <c r="BN228" t="n">
        <v>0</v>
      </c>
      <c r="BO228" t="n">
        <v>28335</v>
      </c>
      <c r="BP228" t="inlineStr">
        <is>
          <t>G,U</t>
        </is>
      </c>
      <c r="BQ228" t="inlineStr">
        <is>
          <t>T2</t>
        </is>
      </c>
      <c r="BS228" t="n">
        <v>2.30488750969744</v>
      </c>
      <c r="BT228" t="n">
        <v>0</v>
      </c>
      <c r="BV228" t="n">
        <v>2.30488750969744</v>
      </c>
      <c r="BY228" t="n">
        <v>59420</v>
      </c>
      <c r="BZ228" t="n">
        <v>2.30488750969744</v>
      </c>
      <c r="CP228" t="inlineStr">
        <is>
          <t>在线视频财务管理中心</t>
        </is>
      </c>
      <c r="CQ228" t="inlineStr">
        <is>
          <t>5,3</t>
        </is>
      </c>
      <c r="CR228" t="n">
        <v>6</v>
      </c>
      <c r="CS228" t="inlineStr">
        <is>
          <t>T2</t>
        </is>
      </c>
      <c r="CT228" t="inlineStr">
        <is>
          <t>N</t>
        </is>
      </c>
    </row>
    <row r="229">
      <c r="A229" t="inlineStr">
        <is>
          <t>samanthaZhou(周蝶)</t>
        </is>
      </c>
      <c r="C229" t="n">
        <v>24061177</v>
      </c>
      <c r="D229" t="inlineStr">
        <is>
          <t>IEG财务管理</t>
        </is>
      </c>
      <c r="E229" t="inlineStr">
        <is>
          <t>渠道财务管理组</t>
        </is>
      </c>
      <c r="G229" t="inlineStr">
        <is>
          <t>S2职能系统－财经线/IEG财务管理/渠道财务管理组</t>
        </is>
      </c>
      <c r="H229" s="188" t="n">
        <v>41544</v>
      </c>
      <c r="I229" t="inlineStr">
        <is>
          <t>社会招聘</t>
        </is>
      </c>
      <c r="J229" t="inlineStr">
        <is>
          <t>财经类－FN</t>
        </is>
      </c>
      <c r="K229" t="inlineStr">
        <is>
          <t>财务管理</t>
        </is>
      </c>
      <c r="L229" t="inlineStr">
        <is>
          <t>S8</t>
        </is>
      </c>
      <c r="N229" t="inlineStr">
        <is>
          <t>T1</t>
        </is>
      </c>
      <c r="Q229" t="inlineStr">
        <is>
          <t>G,O</t>
        </is>
      </c>
      <c r="U229" t="n">
        <v>28588.8</v>
      </c>
      <c r="V229" t="n">
        <v>0.083333</v>
      </c>
      <c r="W229" t="inlineStr">
        <is>
          <t>CNY</t>
        </is>
      </c>
      <c r="X229" t="n">
        <v>1</v>
      </c>
      <c r="Y229" t="n">
        <v>26404.67</v>
      </c>
      <c r="Z229" t="n">
        <v>0</v>
      </c>
      <c r="AA229" t="n">
        <v>85766.39999999999</v>
      </c>
      <c r="AF229" t="n">
        <v>0</v>
      </c>
      <c r="AG229" t="n">
        <v>203096.4</v>
      </c>
      <c r="AH229" t="n">
        <v>7.691684842113157</v>
      </c>
      <c r="AJ229" t="n">
        <v>7.691684842113157</v>
      </c>
      <c r="AK229" t="n">
        <v>5.683327987056836</v>
      </c>
      <c r="AQ229" t="n">
        <v>203096.4</v>
      </c>
      <c r="AR229" t="n">
        <v>7.691684842113157</v>
      </c>
      <c r="AS229" t="n">
        <v>1.695790923892623</v>
      </c>
      <c r="BL229" t="n">
        <v>1</v>
      </c>
      <c r="BM229" t="n">
        <v>23105</v>
      </c>
      <c r="BN229" t="n">
        <v>0</v>
      </c>
      <c r="BO229" t="n">
        <v>24050</v>
      </c>
      <c r="BP229" t="inlineStr">
        <is>
          <t>G,G</t>
        </is>
      </c>
      <c r="BQ229" t="inlineStr">
        <is>
          <t>T1</t>
        </is>
      </c>
      <c r="BS229" t="n">
        <v>3.279593161653322</v>
      </c>
      <c r="BT229" t="n">
        <v>43990</v>
      </c>
      <c r="BV229" t="n">
        <v>5.183510062756979</v>
      </c>
      <c r="BY229" t="n">
        <v>119765</v>
      </c>
      <c r="BZ229" t="n">
        <v>5.183510062756979</v>
      </c>
      <c r="CP229" t="inlineStr">
        <is>
          <t>IEG财务管理</t>
        </is>
      </c>
      <c r="CQ229" t="inlineStr">
        <is>
          <t>5,3</t>
        </is>
      </c>
      <c r="CR229" t="n">
        <v>8</v>
      </c>
      <c r="CS229" t="inlineStr">
        <is>
          <t>T1</t>
        </is>
      </c>
      <c r="CT229" t="inlineStr">
        <is>
          <t>N</t>
        </is>
      </c>
    </row>
    <row r="230">
      <c r="A230" t="inlineStr">
        <is>
          <t>sarahCai(蔡霞柔)</t>
        </is>
      </c>
      <c r="C230" t="n">
        <v>32534787</v>
      </c>
      <c r="D230" t="inlineStr">
        <is>
          <t>风险管理和内部控制</t>
        </is>
      </c>
      <c r="E230" t="inlineStr">
        <is>
          <t>CSIG风控中心</t>
        </is>
      </c>
      <c r="G230" t="inlineStr">
        <is>
          <t>S2职能系统－财经线/风险管理和内部控制/CSIG风控中心</t>
        </is>
      </c>
      <c r="H230" s="188" t="n">
        <v>42825</v>
      </c>
      <c r="I230" t="inlineStr">
        <is>
          <t>社会招聘</t>
        </is>
      </c>
      <c r="J230" t="inlineStr">
        <is>
          <t>财经类－FN</t>
        </is>
      </c>
      <c r="K230" t="inlineStr">
        <is>
          <t>风险管理</t>
        </is>
      </c>
      <c r="L230" t="inlineStr">
        <is>
          <t>S8</t>
        </is>
      </c>
      <c r="N230" t="inlineStr">
        <is>
          <t>T2</t>
        </is>
      </c>
      <c r="Q230" t="inlineStr">
        <is>
          <t>O,G</t>
        </is>
      </c>
      <c r="U230" t="n">
        <v>50138.15</v>
      </c>
      <c r="V230" t="n">
        <v>0.083333</v>
      </c>
      <c r="W230" t="inlineStr">
        <is>
          <t>CNY</t>
        </is>
      </c>
      <c r="X230" t="n">
        <v>1</v>
      </c>
      <c r="Y230" t="n">
        <v>46086.49</v>
      </c>
      <c r="Z230" t="n">
        <v>0</v>
      </c>
      <c r="AA230" t="n">
        <v>150414.45</v>
      </c>
      <c r="AF230" t="n">
        <v>0</v>
      </c>
      <c r="AG230" t="n">
        <v>221764.45</v>
      </c>
      <c r="AH230" t="n">
        <v>4.811918850838934</v>
      </c>
      <c r="AJ230" t="n">
        <v>4.811918850838934</v>
      </c>
      <c r="AK230" t="n">
        <v>4.811918850838934</v>
      </c>
      <c r="AQ230" t="n">
        <v>221764.45</v>
      </c>
      <c r="AR230" t="n">
        <v>4.811918850838934</v>
      </c>
      <c r="AS230" t="n">
        <v>1.156529074315515</v>
      </c>
      <c r="BL230" t="n">
        <v>1</v>
      </c>
      <c r="BM230" t="n">
        <v>44375</v>
      </c>
      <c r="BN230" t="n">
        <v>0</v>
      </c>
      <c r="BO230" t="n">
        <v>47355</v>
      </c>
      <c r="BP230" t="inlineStr">
        <is>
          <t>G,O</t>
        </is>
      </c>
      <c r="BQ230" t="inlineStr">
        <is>
          <t>T2</t>
        </is>
      </c>
      <c r="BS230" t="n">
        <v>4.32112676056338</v>
      </c>
      <c r="BT230" t="n">
        <v>0</v>
      </c>
      <c r="BV230" t="n">
        <v>4.32112676056338</v>
      </c>
      <c r="BY230" t="n">
        <v>191750</v>
      </c>
      <c r="BZ230" t="n">
        <v>4.32112676056338</v>
      </c>
      <c r="CP230" t="inlineStr">
        <is>
          <t>风险管理和内部控制</t>
        </is>
      </c>
      <c r="CQ230" t="inlineStr">
        <is>
          <t>5,3</t>
        </is>
      </c>
      <c r="CR230" t="n">
        <v>8</v>
      </c>
      <c r="CS230" t="inlineStr">
        <is>
          <t>T2</t>
        </is>
      </c>
      <c r="CT230" t="inlineStr">
        <is>
          <t>N</t>
        </is>
      </c>
    </row>
    <row r="231">
      <c r="A231" t="inlineStr">
        <is>
          <t>markLong(龙天)</t>
        </is>
      </c>
      <c r="C231" t="n">
        <v>94536358</v>
      </c>
      <c r="D231" t="inlineStr">
        <is>
          <t>PCG财务管理</t>
        </is>
      </c>
      <c r="E231" t="inlineStr">
        <is>
          <t>财务规划及分析组</t>
        </is>
      </c>
      <c r="G231" t="inlineStr">
        <is>
          <t>S2职能系统－财经线/PCG财务管理/财务规划及分析组</t>
        </is>
      </c>
      <c r="H231" s="188" t="n">
        <v>44894</v>
      </c>
      <c r="I231" t="inlineStr">
        <is>
          <t>社会招聘</t>
        </is>
      </c>
      <c r="J231" t="inlineStr">
        <is>
          <t>财经类－FN</t>
        </is>
      </c>
      <c r="K231" t="inlineStr">
        <is>
          <t>财务管理</t>
        </is>
      </c>
      <c r="L231" t="inlineStr">
        <is>
          <t>S10</t>
        </is>
      </c>
      <c r="N231" t="inlineStr">
        <is>
          <t>T2</t>
        </is>
      </c>
      <c r="Q231" t="inlineStr">
        <is>
          <t>O,G</t>
        </is>
      </c>
      <c r="U231" t="n">
        <v>51768.95</v>
      </c>
      <c r="V231" t="n">
        <v>0.083333</v>
      </c>
      <c r="W231" t="inlineStr">
        <is>
          <t>CNY</t>
        </is>
      </c>
      <c r="X231" t="n">
        <v>1</v>
      </c>
      <c r="Y231" t="n">
        <v>51169.14</v>
      </c>
      <c r="Z231" t="n">
        <v>0</v>
      </c>
      <c r="AA231" t="n">
        <v>155306.85</v>
      </c>
      <c r="AF231" t="n">
        <v>0</v>
      </c>
      <c r="AG231" t="n">
        <v>226596.85</v>
      </c>
      <c r="AH231" t="n">
        <v>4.428388868759569</v>
      </c>
      <c r="AJ231" t="n">
        <v>4.428388868759569</v>
      </c>
      <c r="AK231" t="n">
        <v>4.428388868759569</v>
      </c>
      <c r="AQ231" t="n">
        <v>226596.85</v>
      </c>
      <c r="AR231" t="n">
        <v>4.428388868759569</v>
      </c>
      <c r="AS231" t="n">
        <v>1.554588707464325</v>
      </c>
      <c r="BL231" t="n">
        <v>1</v>
      </c>
      <c r="BM231" t="n">
        <v>43985</v>
      </c>
      <c r="BN231" t="n">
        <v>0</v>
      </c>
      <c r="BO231" t="n">
        <v>47025</v>
      </c>
      <c r="BP231" t="inlineStr">
        <is>
          <t>G,G</t>
        </is>
      </c>
      <c r="BQ231" t="inlineStr">
        <is>
          <t>T2</t>
        </is>
      </c>
      <c r="BS231" t="n">
        <v>3.313856996703421</v>
      </c>
      <c r="BT231" t="n">
        <v>0</v>
      </c>
      <c r="BV231" t="n">
        <v>3.313856996703421</v>
      </c>
      <c r="BY231" t="n">
        <v>145760</v>
      </c>
      <c r="BZ231" t="n">
        <v>3.313856996703421</v>
      </c>
      <c r="CP231" t="inlineStr">
        <is>
          <t>PCG财务管理</t>
        </is>
      </c>
      <c r="CQ231" t="inlineStr">
        <is>
          <t>5,3</t>
        </is>
      </c>
      <c r="CR231" t="n">
        <v>10</v>
      </c>
      <c r="CS231" t="inlineStr">
        <is>
          <t>T2</t>
        </is>
      </c>
      <c r="CT231" t="inlineStr">
        <is>
          <t>N</t>
        </is>
      </c>
    </row>
    <row r="232">
      <c r="A232" t="inlineStr">
        <is>
          <t>justinYan(严博安)</t>
        </is>
      </c>
      <c r="C232" t="n">
        <v>79587617</v>
      </c>
      <c r="D232" t="inlineStr">
        <is>
          <t>CSIG财务管理</t>
        </is>
      </c>
      <c r="E232" t="inlineStr">
        <is>
          <t>综合财务管理中心</t>
        </is>
      </c>
      <c r="G232" t="inlineStr">
        <is>
          <t>S2职能系统－财经线/CSIG财务管理/综合财务管理中心</t>
        </is>
      </c>
      <c r="H232" s="188" t="n">
        <v>45563</v>
      </c>
      <c r="I232" t="inlineStr">
        <is>
          <t>高校招聘</t>
        </is>
      </c>
      <c r="J232" t="inlineStr">
        <is>
          <t>财经类－FN</t>
        </is>
      </c>
      <c r="K232" t="inlineStr">
        <is>
          <t>财务管理</t>
        </is>
      </c>
      <c r="L232" t="inlineStr">
        <is>
          <t>S7</t>
        </is>
      </c>
      <c r="N232" t="inlineStr">
        <is>
          <t>T1</t>
        </is>
      </c>
      <c r="Q232" t="inlineStr">
        <is>
          <t>N,G</t>
        </is>
      </c>
      <c r="U232" t="n">
        <v>26884.65</v>
      </c>
      <c r="V232" t="n">
        <v>0.083333</v>
      </c>
      <c r="W232" t="inlineStr">
        <is>
          <t>CNY</t>
        </is>
      </c>
      <c r="X232" t="n">
        <v>0.257534</v>
      </c>
      <c r="Y232" t="n">
        <v>26884.65</v>
      </c>
      <c r="Z232" t="n">
        <v>0</v>
      </c>
      <c r="AA232" t="n">
        <v>6923.71</v>
      </c>
      <c r="AF232" t="n">
        <v>0</v>
      </c>
      <c r="AG232" t="n">
        <v>6923.71</v>
      </c>
      <c r="AH232" t="n">
        <v>0.2575339459505703</v>
      </c>
      <c r="AJ232" t="n">
        <v>0.2575339459505703</v>
      </c>
      <c r="AK232" t="n">
        <v>0.2575339459505703</v>
      </c>
      <c r="AQ232" t="n">
        <v>6923.71</v>
      </c>
      <c r="AR232" t="n">
        <v>0.2575339459505703</v>
      </c>
      <c r="BM232" t="n">
        <v>0</v>
      </c>
      <c r="BN232" t="n">
        <v>0</v>
      </c>
      <c r="BO232" t="n">
        <v>0</v>
      </c>
      <c r="BT232" t="n">
        <v>0</v>
      </c>
      <c r="BY232" t="n">
        <v>0</v>
      </c>
      <c r="CP232" t="inlineStr">
        <is>
          <t>CSIG财务管理</t>
        </is>
      </c>
      <c r="CQ232" t="n">
        <v>3</v>
      </c>
      <c r="CR232" t="n">
        <v>7</v>
      </c>
      <c r="CS232" t="inlineStr">
        <is>
          <t>T1</t>
        </is>
      </c>
      <c r="CT232" t="inlineStr">
        <is>
          <t>N</t>
        </is>
      </c>
    </row>
    <row r="233">
      <c r="A233" t="inlineStr">
        <is>
          <t>sandraDuan(段玲)</t>
        </is>
      </c>
      <c r="C233" t="n">
        <v>29828308</v>
      </c>
      <c r="D233" t="inlineStr">
        <is>
          <t>财会及报告管理部</t>
        </is>
      </c>
      <c r="E233" t="inlineStr">
        <is>
          <t>专业支持中心</t>
        </is>
      </c>
      <c r="G233" t="inlineStr">
        <is>
          <t>S2职能系统－财经线/财会及报告管理部/专业支持中心</t>
        </is>
      </c>
      <c r="H233" s="188" t="n">
        <v>37421</v>
      </c>
      <c r="I233" t="inlineStr">
        <is>
          <t>高校招聘</t>
        </is>
      </c>
      <c r="J233" t="inlineStr">
        <is>
          <t>财经类－FN</t>
        </is>
      </c>
      <c r="K233" t="inlineStr">
        <is>
          <t>会计</t>
        </is>
      </c>
      <c r="L233" t="inlineStr">
        <is>
          <t>S6</t>
        </is>
      </c>
      <c r="N233" t="inlineStr">
        <is>
          <t>T2</t>
        </is>
      </c>
      <c r="Q233" t="inlineStr">
        <is>
          <t>G,G</t>
        </is>
      </c>
      <c r="U233" t="n">
        <v>35453.3</v>
      </c>
      <c r="V233" t="n">
        <v>0.083333</v>
      </c>
      <c r="W233" t="inlineStr">
        <is>
          <t>CNY</t>
        </is>
      </c>
      <c r="X233" t="n">
        <v>1</v>
      </c>
      <c r="Y233" t="n">
        <v>34908.4</v>
      </c>
      <c r="Z233" t="n">
        <v>0</v>
      </c>
      <c r="AA233" t="n">
        <v>70906.60000000001</v>
      </c>
      <c r="AF233" t="n">
        <v>0</v>
      </c>
      <c r="AG233" t="n">
        <v>114586.6</v>
      </c>
      <c r="AH233" t="n">
        <v>3.282493611852735</v>
      </c>
      <c r="AJ233" t="n">
        <v>3.282493611852735</v>
      </c>
      <c r="AK233" t="n">
        <v>3.282493611852735</v>
      </c>
      <c r="AQ233" t="n">
        <v>114586.6</v>
      </c>
      <c r="AR233" t="n">
        <v>3.282493611852735</v>
      </c>
      <c r="AS233" t="n">
        <v>1.148392463419523</v>
      </c>
      <c r="BL233" t="n">
        <v>1</v>
      </c>
      <c r="BM233" t="n">
        <v>29545</v>
      </c>
      <c r="BN233" t="n">
        <v>0</v>
      </c>
      <c r="BO233" t="n">
        <v>30010</v>
      </c>
      <c r="BP233" t="inlineStr">
        <is>
          <t>G,G</t>
        </is>
      </c>
      <c r="BQ233" t="inlineStr">
        <is>
          <t>T2</t>
        </is>
      </c>
      <c r="BS233" t="n">
        <v>3.377221188018277</v>
      </c>
      <c r="BT233" t="n">
        <v>0</v>
      </c>
      <c r="BV233" t="n">
        <v>3.377221188018277</v>
      </c>
      <c r="BY233" t="n">
        <v>99780</v>
      </c>
      <c r="BZ233" t="n">
        <v>3.377221188018277</v>
      </c>
      <c r="CP233" t="inlineStr">
        <is>
          <t>财会及报告管理部</t>
        </is>
      </c>
      <c r="CQ233" t="inlineStr">
        <is>
          <t>3,3</t>
        </is>
      </c>
      <c r="CR233" t="n">
        <v>6</v>
      </c>
      <c r="CS233" t="inlineStr">
        <is>
          <t>T2</t>
        </is>
      </c>
      <c r="CT233" t="inlineStr">
        <is>
          <t>N</t>
        </is>
      </c>
    </row>
    <row r="234">
      <c r="A234" t="inlineStr">
        <is>
          <t>willieGu(顾霖恒)</t>
        </is>
      </c>
      <c r="C234" t="n">
        <v>58302784</v>
      </c>
      <c r="D234" t="inlineStr">
        <is>
          <t>风险管理和内部控制</t>
        </is>
      </c>
      <c r="E234" t="inlineStr">
        <is>
          <t>CSIG风控中心</t>
        </is>
      </c>
      <c r="G234" t="inlineStr">
        <is>
          <t>S2职能系统－财经线/风险管理和内部控制/CSIG风控中心</t>
        </is>
      </c>
      <c r="H234" s="188" t="n">
        <v>39306</v>
      </c>
      <c r="I234" t="inlineStr">
        <is>
          <t>社会招聘</t>
        </is>
      </c>
      <c r="J234" t="inlineStr">
        <is>
          <t>财经类－FN</t>
        </is>
      </c>
      <c r="K234" t="inlineStr">
        <is>
          <t>风险管理</t>
        </is>
      </c>
      <c r="L234" t="inlineStr">
        <is>
          <t>S6</t>
        </is>
      </c>
      <c r="N234" t="inlineStr">
        <is>
          <t>T1#</t>
        </is>
      </c>
      <c r="Q234" t="inlineStr">
        <is>
          <t>G,G</t>
        </is>
      </c>
      <c r="U234" t="n">
        <v>32535.7</v>
      </c>
      <c r="V234" t="n">
        <v>0.083333</v>
      </c>
      <c r="W234" t="inlineStr">
        <is>
          <t>CNY</t>
        </is>
      </c>
      <c r="X234" t="n">
        <v>1</v>
      </c>
      <c r="Y234" t="n">
        <v>30820.16</v>
      </c>
      <c r="Z234" t="n">
        <v>0</v>
      </c>
      <c r="AA234" t="n">
        <v>65071.4</v>
      </c>
      <c r="AF234" t="n">
        <v>0</v>
      </c>
      <c r="AG234" t="n">
        <v>223351.4</v>
      </c>
      <c r="AH234" t="n">
        <v>7.246925389095968</v>
      </c>
      <c r="AJ234" t="n">
        <v>7.246925389095968</v>
      </c>
      <c r="AK234" t="n">
        <v>5.334054073697216</v>
      </c>
      <c r="AQ234" t="n">
        <v>223351.4</v>
      </c>
      <c r="AR234" t="n">
        <v>7.246925389095968</v>
      </c>
      <c r="AS234" t="n">
        <v>1.838964225433288</v>
      </c>
      <c r="BL234" t="n">
        <v>1</v>
      </c>
      <c r="BM234" t="n">
        <v>27740</v>
      </c>
      <c r="BN234" t="n">
        <v>0</v>
      </c>
      <c r="BO234" t="n">
        <v>28045</v>
      </c>
      <c r="BP234" t="inlineStr">
        <is>
          <t>U,G</t>
        </is>
      </c>
      <c r="BQ234" t="inlineStr">
        <is>
          <t>T1#</t>
        </is>
      </c>
      <c r="BS234" t="n">
        <v>4.378334534967556</v>
      </c>
      <c r="BT234" t="n">
        <v>0</v>
      </c>
      <c r="BV234" t="n">
        <v>4.378334534967556</v>
      </c>
      <c r="BY234" t="n">
        <v>121455</v>
      </c>
      <c r="BZ234" t="n">
        <v>4.378334534967556</v>
      </c>
      <c r="CP234" t="inlineStr">
        <is>
          <t>风险管理和内部控制</t>
        </is>
      </c>
      <c r="CQ234" t="inlineStr">
        <is>
          <t>3,3</t>
        </is>
      </c>
      <c r="CR234" t="n">
        <v>6</v>
      </c>
      <c r="CS234" t="inlineStr">
        <is>
          <t>T1#</t>
        </is>
      </c>
      <c r="CT234" t="inlineStr">
        <is>
          <t>N</t>
        </is>
      </c>
    </row>
    <row r="235">
      <c r="A235" t="inlineStr">
        <is>
          <t>lukeQian(钱鹏德)</t>
        </is>
      </c>
      <c r="C235" t="n">
        <v>18128942</v>
      </c>
      <c r="D235" t="inlineStr">
        <is>
          <t>在线视频财务管理中心</t>
        </is>
      </c>
      <c r="E235" t="inlineStr">
        <is>
          <t>OVB长视频财务管理组</t>
        </is>
      </c>
      <c r="G235" t="inlineStr">
        <is>
          <t>S2职能系统－财经线/在线视频财务管理中心/OVB长视频财务管理组</t>
        </is>
      </c>
      <c r="H235" s="188" t="n">
        <v>38286</v>
      </c>
      <c r="I235" t="inlineStr">
        <is>
          <t>社会招聘</t>
        </is>
      </c>
      <c r="J235" t="inlineStr">
        <is>
          <t>财经类－FN</t>
        </is>
      </c>
      <c r="K235" t="inlineStr">
        <is>
          <t>财务管理</t>
        </is>
      </c>
      <c r="L235" t="inlineStr">
        <is>
          <t>S11</t>
        </is>
      </c>
      <c r="N235" t="inlineStr">
        <is>
          <t>T1</t>
        </is>
      </c>
      <c r="Q235" t="inlineStr">
        <is>
          <t>U,G</t>
        </is>
      </c>
      <c r="U235" t="n">
        <v>59717.25</v>
      </c>
      <c r="V235" t="n">
        <v>0.083333</v>
      </c>
      <c r="W235" t="inlineStr">
        <is>
          <t>CNY</t>
        </is>
      </c>
      <c r="X235" t="n">
        <v>1</v>
      </c>
      <c r="Y235" t="n">
        <v>58343.83</v>
      </c>
      <c r="Z235" t="n">
        <v>0</v>
      </c>
      <c r="AA235" t="n">
        <v>59717.25</v>
      </c>
      <c r="AF235" t="n">
        <v>0</v>
      </c>
      <c r="AG235" t="n">
        <v>201432.25</v>
      </c>
      <c r="AH235" t="n">
        <v>3.452503032454331</v>
      </c>
      <c r="AJ235" t="n">
        <v>3.452503032454331</v>
      </c>
      <c r="AK235" t="n">
        <v>3.452503032454331</v>
      </c>
      <c r="AQ235" t="n">
        <v>201432.25</v>
      </c>
      <c r="AR235" t="n">
        <v>3.452503032454331</v>
      </c>
      <c r="AS235" t="n">
        <v>0.6155207712639991</v>
      </c>
      <c r="BL235" t="n">
        <v>1</v>
      </c>
      <c r="BM235" t="n">
        <v>50600</v>
      </c>
      <c r="BN235" t="n">
        <v>0</v>
      </c>
      <c r="BO235" t="n">
        <v>54235</v>
      </c>
      <c r="BP235" t="inlineStr">
        <is>
          <t>O,G</t>
        </is>
      </c>
      <c r="BQ235" t="inlineStr">
        <is>
          <t>T1</t>
        </is>
      </c>
      <c r="BS235" t="n">
        <v>4.44594861660079</v>
      </c>
      <c r="BT235" t="n">
        <v>102290</v>
      </c>
      <c r="BV235" t="n">
        <v>6.467490118577075</v>
      </c>
      <c r="BY235" t="n">
        <v>327255</v>
      </c>
      <c r="BZ235" t="n">
        <v>6.467490118577075</v>
      </c>
      <c r="CP235" t="inlineStr">
        <is>
          <t>在线视频财务管理中心</t>
        </is>
      </c>
      <c r="CQ235" t="inlineStr">
        <is>
          <t>3,1</t>
        </is>
      </c>
      <c r="CR235" t="n">
        <v>11</v>
      </c>
      <c r="CS235" t="inlineStr">
        <is>
          <t>T1</t>
        </is>
      </c>
      <c r="CT235" t="inlineStr">
        <is>
          <t>N</t>
        </is>
      </c>
    </row>
    <row r="236">
      <c r="A236" t="inlineStr">
        <is>
          <t>elizabethXiong(熊思佳)</t>
        </is>
      </c>
      <c r="C236" t="n">
        <v>92067383</v>
      </c>
      <c r="D236" t="inlineStr">
        <is>
          <t>财会及报告管理部</t>
        </is>
      </c>
      <c r="E236" t="inlineStr">
        <is>
          <t>供应商支付管理中心</t>
        </is>
      </c>
      <c r="G236" t="inlineStr">
        <is>
          <t>S2职能系统－财经线/财会及报告管理部/供应商支付管理中心</t>
        </is>
      </c>
      <c r="H236" s="188" t="n">
        <v>38029</v>
      </c>
      <c r="I236" t="inlineStr">
        <is>
          <t>高校招聘</t>
        </is>
      </c>
      <c r="J236" t="inlineStr">
        <is>
          <t>财经类－FN</t>
        </is>
      </c>
      <c r="K236" t="inlineStr">
        <is>
          <t>会计</t>
        </is>
      </c>
      <c r="M236" t="inlineStr">
        <is>
          <t>L2-2</t>
        </is>
      </c>
      <c r="N236" t="inlineStr">
        <is>
          <t>T1#</t>
        </is>
      </c>
      <c r="Q236" t="inlineStr">
        <is>
          <t>U,G</t>
        </is>
      </c>
      <c r="U236" t="n">
        <v>66082.89999999999</v>
      </c>
      <c r="V236" t="n">
        <v>0.083333</v>
      </c>
      <c r="W236" t="inlineStr">
        <is>
          <t>CNY</t>
        </is>
      </c>
      <c r="X236" t="n">
        <v>1</v>
      </c>
      <c r="Y236" t="n">
        <v>62623.87</v>
      </c>
      <c r="Z236" t="n">
        <v>0</v>
      </c>
      <c r="AA236" t="n">
        <v>66082.89999999999</v>
      </c>
      <c r="AF236" t="n">
        <v>11980</v>
      </c>
      <c r="AG236" t="n">
        <v>265897.9</v>
      </c>
      <c r="AH236" t="n">
        <v>4.245951264270317</v>
      </c>
      <c r="AJ236" t="n">
        <v>4.437252121275801</v>
      </c>
      <c r="AK236" t="n">
        <v>4.437252121275801</v>
      </c>
      <c r="AQ236" t="n">
        <v>277877.9</v>
      </c>
      <c r="AR236" t="n">
        <v>4.437252121275801</v>
      </c>
      <c r="AS236" t="n">
        <v>0.6744036307595229</v>
      </c>
      <c r="BL236" t="n">
        <v>1</v>
      </c>
      <c r="BM236" t="n">
        <v>52920</v>
      </c>
      <c r="BN236" t="n">
        <v>0</v>
      </c>
      <c r="BO236" t="n">
        <v>54120</v>
      </c>
      <c r="BP236" t="inlineStr">
        <is>
          <t>O,G</t>
        </is>
      </c>
      <c r="BQ236" t="inlineStr">
        <is>
          <t>T1#</t>
        </is>
      </c>
      <c r="BS236" t="n">
        <v>6.395408163265306</v>
      </c>
      <c r="BT236" t="n">
        <v>73590</v>
      </c>
      <c r="BV236" t="n">
        <v>7.785997732426304</v>
      </c>
      <c r="BY236" t="n">
        <v>412035</v>
      </c>
      <c r="BZ236" t="n">
        <v>7.785997732426304</v>
      </c>
      <c r="CP236" t="inlineStr">
        <is>
          <t>财会及报告管理部</t>
        </is>
      </c>
      <c r="CQ236" t="inlineStr">
        <is>
          <t>3,1</t>
        </is>
      </c>
      <c r="CR236" t="inlineStr">
        <is>
          <t>L2-2</t>
        </is>
      </c>
      <c r="CS236" t="inlineStr">
        <is>
          <t>T1#</t>
        </is>
      </c>
      <c r="CT236" t="inlineStr">
        <is>
          <t>N</t>
        </is>
      </c>
    </row>
    <row r="237">
      <c r="A237" t="inlineStr">
        <is>
          <t>joeShi(施翔)</t>
        </is>
      </c>
      <c r="C237" t="n">
        <v>18946173</v>
      </c>
      <c r="D237" t="inlineStr">
        <is>
          <t>CDG财务管理</t>
        </is>
      </c>
      <c r="E237" t="inlineStr">
        <is>
          <t>综合财务管理中心</t>
        </is>
      </c>
      <c r="G237" t="inlineStr">
        <is>
          <t>S2职能系统－财经线/CDG财务管理/综合财务管理中心</t>
        </is>
      </c>
      <c r="H237" s="188" t="n">
        <v>45503</v>
      </c>
      <c r="I237" t="inlineStr">
        <is>
          <t>高校招聘</t>
        </is>
      </c>
      <c r="J237" t="inlineStr">
        <is>
          <t>财经类－FN</t>
        </is>
      </c>
      <c r="K237" t="inlineStr">
        <is>
          <t>财务管理</t>
        </is>
      </c>
      <c r="L237" t="inlineStr">
        <is>
          <t>S8</t>
        </is>
      </c>
      <c r="N237" t="inlineStr">
        <is>
          <t>T1#</t>
        </is>
      </c>
      <c r="Q237" t="inlineStr">
        <is>
          <t>N,G</t>
        </is>
      </c>
      <c r="U237" t="n">
        <v>47049.75</v>
      </c>
      <c r="V237" t="n">
        <v>0.083333</v>
      </c>
      <c r="W237" t="inlineStr">
        <is>
          <t>CNY</t>
        </is>
      </c>
      <c r="X237" t="n">
        <v>0.421918</v>
      </c>
      <c r="Y237" t="n">
        <v>47049.75</v>
      </c>
      <c r="Z237" t="n">
        <v>0</v>
      </c>
      <c r="AA237" t="n">
        <v>19851.14</v>
      </c>
      <c r="AF237" t="n">
        <v>0</v>
      </c>
      <c r="AG237" t="n">
        <v>19851.14</v>
      </c>
      <c r="AH237" t="n">
        <v>0.421918076079044</v>
      </c>
      <c r="AJ237" t="n">
        <v>0.421918076079044</v>
      </c>
      <c r="AK237" t="n">
        <v>0.421918076079044</v>
      </c>
      <c r="AQ237" t="n">
        <v>19851.14</v>
      </c>
      <c r="AR237" t="n">
        <v>0.421918076079044</v>
      </c>
      <c r="BM237" t="n">
        <v>0</v>
      </c>
      <c r="BN237" t="n">
        <v>0</v>
      </c>
      <c r="BO237" t="n">
        <v>0</v>
      </c>
      <c r="BT237" t="n">
        <v>0</v>
      </c>
      <c r="BY237" t="n">
        <v>0</v>
      </c>
      <c r="CP237" t="inlineStr">
        <is>
          <t>CDG财务管理</t>
        </is>
      </c>
      <c r="CQ237" t="n">
        <v>3</v>
      </c>
      <c r="CR237" t="n">
        <v>8</v>
      </c>
      <c r="CS237" t="inlineStr">
        <is>
          <t>T1#</t>
        </is>
      </c>
      <c r="CT237" t="inlineStr">
        <is>
          <t>N</t>
        </is>
      </c>
    </row>
    <row r="238">
      <c r="A238" t="inlineStr">
        <is>
          <t>josephDu(杜坚雄)</t>
        </is>
      </c>
      <c r="C238" t="n">
        <v>43060574</v>
      </c>
      <c r="D238" t="inlineStr">
        <is>
          <t>风险管理和内部控制</t>
        </is>
      </c>
      <c r="E238" t="inlineStr">
        <is>
          <t>TEG风控组</t>
        </is>
      </c>
      <c r="G238" t="inlineStr">
        <is>
          <t>S2职能系统－财经线/风险管理和内部控制/TEG风控组</t>
        </is>
      </c>
      <c r="H238" s="188" t="n">
        <v>39719</v>
      </c>
      <c r="I238" t="inlineStr">
        <is>
          <t>社会招聘</t>
        </is>
      </c>
      <c r="J238" t="inlineStr">
        <is>
          <t>财经类－FN</t>
        </is>
      </c>
      <c r="K238" t="inlineStr">
        <is>
          <t>风险管理</t>
        </is>
      </c>
      <c r="L238" t="inlineStr">
        <is>
          <t>S7</t>
        </is>
      </c>
      <c r="N238" t="inlineStr">
        <is>
          <t>T1#</t>
        </is>
      </c>
      <c r="Q238" t="inlineStr">
        <is>
          <t>U,G</t>
        </is>
      </c>
      <c r="U238" t="n">
        <v>30343.85</v>
      </c>
      <c r="V238" t="n">
        <v>0.083333</v>
      </c>
      <c r="W238" t="inlineStr">
        <is>
          <t>CNY</t>
        </is>
      </c>
      <c r="X238" t="n">
        <v>1</v>
      </c>
      <c r="Y238" t="n">
        <v>27553.4</v>
      </c>
      <c r="Z238" t="n">
        <v>0</v>
      </c>
      <c r="AA238" t="n">
        <v>30343.85</v>
      </c>
      <c r="AF238" t="n">
        <v>0</v>
      </c>
      <c r="AG238" t="n">
        <v>124963.85</v>
      </c>
      <c r="AH238" t="n">
        <v>4.53533320751704</v>
      </c>
      <c r="AJ238" t="n">
        <v>4.53533320751704</v>
      </c>
      <c r="AK238" t="n">
        <v>4.53533320751704</v>
      </c>
      <c r="AQ238" t="n">
        <v>124963.85</v>
      </c>
      <c r="AR238" t="n">
        <v>4.53533320751704</v>
      </c>
      <c r="AS238" t="n">
        <v>1.101100096924839</v>
      </c>
      <c r="BL238" t="n">
        <v>1</v>
      </c>
      <c r="BM238" t="n">
        <v>25955</v>
      </c>
      <c r="BN238" t="n">
        <v>0</v>
      </c>
      <c r="BO238" t="n">
        <v>26675</v>
      </c>
      <c r="BP238" t="inlineStr">
        <is>
          <t>G,U</t>
        </is>
      </c>
      <c r="BQ238" t="inlineStr">
        <is>
          <t>T1#</t>
        </is>
      </c>
      <c r="BS238" t="n">
        <v>4.372567905991138</v>
      </c>
      <c r="BT238" t="n">
        <v>0</v>
      </c>
      <c r="BV238" t="n">
        <v>4.372567905991138</v>
      </c>
      <c r="BY238" t="n">
        <v>113490</v>
      </c>
      <c r="BZ238" t="n">
        <v>4.372567905991138</v>
      </c>
      <c r="CP238" t="inlineStr">
        <is>
          <t>风险管理和内部控制</t>
        </is>
      </c>
      <c r="CQ238" t="inlineStr">
        <is>
          <t>3,1</t>
        </is>
      </c>
      <c r="CR238" t="n">
        <v>7</v>
      </c>
      <c r="CS238" t="inlineStr">
        <is>
          <t>T1#</t>
        </is>
      </c>
      <c r="CT238" t="inlineStr">
        <is>
          <t>N</t>
        </is>
      </c>
    </row>
    <row r="239">
      <c r="A239" t="inlineStr">
        <is>
          <t>dennisXia(夏宇然)</t>
        </is>
      </c>
      <c r="C239" t="n">
        <v>518874</v>
      </c>
      <c r="D239" t="inlineStr">
        <is>
          <t>税务部</t>
        </is>
      </c>
      <c r="E239" t="inlineStr">
        <is>
          <t>国内主体税务中心</t>
        </is>
      </c>
      <c r="G239" t="inlineStr">
        <is>
          <t>S2职能系统－财经线/税务部/国内主体税务中心</t>
        </is>
      </c>
      <c r="H239" s="188" t="n">
        <v>37070</v>
      </c>
      <c r="I239" t="inlineStr">
        <is>
          <t>社会招聘</t>
        </is>
      </c>
      <c r="J239" t="inlineStr">
        <is>
          <t>财经类－FN</t>
        </is>
      </c>
      <c r="K239" t="inlineStr">
        <is>
          <t>税务</t>
        </is>
      </c>
      <c r="L239" t="inlineStr">
        <is>
          <t>S9</t>
        </is>
      </c>
      <c r="N239" t="inlineStr">
        <is>
          <t>T1</t>
        </is>
      </c>
      <c r="Q239" t="inlineStr">
        <is>
          <t>G,G</t>
        </is>
      </c>
      <c r="U239" t="n">
        <v>47484.85</v>
      </c>
      <c r="V239" t="n">
        <v>0.083333</v>
      </c>
      <c r="W239" t="inlineStr">
        <is>
          <t>CNY</t>
        </is>
      </c>
      <c r="X239" t="n">
        <v>1</v>
      </c>
      <c r="Y239" t="n">
        <v>44310.91</v>
      </c>
      <c r="Z239" t="n">
        <v>0</v>
      </c>
      <c r="AA239" t="n">
        <v>94969.7</v>
      </c>
      <c r="AF239" t="n">
        <v>0</v>
      </c>
      <c r="AG239" t="n">
        <v>277189.7</v>
      </c>
      <c r="AH239" t="n">
        <v>6.255563246162176</v>
      </c>
      <c r="AJ239" t="n">
        <v>6.255563246162176</v>
      </c>
      <c r="AK239" t="n">
        <v>4.661373463104233</v>
      </c>
      <c r="AQ239" t="n">
        <v>277189.7</v>
      </c>
      <c r="AR239" t="n">
        <v>6.255563246162176</v>
      </c>
      <c r="AS239" t="n">
        <v>0.9443156693409644</v>
      </c>
      <c r="BL239" t="n">
        <v>1</v>
      </c>
      <c r="BM239" t="n">
        <v>39410</v>
      </c>
      <c r="BN239" t="n">
        <v>0</v>
      </c>
      <c r="BO239" t="n">
        <v>42730</v>
      </c>
      <c r="BP239" t="inlineStr">
        <is>
          <t>O,O</t>
        </is>
      </c>
      <c r="BQ239" t="inlineStr">
        <is>
          <t>T1</t>
        </is>
      </c>
      <c r="BS239" t="n">
        <v>5.763258056330881</v>
      </c>
      <c r="BT239" t="n">
        <v>66405</v>
      </c>
      <c r="BV239" t="n">
        <v>7.448236488200965</v>
      </c>
      <c r="BY239" t="n">
        <v>293535</v>
      </c>
      <c r="BZ239" t="n">
        <v>7.448236488200965</v>
      </c>
      <c r="CP239" t="inlineStr">
        <is>
          <t>税务部</t>
        </is>
      </c>
      <c r="CQ239" t="inlineStr">
        <is>
          <t>3,3</t>
        </is>
      </c>
      <c r="CR239" t="n">
        <v>9</v>
      </c>
      <c r="CS239" t="inlineStr">
        <is>
          <t>T1</t>
        </is>
      </c>
      <c r="CT239" t="inlineStr">
        <is>
          <t>N</t>
        </is>
      </c>
    </row>
    <row r="240">
      <c r="A240" t="inlineStr">
        <is>
          <t>gabrielLiu(刘波)</t>
        </is>
      </c>
      <c r="C240" t="n">
        <v>47943925</v>
      </c>
      <c r="D240" t="inlineStr">
        <is>
          <t>FiT财务管理</t>
        </is>
      </c>
      <c r="E240" t="inlineStr">
        <is>
          <t>业务支持与分析中心</t>
        </is>
      </c>
      <c r="G240" t="inlineStr">
        <is>
          <t>S2职能系统－财经线/FiT财务管理/业务支持与分析中心</t>
        </is>
      </c>
      <c r="H240" s="188" t="n">
        <v>39703</v>
      </c>
      <c r="I240" t="inlineStr">
        <is>
          <t>社会招聘</t>
        </is>
      </c>
      <c r="J240" t="inlineStr">
        <is>
          <t>财经类－FN</t>
        </is>
      </c>
      <c r="K240" t="inlineStr">
        <is>
          <t>财务管理</t>
        </is>
      </c>
      <c r="L240" t="inlineStr">
        <is>
          <t>S8</t>
        </is>
      </c>
      <c r="N240" t="inlineStr">
        <is>
          <t>T1</t>
        </is>
      </c>
      <c r="Q240" t="inlineStr">
        <is>
          <t>O,U</t>
        </is>
      </c>
      <c r="U240" t="n">
        <v>49015.3</v>
      </c>
      <c r="V240" t="n">
        <v>0.083333</v>
      </c>
      <c r="W240" t="inlineStr">
        <is>
          <t>CNY</t>
        </is>
      </c>
      <c r="X240" t="n">
        <v>1</v>
      </c>
      <c r="Y240" t="n">
        <v>47194.25</v>
      </c>
      <c r="Z240" t="n">
        <v>0</v>
      </c>
      <c r="AA240" t="n">
        <v>98030.60000000001</v>
      </c>
      <c r="AF240" t="n">
        <v>0</v>
      </c>
      <c r="AG240" t="n">
        <v>203960.6</v>
      </c>
      <c r="AH240" t="n">
        <v>4.321725633949051</v>
      </c>
      <c r="AJ240" t="n">
        <v>4.321725633949051</v>
      </c>
      <c r="AK240" t="n">
        <v>4.321725633949051</v>
      </c>
      <c r="AQ240" t="n">
        <v>203960.6</v>
      </c>
      <c r="AR240" t="n">
        <v>4.321725633949051</v>
      </c>
      <c r="AS240" t="n">
        <v>0.9277683770014556</v>
      </c>
      <c r="BL240" t="n">
        <v>1</v>
      </c>
      <c r="BM240" t="n">
        <v>43275</v>
      </c>
      <c r="BN240" t="n">
        <v>0</v>
      </c>
      <c r="BO240" t="n">
        <v>44110</v>
      </c>
      <c r="BP240" t="inlineStr">
        <is>
          <t>G,G</t>
        </is>
      </c>
      <c r="BQ240" t="inlineStr">
        <is>
          <t>T1</t>
        </is>
      </c>
      <c r="BS240" t="n">
        <v>3.429116117850953</v>
      </c>
      <c r="BT240" t="n">
        <v>71445</v>
      </c>
      <c r="BV240" t="n">
        <v>5.080069324090121</v>
      </c>
      <c r="BY240" t="n">
        <v>219840</v>
      </c>
      <c r="BZ240" t="n">
        <v>5.080069324090121</v>
      </c>
      <c r="CP240" t="inlineStr">
        <is>
          <t>FiT财务管理</t>
        </is>
      </c>
      <c r="CQ240" t="inlineStr">
        <is>
          <t>5,1</t>
        </is>
      </c>
      <c r="CR240" t="n">
        <v>8</v>
      </c>
      <c r="CS240" t="inlineStr">
        <is>
          <t>T1</t>
        </is>
      </c>
      <c r="CT240" t="inlineStr">
        <is>
          <t>N</t>
        </is>
      </c>
    </row>
    <row r="241">
      <c r="A241" t="inlineStr">
        <is>
          <t>ronaldDong(董建军)</t>
        </is>
      </c>
      <c r="C241" t="n">
        <v>60208504</v>
      </c>
      <c r="D241" t="inlineStr">
        <is>
          <t>在线视频财务管理中心</t>
        </is>
      </c>
      <c r="E241" t="inlineStr">
        <is>
          <t>OVB长视频财务管理组</t>
        </is>
      </c>
      <c r="G241" t="inlineStr">
        <is>
          <t>S2职能系统－财经线/在线视频财务管理中心/OVB长视频财务管理组</t>
        </is>
      </c>
      <c r="H241" s="188" t="n">
        <v>44793</v>
      </c>
      <c r="I241" t="inlineStr">
        <is>
          <t>高校招聘</t>
        </is>
      </c>
      <c r="J241" t="inlineStr">
        <is>
          <t>财经类－FN</t>
        </is>
      </c>
      <c r="K241" t="inlineStr">
        <is>
          <t>财务管理</t>
        </is>
      </c>
      <c r="L241" t="inlineStr">
        <is>
          <t>S11</t>
        </is>
      </c>
      <c r="N241" t="inlineStr">
        <is>
          <t>T1</t>
        </is>
      </c>
      <c r="Q241" t="inlineStr">
        <is>
          <t>G,G</t>
        </is>
      </c>
      <c r="U241" t="n">
        <v>39735.3</v>
      </c>
      <c r="V241" t="n">
        <v>0.083333</v>
      </c>
      <c r="W241" t="inlineStr">
        <is>
          <t>CNY</t>
        </is>
      </c>
      <c r="X241" t="n">
        <v>1</v>
      </c>
      <c r="Y241" t="n">
        <v>36339.49</v>
      </c>
      <c r="Z241" t="n">
        <v>0</v>
      </c>
      <c r="AA241" t="n">
        <v>79470.60000000001</v>
      </c>
      <c r="AF241" t="n">
        <v>0</v>
      </c>
      <c r="AG241" t="n">
        <v>233935.6</v>
      </c>
      <c r="AH241" t="n">
        <v>6.43750366337007</v>
      </c>
      <c r="AJ241" t="n">
        <v>6.43750366337007</v>
      </c>
      <c r="AK241" t="n">
        <v>4.751871861712974</v>
      </c>
      <c r="AQ241" t="n">
        <v>233935.6</v>
      </c>
      <c r="AR241" t="n">
        <v>6.43750366337007</v>
      </c>
      <c r="AS241" t="n">
        <v>1.596666552912671</v>
      </c>
      <c r="BL241" t="n">
        <v>1</v>
      </c>
      <c r="BM241" t="n">
        <v>32150</v>
      </c>
      <c r="BN241" t="n">
        <v>0</v>
      </c>
      <c r="BO241" t="n">
        <v>32990</v>
      </c>
      <c r="BP241" t="inlineStr">
        <is>
          <t>G,O</t>
        </is>
      </c>
      <c r="BQ241" t="inlineStr">
        <is>
          <t>T2</t>
        </is>
      </c>
      <c r="BS241" t="n">
        <v>4.557231726283049</v>
      </c>
      <c r="BT241" t="n">
        <v>0</v>
      </c>
      <c r="BV241" t="n">
        <v>4.557231726283049</v>
      </c>
      <c r="BY241" t="n">
        <v>146515</v>
      </c>
      <c r="BZ241" t="n">
        <v>4.557231726283049</v>
      </c>
      <c r="CP241" t="inlineStr">
        <is>
          <t>在线视频财务管理中心</t>
        </is>
      </c>
      <c r="CQ241" t="inlineStr">
        <is>
          <t>3,3</t>
        </is>
      </c>
      <c r="CR241" t="n">
        <v>11</v>
      </c>
      <c r="CS241" t="inlineStr">
        <is>
          <t>T1</t>
        </is>
      </c>
      <c r="CT241" t="inlineStr">
        <is>
          <t>N</t>
        </is>
      </c>
    </row>
    <row r="242">
      <c r="A242" t="inlineStr">
        <is>
          <t>aaliyahZhang(张娟)</t>
        </is>
      </c>
      <c r="C242" t="n">
        <v>20376997</v>
      </c>
      <c r="D242" t="inlineStr">
        <is>
          <t>CSIG财务管理</t>
        </is>
      </c>
      <c r="E242" t="inlineStr">
        <is>
          <t>应收账款管理中心</t>
        </is>
      </c>
      <c r="G242" t="inlineStr">
        <is>
          <t>S2职能系统－财经线/CSIG财务管理/应收账款管理中心</t>
        </is>
      </c>
      <c r="H242" s="188" t="n">
        <v>38365</v>
      </c>
      <c r="I242" t="inlineStr">
        <is>
          <t>高校招聘</t>
        </is>
      </c>
      <c r="J242" t="inlineStr">
        <is>
          <t>财经类－FN</t>
        </is>
      </c>
      <c r="K242" t="inlineStr">
        <is>
          <t>财务管理</t>
        </is>
      </c>
      <c r="L242" t="inlineStr">
        <is>
          <t>S8</t>
        </is>
      </c>
      <c r="N242" t="inlineStr">
        <is>
          <t>T1#</t>
        </is>
      </c>
      <c r="Q242" t="inlineStr">
        <is>
          <t>G,G</t>
        </is>
      </c>
      <c r="U242" t="n">
        <v>36178.05</v>
      </c>
      <c r="V242" t="n">
        <v>0.083333</v>
      </c>
      <c r="W242" t="inlineStr">
        <is>
          <t>CNY</t>
        </is>
      </c>
      <c r="X242" t="n">
        <v>1</v>
      </c>
      <c r="Y242" t="n">
        <v>32999.88</v>
      </c>
      <c r="Z242" t="n">
        <v>0</v>
      </c>
      <c r="AA242" t="n">
        <v>72356.10000000001</v>
      </c>
      <c r="AF242" t="n">
        <v>0</v>
      </c>
      <c r="AG242" t="n">
        <v>257936.1</v>
      </c>
      <c r="AH242" t="n">
        <v>7.816273877359555</v>
      </c>
      <c r="AJ242" t="n">
        <v>7.816273877359555</v>
      </c>
      <c r="AK242" t="n">
        <v>5.925509426094884</v>
      </c>
      <c r="AQ242" t="n">
        <v>257936.1</v>
      </c>
      <c r="AR242" t="n">
        <v>7.816273877359555</v>
      </c>
      <c r="AS242" t="n">
        <v>0.9626636560423976</v>
      </c>
      <c r="BL242" t="n">
        <v>1</v>
      </c>
      <c r="BM242" t="n">
        <v>31540</v>
      </c>
      <c r="BN242" t="n">
        <v>0</v>
      </c>
      <c r="BO242" t="n">
        <v>33645</v>
      </c>
      <c r="BP242" t="inlineStr">
        <is>
          <t>G,O</t>
        </is>
      </c>
      <c r="BQ242" t="inlineStr">
        <is>
          <t>T1#</t>
        </is>
      </c>
      <c r="BS242" t="n">
        <v>6.792010145846544</v>
      </c>
      <c r="BT242" t="n">
        <v>53720</v>
      </c>
      <c r="BV242" t="n">
        <v>8.495244134432467</v>
      </c>
      <c r="BY242" t="n">
        <v>267940</v>
      </c>
      <c r="BZ242" t="n">
        <v>8.495244134432467</v>
      </c>
      <c r="CP242" t="inlineStr">
        <is>
          <t>CSIG财务管理</t>
        </is>
      </c>
      <c r="CQ242" t="inlineStr">
        <is>
          <t>3,3</t>
        </is>
      </c>
      <c r="CR242" t="n">
        <v>8</v>
      </c>
      <c r="CS242" t="inlineStr">
        <is>
          <t>T1#</t>
        </is>
      </c>
      <c r="CT242" t="inlineStr">
        <is>
          <t>N</t>
        </is>
      </c>
    </row>
    <row r="243">
      <c r="A243" t="inlineStr">
        <is>
          <t>joyceCheng(程晴苑)</t>
        </is>
      </c>
      <c r="C243" t="n">
        <v>74215925</v>
      </c>
      <c r="D243" t="inlineStr">
        <is>
          <t>PCG财务管理</t>
        </is>
      </c>
      <c r="E243" t="inlineStr">
        <is>
          <t>内平财务管理组</t>
        </is>
      </c>
      <c r="G243" t="inlineStr">
        <is>
          <t>S2职能系统－财经线/PCG财务管理/内平财务管理组</t>
        </is>
      </c>
      <c r="H243" s="188" t="n">
        <v>36237</v>
      </c>
      <c r="I243" t="inlineStr">
        <is>
          <t>高校招聘</t>
        </is>
      </c>
      <c r="J243" t="inlineStr">
        <is>
          <t>财经类－FN</t>
        </is>
      </c>
      <c r="K243" t="inlineStr">
        <is>
          <t>财务管理</t>
        </is>
      </c>
      <c r="M243" t="inlineStr">
        <is>
          <t>L2-2</t>
        </is>
      </c>
      <c r="N243" t="inlineStr">
        <is>
          <t>T1</t>
        </is>
      </c>
      <c r="Q243" t="inlineStr">
        <is>
          <t>G,G</t>
        </is>
      </c>
      <c r="U243" t="n">
        <v>64253.85</v>
      </c>
      <c r="V243" t="n">
        <v>0.083333</v>
      </c>
      <c r="W243" t="inlineStr">
        <is>
          <t>CNY</t>
        </is>
      </c>
      <c r="X243" t="n">
        <v>1</v>
      </c>
      <c r="Y243" t="n">
        <v>63003.86</v>
      </c>
      <c r="Z243" t="n">
        <v>0</v>
      </c>
      <c r="AA243" t="n">
        <v>128507.7</v>
      </c>
      <c r="AF243" t="n">
        <v>25385</v>
      </c>
      <c r="AG243" t="n">
        <v>339542.7</v>
      </c>
      <c r="AH243" t="n">
        <v>5.389236469003645</v>
      </c>
      <c r="AJ243" t="n">
        <v>5.792148290596798</v>
      </c>
      <c r="AK243" t="n">
        <v>4.511909270320898</v>
      </c>
      <c r="AQ243" t="n">
        <v>364927.7</v>
      </c>
      <c r="AR243" t="n">
        <v>5.792148290596798</v>
      </c>
      <c r="AS243" t="n">
        <v>1.647677894166516</v>
      </c>
      <c r="BL243" t="n">
        <v>1</v>
      </c>
      <c r="BM243" t="n">
        <v>54800</v>
      </c>
      <c r="BN243" t="n">
        <v>0</v>
      </c>
      <c r="BO243" t="n">
        <v>55010</v>
      </c>
      <c r="BP243" t="inlineStr">
        <is>
          <t>O,G</t>
        </is>
      </c>
      <c r="BQ243" t="inlineStr">
        <is>
          <t>T2</t>
        </is>
      </c>
      <c r="BS243" t="n">
        <v>4.041605839416058</v>
      </c>
      <c r="BT243" t="n">
        <v>0</v>
      </c>
      <c r="BV243" t="n">
        <v>4.041605839416058</v>
      </c>
      <c r="BY243" t="n">
        <v>221480</v>
      </c>
      <c r="BZ243" t="n">
        <v>4.041605839416058</v>
      </c>
      <c r="CP243" t="inlineStr">
        <is>
          <t>PCG财务管理</t>
        </is>
      </c>
      <c r="CQ243" t="inlineStr">
        <is>
          <t>3,3</t>
        </is>
      </c>
      <c r="CR243" t="inlineStr">
        <is>
          <t>L2-2</t>
        </is>
      </c>
      <c r="CS243" t="inlineStr">
        <is>
          <t>T1</t>
        </is>
      </c>
      <c r="CT243" t="inlineStr">
        <is>
          <t>N</t>
        </is>
      </c>
    </row>
    <row r="244">
      <c r="A244" t="inlineStr">
        <is>
          <t>geraldQian(钱立)</t>
        </is>
      </c>
      <c r="C244" t="n">
        <v>73779893</v>
      </c>
      <c r="D244" t="inlineStr">
        <is>
          <t>税务部</t>
        </is>
      </c>
      <c r="E244" t="inlineStr">
        <is>
          <t>国内主体税务中心</t>
        </is>
      </c>
      <c r="G244" t="inlineStr">
        <is>
          <t>S2职能系统－财经线/税务部/国内主体税务中心</t>
        </is>
      </c>
      <c r="H244" s="188" t="n">
        <v>37284</v>
      </c>
      <c r="I244" t="inlineStr">
        <is>
          <t>社会招聘</t>
        </is>
      </c>
      <c r="J244" t="inlineStr">
        <is>
          <t>财经类－FN</t>
        </is>
      </c>
      <c r="K244" t="inlineStr">
        <is>
          <t>税务</t>
        </is>
      </c>
      <c r="L244" t="inlineStr">
        <is>
          <t>S9</t>
        </is>
      </c>
      <c r="N244" t="inlineStr">
        <is>
          <t>T1</t>
        </is>
      </c>
      <c r="Q244" t="inlineStr">
        <is>
          <t>G,G</t>
        </is>
      </c>
      <c r="U244" t="n">
        <v>33114.15</v>
      </c>
      <c r="V244" t="n">
        <v>0.083333</v>
      </c>
      <c r="W244" t="inlineStr">
        <is>
          <t>CNY</t>
        </is>
      </c>
      <c r="X244" t="n">
        <v>1</v>
      </c>
      <c r="Y244" t="n">
        <v>31145.36</v>
      </c>
      <c r="Z244" t="n">
        <v>0</v>
      </c>
      <c r="AA244" t="n">
        <v>66228.3</v>
      </c>
      <c r="AF244" t="n">
        <v>0</v>
      </c>
      <c r="AG244" t="n">
        <v>186113.3</v>
      </c>
      <c r="AH244" t="n">
        <v>5.975634893929625</v>
      </c>
      <c r="AJ244" t="n">
        <v>5.975634893929625</v>
      </c>
      <c r="AK244" t="n">
        <v>4.37379115219731</v>
      </c>
      <c r="AQ244" t="n">
        <v>186113.3</v>
      </c>
      <c r="AR244" t="n">
        <v>5.975634893929625</v>
      </c>
      <c r="AS244" t="n">
        <v>1.032471430156441</v>
      </c>
      <c r="BL244" t="n">
        <v>1</v>
      </c>
      <c r="BM244" t="n">
        <v>29145</v>
      </c>
      <c r="BN244" t="n">
        <v>0</v>
      </c>
      <c r="BO244" t="n">
        <v>31650</v>
      </c>
      <c r="BP244" t="inlineStr">
        <is>
          <t>O,G</t>
        </is>
      </c>
      <c r="BQ244" t="inlineStr">
        <is>
          <t>T1</t>
        </is>
      </c>
      <c r="BS244" t="n">
        <v>4.658603534053869</v>
      </c>
      <c r="BT244" t="n">
        <v>44485</v>
      </c>
      <c r="BV244" t="n">
        <v>6.184937382055241</v>
      </c>
      <c r="BY244" t="n">
        <v>180260</v>
      </c>
      <c r="BZ244" t="n">
        <v>6.184937382055241</v>
      </c>
      <c r="CP244" t="inlineStr">
        <is>
          <t>税务部</t>
        </is>
      </c>
      <c r="CQ244" t="inlineStr">
        <is>
          <t>3,3</t>
        </is>
      </c>
      <c r="CR244" t="n">
        <v>9</v>
      </c>
      <c r="CS244" t="inlineStr">
        <is>
          <t>T1</t>
        </is>
      </c>
      <c r="CT244" t="inlineStr">
        <is>
          <t>N</t>
        </is>
      </c>
    </row>
    <row r="245">
      <c r="A245" t="inlineStr">
        <is>
          <t>cynthiaWu(武晴馨)</t>
        </is>
      </c>
      <c r="C245" t="n">
        <v>65313882</v>
      </c>
      <c r="D245" t="inlineStr">
        <is>
          <t>FiT财务管理</t>
        </is>
      </c>
      <c r="E245" t="inlineStr">
        <is>
          <t>结算支持中心</t>
        </is>
      </c>
      <c r="G245" t="inlineStr">
        <is>
          <t>S2职能系统－财经线/FiT财务管理/结算支持中心</t>
        </is>
      </c>
      <c r="H245" s="188" t="n">
        <v>43884</v>
      </c>
      <c r="I245" t="inlineStr">
        <is>
          <t>高校招聘</t>
        </is>
      </c>
      <c r="J245" t="inlineStr">
        <is>
          <t>财经类－FN</t>
        </is>
      </c>
      <c r="K245" t="inlineStr">
        <is>
          <t>财务管理</t>
        </is>
      </c>
      <c r="L245" t="inlineStr">
        <is>
          <t>S7</t>
        </is>
      </c>
      <c r="N245" t="inlineStr">
        <is>
          <t>T1</t>
        </is>
      </c>
      <c r="Q245" t="inlineStr">
        <is>
          <t>O,G</t>
        </is>
      </c>
      <c r="U245" t="n">
        <v>32403.65</v>
      </c>
      <c r="V245" t="n">
        <v>0.083333</v>
      </c>
      <c r="W245" t="inlineStr">
        <is>
          <t>CNY</t>
        </is>
      </c>
      <c r="X245" t="n">
        <v>1</v>
      </c>
      <c r="Y245" t="n">
        <v>30517.83</v>
      </c>
      <c r="Z245" t="n">
        <v>0</v>
      </c>
      <c r="AA245" t="n">
        <v>97210.95</v>
      </c>
      <c r="AF245" t="n">
        <v>0</v>
      </c>
      <c r="AG245" t="n">
        <v>220560.95</v>
      </c>
      <c r="AH245" t="n">
        <v>7.227281559665284</v>
      </c>
      <c r="AJ245" t="n">
        <v>7.227281559665284</v>
      </c>
      <c r="AK245" t="n">
        <v>5.388192738474524</v>
      </c>
      <c r="AQ245" t="n">
        <v>220560.95</v>
      </c>
      <c r="AR245" t="n">
        <v>7.227281559665284</v>
      </c>
      <c r="AS245" t="n">
        <v>1.529177730786564</v>
      </c>
      <c r="BL245" t="n">
        <v>1</v>
      </c>
      <c r="BM245" t="n">
        <v>26085</v>
      </c>
      <c r="BN245" t="n">
        <v>0</v>
      </c>
      <c r="BO245" t="n">
        <v>27015</v>
      </c>
      <c r="BP245" t="inlineStr">
        <is>
          <t>O,G</t>
        </is>
      </c>
      <c r="BQ245" t="inlineStr">
        <is>
          <t>T1</t>
        </is>
      </c>
      <c r="BS245" t="n">
        <v>4.33870040253019</v>
      </c>
      <c r="BT245" t="n">
        <v>31060</v>
      </c>
      <c r="BV245" t="n">
        <v>5.529423040061338</v>
      </c>
      <c r="BY245" t="n">
        <v>144235</v>
      </c>
      <c r="BZ245" t="n">
        <v>5.529423040061338</v>
      </c>
      <c r="CP245" t="inlineStr">
        <is>
          <t>FiT财务管理</t>
        </is>
      </c>
      <c r="CQ245" t="inlineStr">
        <is>
          <t>5,3</t>
        </is>
      </c>
      <c r="CR245" t="n">
        <v>7</v>
      </c>
      <c r="CS245" t="inlineStr">
        <is>
          <t>T1</t>
        </is>
      </c>
      <c r="CT245" t="inlineStr">
        <is>
          <t>N</t>
        </is>
      </c>
    </row>
    <row r="246">
      <c r="A246" t="inlineStr">
        <is>
          <t>jesseMeng(孟凯)</t>
        </is>
      </c>
      <c r="C246" t="n">
        <v>18458610</v>
      </c>
      <c r="D246" t="inlineStr">
        <is>
          <t>IEG财务管理</t>
        </is>
      </c>
      <c r="E246" t="inlineStr">
        <is>
          <t>自研财务管理组</t>
        </is>
      </c>
      <c r="G246" t="inlineStr">
        <is>
          <t>S2职能系统－财经线/IEG财务管理/自研财务管理组</t>
        </is>
      </c>
      <c r="H246" s="188" t="n">
        <v>41886</v>
      </c>
      <c r="I246" t="inlineStr">
        <is>
          <t>社会招聘</t>
        </is>
      </c>
      <c r="J246" t="inlineStr">
        <is>
          <t>财经类－FN</t>
        </is>
      </c>
      <c r="K246" t="inlineStr">
        <is>
          <t>财务管理</t>
        </is>
      </c>
      <c r="L246" t="inlineStr">
        <is>
          <t>S10</t>
        </is>
      </c>
      <c r="N246" t="inlineStr">
        <is>
          <t>T1</t>
        </is>
      </c>
      <c r="Q246" t="inlineStr">
        <is>
          <t>G,G</t>
        </is>
      </c>
      <c r="U246" t="n">
        <v>52956.5</v>
      </c>
      <c r="V246" t="n">
        <v>0.083333</v>
      </c>
      <c r="W246" t="inlineStr">
        <is>
          <t>CNY</t>
        </is>
      </c>
      <c r="X246" t="n">
        <v>1</v>
      </c>
      <c r="Y246" t="n">
        <v>50037.72</v>
      </c>
      <c r="Z246" t="n">
        <v>0</v>
      </c>
      <c r="AA246" t="n">
        <v>105913</v>
      </c>
      <c r="AF246" t="n">
        <v>0</v>
      </c>
      <c r="AG246" t="n">
        <v>306238</v>
      </c>
      <c r="AH246" t="n">
        <v>6.120142964147846</v>
      </c>
      <c r="AJ246" t="n">
        <v>6.120142964147846</v>
      </c>
      <c r="AK246" t="n">
        <v>4.447504802377087</v>
      </c>
      <c r="AQ246" t="n">
        <v>306238</v>
      </c>
      <c r="AR246" t="n">
        <v>6.120142964147846</v>
      </c>
      <c r="AS246" t="n">
        <v>2.867934070050571</v>
      </c>
      <c r="BL246" t="n">
        <v>1</v>
      </c>
      <c r="BM246" t="n">
        <v>45095</v>
      </c>
      <c r="BN246" t="n">
        <v>0</v>
      </c>
      <c r="BO246" t="n">
        <v>45615</v>
      </c>
      <c r="BP246" t="inlineStr">
        <is>
          <t>G,U</t>
        </is>
      </c>
      <c r="BQ246" t="inlineStr">
        <is>
          <t>T1</t>
        </is>
      </c>
      <c r="BS246" t="n">
        <v>2.367890009978933</v>
      </c>
      <c r="BT246" t="n">
        <v>0</v>
      </c>
      <c r="BV246" t="n">
        <v>2.367890009978933</v>
      </c>
      <c r="BY246" t="n">
        <v>106780</v>
      </c>
      <c r="BZ246" t="n">
        <v>2.367890009978933</v>
      </c>
      <c r="CP246" t="inlineStr">
        <is>
          <t>IEG财务管理</t>
        </is>
      </c>
      <c r="CQ246" t="inlineStr">
        <is>
          <t>3,3</t>
        </is>
      </c>
      <c r="CR246" t="n">
        <v>10</v>
      </c>
      <c r="CS246" t="inlineStr">
        <is>
          <t>T1</t>
        </is>
      </c>
      <c r="CT246" t="inlineStr">
        <is>
          <t>N</t>
        </is>
      </c>
    </row>
    <row r="247">
      <c r="A247" t="inlineStr">
        <is>
          <t>matthewJin(金成)</t>
        </is>
      </c>
      <c r="C247" t="n">
        <v>1117234</v>
      </c>
      <c r="D247" t="inlineStr">
        <is>
          <t>财会及报告管理部</t>
        </is>
      </c>
      <c r="E247" t="inlineStr">
        <is>
          <t>员工报销服务中心</t>
        </is>
      </c>
      <c r="G247" t="inlineStr">
        <is>
          <t>S2职能系统－财经线/财会及报告管理部/员工报销服务中心</t>
        </is>
      </c>
      <c r="H247" s="188" t="n">
        <v>42005</v>
      </c>
      <c r="I247" t="inlineStr">
        <is>
          <t>高校招聘</t>
        </is>
      </c>
      <c r="J247" t="inlineStr">
        <is>
          <t>财经类－FN</t>
        </is>
      </c>
      <c r="K247" t="inlineStr">
        <is>
          <t>会计</t>
        </is>
      </c>
      <c r="L247" t="inlineStr">
        <is>
          <t>S6</t>
        </is>
      </c>
      <c r="N247" t="inlineStr">
        <is>
          <t>T1</t>
        </is>
      </c>
      <c r="Q247" t="inlineStr">
        <is>
          <t>U,G</t>
        </is>
      </c>
      <c r="U247" t="n">
        <v>38250</v>
      </c>
      <c r="V247" t="n">
        <v>0.083333</v>
      </c>
      <c r="W247" t="inlineStr">
        <is>
          <t>CNY</t>
        </is>
      </c>
      <c r="X247" t="n">
        <v>1</v>
      </c>
      <c r="Y247" t="n">
        <v>35002.03</v>
      </c>
      <c r="Z247" t="n">
        <v>0</v>
      </c>
      <c r="AA247" t="n">
        <v>38250</v>
      </c>
      <c r="AF247" t="n">
        <v>0</v>
      </c>
      <c r="AG247" t="n">
        <v>119655</v>
      </c>
      <c r="AH247" t="n">
        <v>3.418516011785602</v>
      </c>
      <c r="AJ247" t="n">
        <v>3.418516011785602</v>
      </c>
      <c r="AK247" t="n">
        <v>3.418516011785602</v>
      </c>
      <c r="AQ247" t="n">
        <v>119655</v>
      </c>
      <c r="AR247" t="n">
        <v>3.418516011785602</v>
      </c>
      <c r="AS247" t="n">
        <v>0.7719179407780143</v>
      </c>
      <c r="BL247" t="n">
        <v>1</v>
      </c>
      <c r="BM247" t="n">
        <v>33570</v>
      </c>
      <c r="BN247" t="n">
        <v>0</v>
      </c>
      <c r="BO247" t="n">
        <v>35930</v>
      </c>
      <c r="BP247" t="inlineStr">
        <is>
          <t>G,G</t>
        </is>
      </c>
      <c r="BQ247" t="inlineStr">
        <is>
          <t>T1</t>
        </is>
      </c>
      <c r="BS247" t="n">
        <v>3.284480190646411</v>
      </c>
      <c r="BT247" t="n">
        <v>44750</v>
      </c>
      <c r="BV247" t="n">
        <v>4.61751563896336</v>
      </c>
      <c r="BY247" t="n">
        <v>155010</v>
      </c>
      <c r="BZ247" t="n">
        <v>4.61751563896336</v>
      </c>
      <c r="CP247" t="inlineStr">
        <is>
          <t>财会及报告管理部</t>
        </is>
      </c>
      <c r="CQ247" t="inlineStr">
        <is>
          <t>3,1</t>
        </is>
      </c>
      <c r="CR247" t="n">
        <v>6</v>
      </c>
      <c r="CS247" t="inlineStr">
        <is>
          <t>T1</t>
        </is>
      </c>
      <c r="CT247" t="inlineStr">
        <is>
          <t>N</t>
        </is>
      </c>
    </row>
    <row r="248">
      <c r="A248" t="inlineStr">
        <is>
          <t>graceZhu(朱菲)</t>
        </is>
      </c>
      <c r="C248" t="n">
        <v>67417257</v>
      </c>
      <c r="D248" t="inlineStr">
        <is>
          <t>财经IT管理部</t>
        </is>
      </c>
      <c r="E248" t="inlineStr">
        <is>
          <t>公共支持中心</t>
        </is>
      </c>
      <c r="G248" t="inlineStr">
        <is>
          <t>S2职能系统－财经线/财经IT管理部/公共支持中心</t>
        </is>
      </c>
      <c r="H248" s="188" t="n">
        <v>39555</v>
      </c>
      <c r="I248" t="inlineStr">
        <is>
          <t>社会招聘</t>
        </is>
      </c>
      <c r="J248" t="inlineStr">
        <is>
          <t>技术研发类－TRD</t>
        </is>
      </c>
      <c r="K248" t="inlineStr">
        <is>
          <t>应用开发</t>
        </is>
      </c>
      <c r="L248" t="inlineStr">
        <is>
          <t>T8</t>
        </is>
      </c>
      <c r="N248" t="inlineStr">
        <is>
          <t>T1</t>
        </is>
      </c>
      <c r="Q248" t="inlineStr">
        <is>
          <t>U,G</t>
        </is>
      </c>
      <c r="U248" t="n">
        <v>45989.05</v>
      </c>
      <c r="V248" t="n">
        <v>0.083333</v>
      </c>
      <c r="W248" t="inlineStr">
        <is>
          <t>CNY</t>
        </is>
      </c>
      <c r="X248" t="n">
        <v>1</v>
      </c>
      <c r="Y248" t="n">
        <v>43920.34</v>
      </c>
      <c r="Z248" t="n">
        <v>0</v>
      </c>
      <c r="AA248" t="n">
        <v>45989.05</v>
      </c>
      <c r="AF248" t="n">
        <v>0</v>
      </c>
      <c r="AG248" t="n">
        <v>150409.05</v>
      </c>
      <c r="AH248" t="n">
        <v>3.424587560114516</v>
      </c>
      <c r="AJ248" t="n">
        <v>3.424587560114516</v>
      </c>
      <c r="AK248" t="n">
        <v>3.424587560114516</v>
      </c>
      <c r="AQ248" t="n">
        <v>150409.05</v>
      </c>
      <c r="AR248" t="n">
        <v>3.424587560114516</v>
      </c>
      <c r="AS248" t="n">
        <v>0.8170186588446182</v>
      </c>
      <c r="BL248" t="n">
        <v>1</v>
      </c>
      <c r="BM248" t="n">
        <v>39300</v>
      </c>
      <c r="BN248" t="n">
        <v>0</v>
      </c>
      <c r="BO248" t="n">
        <v>41810</v>
      </c>
      <c r="BP248" t="inlineStr">
        <is>
          <t>G,G</t>
        </is>
      </c>
      <c r="BQ248" t="inlineStr">
        <is>
          <t>T1</t>
        </is>
      </c>
      <c r="BS248" t="n">
        <v>3.504198473282443</v>
      </c>
      <c r="BT248" t="n">
        <v>46380</v>
      </c>
      <c r="BV248" t="n">
        <v>4.684351145038168</v>
      </c>
      <c r="BY248" t="n">
        <v>184095</v>
      </c>
      <c r="BZ248" t="n">
        <v>4.684351145038168</v>
      </c>
      <c r="CP248" t="inlineStr">
        <is>
          <t>财经IT管理部</t>
        </is>
      </c>
      <c r="CQ248" t="inlineStr">
        <is>
          <t>3,1</t>
        </is>
      </c>
      <c r="CR248" t="n">
        <v>8</v>
      </c>
      <c r="CS248" t="inlineStr">
        <is>
          <t>T1</t>
        </is>
      </c>
      <c r="CT248" t="inlineStr">
        <is>
          <t>N</t>
        </is>
      </c>
    </row>
    <row r="249">
      <c r="A249" t="inlineStr">
        <is>
          <t>michelleSu(苏思嫣)</t>
        </is>
      </c>
      <c r="C249" t="n">
        <v>76221159</v>
      </c>
      <c r="D249" t="inlineStr">
        <is>
          <t>资金管理</t>
        </is>
      </c>
      <c r="E249" t="inlineStr">
        <is>
          <t>资金结算及风险控制中心</t>
        </is>
      </c>
      <c r="G249" t="inlineStr">
        <is>
          <t>S2职能系统－财经线/资金管理/资金结算及风险控制中心</t>
        </is>
      </c>
      <c r="H249" s="188" t="n">
        <v>43729</v>
      </c>
      <c r="I249" t="inlineStr">
        <is>
          <t>社会招聘</t>
        </is>
      </c>
      <c r="J249" t="inlineStr">
        <is>
          <t>财经类－FN</t>
        </is>
      </c>
      <c r="K249" t="inlineStr">
        <is>
          <t>资金管理</t>
        </is>
      </c>
      <c r="L249" t="inlineStr">
        <is>
          <t>S5</t>
        </is>
      </c>
      <c r="N249" t="inlineStr">
        <is>
          <t>T1</t>
        </is>
      </c>
      <c r="Q249" t="inlineStr">
        <is>
          <t>G,G</t>
        </is>
      </c>
      <c r="U249" t="n">
        <v>23010.95</v>
      </c>
      <c r="V249" t="n">
        <v>0.083333</v>
      </c>
      <c r="W249" t="inlineStr">
        <is>
          <t>CNY</t>
        </is>
      </c>
      <c r="X249" t="n">
        <v>1</v>
      </c>
      <c r="Y249" t="n">
        <v>21917.38</v>
      </c>
      <c r="Z249" t="n">
        <v>0</v>
      </c>
      <c r="AA249" t="n">
        <v>46021.9</v>
      </c>
      <c r="AF249" t="n">
        <v>0</v>
      </c>
      <c r="AG249" t="n">
        <v>142111.9</v>
      </c>
      <c r="AH249" t="n">
        <v>6.483982118300636</v>
      </c>
      <c r="AJ249" t="n">
        <v>6.483982118300636</v>
      </c>
      <c r="AK249" t="n">
        <v>4.715750696479232</v>
      </c>
      <c r="AQ249" t="n">
        <v>142111.9</v>
      </c>
      <c r="AR249" t="n">
        <v>6.483982118300636</v>
      </c>
      <c r="AS249" t="n">
        <v>1.158867324471989</v>
      </c>
      <c r="BL249" t="n">
        <v>1</v>
      </c>
      <c r="BM249" t="n">
        <v>19925</v>
      </c>
      <c r="BN249" t="n">
        <v>0</v>
      </c>
      <c r="BO249" t="n">
        <v>21065</v>
      </c>
      <c r="BP249" t="inlineStr">
        <is>
          <t>O,G</t>
        </is>
      </c>
      <c r="BQ249" t="inlineStr">
        <is>
          <t>T1</t>
        </is>
      </c>
      <c r="BS249" t="n">
        <v>4.319196988707653</v>
      </c>
      <c r="BT249" t="n">
        <v>36570</v>
      </c>
      <c r="BV249" t="n">
        <v>6.154579673776662</v>
      </c>
      <c r="BY249" t="n">
        <v>122630</v>
      </c>
      <c r="BZ249" t="n">
        <v>6.154579673776662</v>
      </c>
      <c r="CP249" t="inlineStr">
        <is>
          <t>资金管理</t>
        </is>
      </c>
      <c r="CQ249" t="inlineStr">
        <is>
          <t>3,3</t>
        </is>
      </c>
      <c r="CR249" t="n">
        <v>5</v>
      </c>
      <c r="CS249" t="inlineStr">
        <is>
          <t>T1</t>
        </is>
      </c>
      <c r="CT249" t="inlineStr">
        <is>
          <t>N</t>
        </is>
      </c>
    </row>
    <row r="250">
      <c r="A250" t="inlineStr">
        <is>
          <t>arthurHou(侯彤斌)</t>
        </is>
      </c>
      <c r="C250" t="n">
        <v>99489020</v>
      </c>
      <c r="D250" t="inlineStr">
        <is>
          <t>税务部</t>
        </is>
      </c>
      <c r="E250" t="inlineStr">
        <is>
          <t>集团税务统筹组</t>
        </is>
      </c>
      <c r="G250" t="inlineStr">
        <is>
          <t>S2职能系统－财经线/税务部/集团税务统筹组</t>
        </is>
      </c>
      <c r="H250" s="188" t="n">
        <v>45572</v>
      </c>
      <c r="I250" t="inlineStr">
        <is>
          <t>社会招聘</t>
        </is>
      </c>
      <c r="J250" t="inlineStr">
        <is>
          <t>财经类－FN</t>
        </is>
      </c>
      <c r="K250" t="inlineStr">
        <is>
          <t>税务</t>
        </is>
      </c>
      <c r="L250" t="inlineStr">
        <is>
          <t>S10</t>
        </is>
      </c>
      <c r="N250" t="inlineStr">
        <is>
          <t>T1#</t>
        </is>
      </c>
      <c r="Q250" t="inlineStr">
        <is>
          <t>N,O</t>
        </is>
      </c>
      <c r="U250" t="n">
        <v>48463.95</v>
      </c>
      <c r="V250" t="n">
        <v>0.083333</v>
      </c>
      <c r="W250" t="inlineStr">
        <is>
          <t>CNY</t>
        </is>
      </c>
      <c r="X250" t="n">
        <v>0.232877</v>
      </c>
      <c r="Y250" t="n">
        <v>48463.95</v>
      </c>
      <c r="Z250" t="n">
        <v>0</v>
      </c>
      <c r="AA250" t="n">
        <v>11286.14</v>
      </c>
      <c r="AF250" t="n">
        <v>0</v>
      </c>
      <c r="AG250" t="n">
        <v>11286.14</v>
      </c>
      <c r="AH250" t="n">
        <v>0.2328770147707729</v>
      </c>
      <c r="AJ250" t="n">
        <v>0.2328770147707729</v>
      </c>
      <c r="AK250" t="n">
        <v>0.2328770147707729</v>
      </c>
      <c r="AQ250" t="n">
        <v>11286.14</v>
      </c>
      <c r="AR250" t="n">
        <v>0.2328770147707729</v>
      </c>
      <c r="BM250" t="n">
        <v>0</v>
      </c>
      <c r="BN250" t="n">
        <v>0</v>
      </c>
      <c r="BO250" t="n">
        <v>0</v>
      </c>
      <c r="BT250" t="n">
        <v>0</v>
      </c>
      <c r="BY250" t="n">
        <v>0</v>
      </c>
      <c r="CP250" t="inlineStr">
        <is>
          <t>税务部</t>
        </is>
      </c>
      <c r="CQ250" t="n">
        <v>5</v>
      </c>
      <c r="CR250" t="n">
        <v>10</v>
      </c>
      <c r="CS250" t="inlineStr">
        <is>
          <t>T1#</t>
        </is>
      </c>
      <c r="CT250" t="inlineStr">
        <is>
          <t>N</t>
        </is>
      </c>
    </row>
    <row r="251">
      <c r="A251" t="inlineStr">
        <is>
          <t>blakeGao(高阳)</t>
        </is>
      </c>
      <c r="C251" t="n">
        <v>22430680</v>
      </c>
      <c r="D251" t="inlineStr">
        <is>
          <t>PCG财务管理</t>
        </is>
      </c>
      <c r="E251" t="inlineStr">
        <is>
          <t>PCG财务管理</t>
        </is>
      </c>
      <c r="G251" t="inlineStr">
        <is>
          <t>S2职能系统－财经线/PCG财务管理</t>
        </is>
      </c>
      <c r="H251" s="188" t="n">
        <v>44850</v>
      </c>
      <c r="I251" t="inlineStr">
        <is>
          <t>社会招聘</t>
        </is>
      </c>
      <c r="J251" t="inlineStr">
        <is>
          <t>财经类－FN</t>
        </is>
      </c>
      <c r="K251" t="inlineStr">
        <is>
          <t>财务管理</t>
        </is>
      </c>
      <c r="L251" t="inlineStr">
        <is>
          <t>S10</t>
        </is>
      </c>
      <c r="N251" t="inlineStr">
        <is>
          <t>T1</t>
        </is>
      </c>
      <c r="Q251" t="inlineStr">
        <is>
          <t>G,G</t>
        </is>
      </c>
      <c r="U251" t="n">
        <v>41615.2</v>
      </c>
      <c r="V251" t="n">
        <v>0.083333</v>
      </c>
      <c r="W251" t="inlineStr">
        <is>
          <t>CNY</t>
        </is>
      </c>
      <c r="X251" t="n">
        <v>1</v>
      </c>
      <c r="Y251" t="n">
        <v>38626.46</v>
      </c>
      <c r="Z251" t="n">
        <v>0</v>
      </c>
      <c r="AA251" t="n">
        <v>83230.39999999999</v>
      </c>
      <c r="AF251" t="n">
        <v>0</v>
      </c>
      <c r="AG251" t="n">
        <v>247820.4</v>
      </c>
      <c r="AH251" t="n">
        <v>6.415819622093249</v>
      </c>
      <c r="AJ251" t="n">
        <v>6.415819622093249</v>
      </c>
      <c r="AK251" t="n">
        <v>4.76060710714883</v>
      </c>
      <c r="AQ251" t="n">
        <v>247820.4</v>
      </c>
      <c r="AR251" t="n">
        <v>6.415819622093249</v>
      </c>
      <c r="AS251" t="n">
        <v>1.619264922081741</v>
      </c>
      <c r="BL251" t="n">
        <v>1</v>
      </c>
      <c r="BM251" t="n">
        <v>36040</v>
      </c>
      <c r="BN251" t="n">
        <v>0</v>
      </c>
      <c r="BO251" t="n">
        <v>36345</v>
      </c>
      <c r="BP251" t="inlineStr">
        <is>
          <t>G,G</t>
        </is>
      </c>
      <c r="BQ251" t="inlineStr">
        <is>
          <t>T1</t>
        </is>
      </c>
      <c r="BS251" t="n">
        <v>3.225998890122086</v>
      </c>
      <c r="BT251" t="n">
        <v>36780</v>
      </c>
      <c r="BV251" t="n">
        <v>4.246531631520533</v>
      </c>
      <c r="BY251" t="n">
        <v>153045</v>
      </c>
      <c r="BZ251" t="n">
        <v>4.246531631520533</v>
      </c>
      <c r="CP251" t="inlineStr">
        <is>
          <t>PCG财务管理</t>
        </is>
      </c>
      <c r="CQ251" t="inlineStr">
        <is>
          <t>3,3</t>
        </is>
      </c>
      <c r="CR251" t="n">
        <v>10</v>
      </c>
      <c r="CS251" t="inlineStr">
        <is>
          <t>T1</t>
        </is>
      </c>
      <c r="CT251" t="inlineStr">
        <is>
          <t>N</t>
        </is>
      </c>
    </row>
    <row r="252">
      <c r="A252" t="inlineStr">
        <is>
          <t>barbaraNiu(牛慧)</t>
        </is>
      </c>
      <c r="C252" t="n">
        <v>77833932</v>
      </c>
      <c r="D252" t="inlineStr">
        <is>
          <t>S2公共编制</t>
        </is>
      </c>
      <c r="E252" t="inlineStr">
        <is>
          <t>S2公共编制</t>
        </is>
      </c>
      <c r="G252" t="inlineStr">
        <is>
          <t>S2职能系统－财经线/S2公共编制</t>
        </is>
      </c>
      <c r="H252" s="188" t="n">
        <v>41046</v>
      </c>
      <c r="I252" t="inlineStr">
        <is>
          <t>社会招聘</t>
        </is>
      </c>
      <c r="J252" t="inlineStr">
        <is>
          <t>财经类－FN</t>
        </is>
      </c>
      <c r="K252" t="inlineStr">
        <is>
          <t>财务管理</t>
        </is>
      </c>
      <c r="L252" t="inlineStr">
        <is>
          <t>S8</t>
        </is>
      </c>
      <c r="N252" t="inlineStr">
        <is>
          <t>Others</t>
        </is>
      </c>
      <c r="Q252" t="inlineStr">
        <is>
          <t>G,O</t>
        </is>
      </c>
      <c r="U252" t="n">
        <v>46678.2</v>
      </c>
      <c r="V252" t="n">
        <v>0.083333</v>
      </c>
      <c r="W252" t="inlineStr">
        <is>
          <t>CNY</t>
        </is>
      </c>
      <c r="X252" t="n">
        <v>1</v>
      </c>
      <c r="Y252" t="n">
        <v>45793.72</v>
      </c>
      <c r="Z252" t="n">
        <v>0</v>
      </c>
      <c r="AA252" t="n">
        <v>140034.6</v>
      </c>
      <c r="AF252" t="n">
        <v>0</v>
      </c>
      <c r="AG252" t="n">
        <v>168819.6</v>
      </c>
      <c r="AH252" t="n">
        <v>3.686522955549364</v>
      </c>
      <c r="AJ252" t="n">
        <v>3.686522955549364</v>
      </c>
      <c r="AK252" t="n">
        <v>3.686522955549364</v>
      </c>
      <c r="AQ252" t="n">
        <v>168819.6</v>
      </c>
      <c r="AR252" t="n">
        <v>3.686522955549364</v>
      </c>
      <c r="AS252" t="n">
        <v>1.187699451245251</v>
      </c>
      <c r="BL252" t="n">
        <v>1</v>
      </c>
      <c r="BM252" t="n">
        <v>39280</v>
      </c>
      <c r="BN252" t="n">
        <v>0</v>
      </c>
      <c r="BO252" t="n">
        <v>41790</v>
      </c>
      <c r="BP252" t="inlineStr">
        <is>
          <t>G,G</t>
        </is>
      </c>
      <c r="BQ252" t="inlineStr">
        <is>
          <t>Others</t>
        </is>
      </c>
      <c r="BS252" t="n">
        <v>3.618635437881874</v>
      </c>
      <c r="BT252" t="n">
        <v>0</v>
      </c>
      <c r="BV252" t="n">
        <v>3.618635437881874</v>
      </c>
      <c r="BY252" t="n">
        <v>142140</v>
      </c>
      <c r="BZ252" t="n">
        <v>3.618635437881874</v>
      </c>
      <c r="CP252" t="inlineStr">
        <is>
          <t>S2公共编制</t>
        </is>
      </c>
      <c r="CQ252" t="inlineStr">
        <is>
          <t>5,3</t>
        </is>
      </c>
      <c r="CR252" t="n">
        <v>8</v>
      </c>
      <c r="CS252" t="inlineStr">
        <is>
          <t>Others</t>
        </is>
      </c>
      <c r="CT252" t="inlineStr">
        <is>
          <t>N</t>
        </is>
      </c>
    </row>
    <row r="253">
      <c r="A253" t="inlineStr">
        <is>
          <t>hazelWei(韦琴娇)</t>
        </is>
      </c>
      <c r="C253" t="n">
        <v>77685359</v>
      </c>
      <c r="D253" t="inlineStr">
        <is>
          <t>预算及职能系统财务管理部</t>
        </is>
      </c>
      <c r="E253" t="inlineStr">
        <is>
          <t>预算及职能系统财务管理部</t>
        </is>
      </c>
      <c r="G253" t="inlineStr">
        <is>
          <t>S2职能系统－财经线/预算及职能系统财务管理部</t>
        </is>
      </c>
      <c r="H253" s="188" t="n">
        <v>40886</v>
      </c>
      <c r="I253" t="inlineStr">
        <is>
          <t>社会招聘</t>
        </is>
      </c>
      <c r="J253" t="inlineStr">
        <is>
          <t>财经类－FN</t>
        </is>
      </c>
      <c r="K253" t="inlineStr">
        <is>
          <t>预算管理</t>
        </is>
      </c>
      <c r="L253" t="inlineStr">
        <is>
          <t>S7</t>
        </is>
      </c>
      <c r="N253" t="inlineStr">
        <is>
          <t>T1</t>
        </is>
      </c>
      <c r="Q253" t="inlineStr">
        <is>
          <t>O,G</t>
        </is>
      </c>
      <c r="U253" t="n">
        <v>36500.85</v>
      </c>
      <c r="V253" t="n">
        <v>0.083333</v>
      </c>
      <c r="W253" t="inlineStr">
        <is>
          <t>CNY</t>
        </is>
      </c>
      <c r="X253" t="n">
        <v>1</v>
      </c>
      <c r="Y253" t="n">
        <v>36004.61</v>
      </c>
      <c r="Z253" t="n">
        <v>0</v>
      </c>
      <c r="AA253" t="n">
        <v>109502.55</v>
      </c>
      <c r="AF253" t="n">
        <v>0</v>
      </c>
      <c r="AG253" t="n">
        <v>258777.55</v>
      </c>
      <c r="AH253" t="n">
        <v>7.187344898333852</v>
      </c>
      <c r="AJ253" t="n">
        <v>7.187344898333852</v>
      </c>
      <c r="AK253" t="n">
        <v>5.344803068273757</v>
      </c>
      <c r="AQ253" t="n">
        <v>258777.55</v>
      </c>
      <c r="AR253" t="n">
        <v>7.187344898333852</v>
      </c>
      <c r="AS253" t="n">
        <v>1.625436072987657</v>
      </c>
      <c r="BL253" t="n">
        <v>1</v>
      </c>
      <c r="BM253" t="n">
        <v>29395</v>
      </c>
      <c r="BN253" t="n">
        <v>0</v>
      </c>
      <c r="BO253" t="n">
        <v>29845</v>
      </c>
      <c r="BP253" t="inlineStr">
        <is>
          <t>O,O</t>
        </is>
      </c>
      <c r="BQ253" t="inlineStr">
        <is>
          <t>Others</t>
        </is>
      </c>
      <c r="BS253" t="n">
        <v>5.416057152576969</v>
      </c>
      <c r="BT253" t="n">
        <v>0</v>
      </c>
      <c r="BV253" t="n">
        <v>5.416057152576969</v>
      </c>
      <c r="BY253" t="n">
        <v>159205</v>
      </c>
      <c r="BZ253" t="n">
        <v>5.416057152576969</v>
      </c>
      <c r="CP253" t="inlineStr">
        <is>
          <t>预算及职能系统财务管理部</t>
        </is>
      </c>
      <c r="CQ253" t="inlineStr">
        <is>
          <t>5,3</t>
        </is>
      </c>
      <c r="CR253" t="n">
        <v>7</v>
      </c>
      <c r="CS253" t="inlineStr">
        <is>
          <t>T1</t>
        </is>
      </c>
      <c r="CT253" t="inlineStr">
        <is>
          <t>N</t>
        </is>
      </c>
    </row>
    <row r="254">
      <c r="A254" t="inlineStr">
        <is>
          <t>howardYan(严国文)</t>
        </is>
      </c>
      <c r="C254" t="n">
        <v>17783004</v>
      </c>
      <c r="D254" t="inlineStr">
        <is>
          <t>S2人力资源中心</t>
        </is>
      </c>
      <c r="E254" t="inlineStr">
        <is>
          <t>S2人力资源中心</t>
        </is>
      </c>
      <c r="G254" t="inlineStr">
        <is>
          <t>S2职能系统－财经线/S2人力资源中心</t>
        </is>
      </c>
      <c r="H254" s="188" t="n">
        <v>36843</v>
      </c>
      <c r="I254" t="inlineStr">
        <is>
          <t>社会招聘</t>
        </is>
      </c>
      <c r="J254" t="inlineStr">
        <is>
          <t>财经类－FN</t>
        </is>
      </c>
      <c r="K254" t="inlineStr">
        <is>
          <t>财经系统交付管理</t>
        </is>
      </c>
      <c r="L254" t="inlineStr">
        <is>
          <t>S7</t>
        </is>
      </c>
      <c r="N254" t="inlineStr">
        <is>
          <t>T2</t>
        </is>
      </c>
      <c r="Q254" t="inlineStr">
        <is>
          <t>G,G</t>
        </is>
      </c>
      <c r="U254" t="n">
        <v>25992.8</v>
      </c>
      <c r="V254" t="n">
        <v>0.083333</v>
      </c>
      <c r="W254" t="inlineStr">
        <is>
          <t>CNY</t>
        </is>
      </c>
      <c r="X254" t="n">
        <v>1</v>
      </c>
      <c r="Y254" t="n">
        <v>25681.86</v>
      </c>
      <c r="Z254" t="n">
        <v>0</v>
      </c>
      <c r="AA254" t="n">
        <v>51985.6</v>
      </c>
      <c r="AF254" t="n">
        <v>0</v>
      </c>
      <c r="AG254" t="n">
        <v>78080.60000000001</v>
      </c>
      <c r="AH254" t="n">
        <v>3.040301598092973</v>
      </c>
      <c r="AJ254" t="n">
        <v>3.040301598092973</v>
      </c>
      <c r="AK254" t="n">
        <v>3.040301598092973</v>
      </c>
      <c r="AQ254" t="n">
        <v>78080.60000000001</v>
      </c>
      <c r="AR254" t="n">
        <v>3.040301598092973</v>
      </c>
      <c r="AS254" t="n">
        <v>0.7609453269661827</v>
      </c>
      <c r="BL254" t="n">
        <v>1</v>
      </c>
      <c r="BM254" t="n">
        <v>23325</v>
      </c>
      <c r="BN254" t="n">
        <v>0</v>
      </c>
      <c r="BO254" t="n">
        <v>25465</v>
      </c>
      <c r="BP254" t="inlineStr">
        <is>
          <t>G,O</t>
        </is>
      </c>
      <c r="BQ254" t="inlineStr">
        <is>
          <t>Others</t>
        </is>
      </c>
      <c r="BS254" t="n">
        <v>4.39914255091104</v>
      </c>
      <c r="BT254" t="n">
        <v>0</v>
      </c>
      <c r="BV254" t="n">
        <v>4.39914255091104</v>
      </c>
      <c r="BY254" t="n">
        <v>102610</v>
      </c>
      <c r="BZ254" t="n">
        <v>4.39914255091104</v>
      </c>
      <c r="CP254" t="inlineStr">
        <is>
          <t>S2人力资源中心</t>
        </is>
      </c>
      <c r="CQ254" t="inlineStr">
        <is>
          <t>3,3</t>
        </is>
      </c>
      <c r="CR254" t="n">
        <v>7</v>
      </c>
      <c r="CS254" t="inlineStr">
        <is>
          <t>T2</t>
        </is>
      </c>
      <c r="CT254" t="inlineStr">
        <is>
          <t>N</t>
        </is>
      </c>
    </row>
    <row r="255">
      <c r="A255" t="inlineStr">
        <is>
          <t>kevinJia(贾梓杰)</t>
        </is>
      </c>
      <c r="C255" t="n">
        <v>11584085</v>
      </c>
      <c r="D255" t="inlineStr">
        <is>
          <t>风险管理和内部控制</t>
        </is>
      </c>
      <c r="E255" t="inlineStr">
        <is>
          <t>风险管理和内部控制</t>
        </is>
      </c>
      <c r="G255" t="inlineStr">
        <is>
          <t>S2职能系统－财经线/风险管理和内部控制</t>
        </is>
      </c>
      <c r="H255" s="188" t="n">
        <v>40126</v>
      </c>
      <c r="I255" t="inlineStr">
        <is>
          <t>高校招聘</t>
        </is>
      </c>
      <c r="J255" t="inlineStr">
        <is>
          <t>财经类－FN</t>
        </is>
      </c>
      <c r="K255" t="inlineStr">
        <is>
          <t>风险管理</t>
        </is>
      </c>
      <c r="L255" t="inlineStr">
        <is>
          <t>S5</t>
        </is>
      </c>
      <c r="N255" t="inlineStr">
        <is>
          <t>T1</t>
        </is>
      </c>
      <c r="Q255" t="inlineStr">
        <is>
          <t>G,G</t>
        </is>
      </c>
      <c r="U255" t="n">
        <v>31265.4</v>
      </c>
      <c r="V255" t="n">
        <v>0.083333</v>
      </c>
      <c r="W255" t="inlineStr">
        <is>
          <t>CNY</t>
        </is>
      </c>
      <c r="X255" t="n">
        <v>1</v>
      </c>
      <c r="Y255" t="n">
        <v>30307.19</v>
      </c>
      <c r="Z255" t="n">
        <v>0</v>
      </c>
      <c r="AA255" t="n">
        <v>62530.8</v>
      </c>
      <c r="AF255" t="n">
        <v>0</v>
      </c>
      <c r="AG255" t="n">
        <v>189570.8</v>
      </c>
      <c r="AH255" t="n">
        <v>6.254977779200249</v>
      </c>
      <c r="AJ255" t="n">
        <v>6.254977779200249</v>
      </c>
      <c r="AK255" t="n">
        <v>4.239119496066775</v>
      </c>
      <c r="AQ255" t="n">
        <v>189570.8</v>
      </c>
      <c r="AR255" t="n">
        <v>6.254977779200249</v>
      </c>
      <c r="AS255" t="n">
        <v>1.277345192372481</v>
      </c>
      <c r="BL255" t="n">
        <v>1</v>
      </c>
      <c r="BM255" t="n">
        <v>27350</v>
      </c>
      <c r="BN255" t="n">
        <v>0</v>
      </c>
      <c r="BO255" t="n">
        <v>28675</v>
      </c>
      <c r="BP255" t="inlineStr">
        <is>
          <t>O,G</t>
        </is>
      </c>
      <c r="BQ255" t="inlineStr">
        <is>
          <t>T1</t>
        </is>
      </c>
      <c r="BS255" t="n">
        <v>4.290493601462523</v>
      </c>
      <c r="BT255" t="n">
        <v>31065</v>
      </c>
      <c r="BV255" t="n">
        <v>5.426325411334552</v>
      </c>
      <c r="BY255" t="n">
        <v>148410</v>
      </c>
      <c r="BZ255" t="n">
        <v>5.426325411334552</v>
      </c>
      <c r="CP255" t="inlineStr">
        <is>
          <t>风险管理和内部控制</t>
        </is>
      </c>
      <c r="CQ255" t="inlineStr">
        <is>
          <t>3,3</t>
        </is>
      </c>
      <c r="CR255" t="n">
        <v>5</v>
      </c>
      <c r="CS255" t="inlineStr">
        <is>
          <t>T1</t>
        </is>
      </c>
      <c r="CT255" t="inlineStr">
        <is>
          <t>N</t>
        </is>
      </c>
    </row>
    <row r="256">
      <c r="A256" t="inlineStr">
        <is>
          <t>janetJiang(江冰)</t>
        </is>
      </c>
      <c r="C256" t="n">
        <v>19425822</v>
      </c>
      <c r="D256" t="inlineStr">
        <is>
          <t>CSIG财务管理</t>
        </is>
      </c>
      <c r="E256" t="inlineStr">
        <is>
          <t>CSIG财务管理</t>
        </is>
      </c>
      <c r="G256" t="inlineStr">
        <is>
          <t>S2职能系统－财经线/CSIG财务管理</t>
        </is>
      </c>
      <c r="H256" s="188" t="n">
        <v>37970</v>
      </c>
      <c r="I256" t="inlineStr">
        <is>
          <t>高校招聘</t>
        </is>
      </c>
      <c r="J256" t="inlineStr">
        <is>
          <t>财经类－FN</t>
        </is>
      </c>
      <c r="K256" t="inlineStr">
        <is>
          <t>财务管理</t>
        </is>
      </c>
      <c r="L256" t="inlineStr">
        <is>
          <t>S8</t>
        </is>
      </c>
      <c r="N256" t="inlineStr">
        <is>
          <t>T1#</t>
        </is>
      </c>
      <c r="Q256" t="inlineStr">
        <is>
          <t>G,G</t>
        </is>
      </c>
      <c r="U256" t="n">
        <v>37256.5</v>
      </c>
      <c r="V256" t="n">
        <v>0.083333</v>
      </c>
      <c r="W256" t="inlineStr">
        <is>
          <t>CNY</t>
        </is>
      </c>
      <c r="X256" t="n">
        <v>1</v>
      </c>
      <c r="Y256" t="n">
        <v>34358.39</v>
      </c>
      <c r="Z256" t="n">
        <v>0</v>
      </c>
      <c r="AA256" t="n">
        <v>74513</v>
      </c>
      <c r="AF256" t="n">
        <v>0</v>
      </c>
      <c r="AG256" t="n">
        <v>263893</v>
      </c>
      <c r="AH256" t="n">
        <v>7.680598537940805</v>
      </c>
      <c r="AJ256" t="n">
        <v>7.680598537940805</v>
      </c>
      <c r="AK256" t="n">
        <v>5.674829350269323</v>
      </c>
      <c r="AQ256" t="n">
        <v>263893</v>
      </c>
      <c r="AR256" t="n">
        <v>7.680598537940805</v>
      </c>
      <c r="AS256" t="n">
        <v>1.162754731114098</v>
      </c>
      <c r="BL256" t="n">
        <v>1</v>
      </c>
      <c r="BM256" t="n">
        <v>31550</v>
      </c>
      <c r="BN256" t="n">
        <v>0</v>
      </c>
      <c r="BO256" t="n">
        <v>33610</v>
      </c>
      <c r="BP256" t="inlineStr">
        <is>
          <t>G,G</t>
        </is>
      </c>
      <c r="BQ256" t="inlineStr">
        <is>
          <t>T1#</t>
        </is>
      </c>
      <c r="BS256" t="n">
        <v>5.352773375594294</v>
      </c>
      <c r="BT256" t="n">
        <v>58075</v>
      </c>
      <c r="BV256" t="n">
        <v>7.19350237717908</v>
      </c>
      <c r="BY256" t="n">
        <v>226955</v>
      </c>
      <c r="BZ256" t="n">
        <v>7.19350237717908</v>
      </c>
      <c r="CP256" t="inlineStr">
        <is>
          <t>CSIG财务管理</t>
        </is>
      </c>
      <c r="CQ256" t="inlineStr">
        <is>
          <t>3,3</t>
        </is>
      </c>
      <c r="CR256" t="n">
        <v>8</v>
      </c>
      <c r="CS256" t="inlineStr">
        <is>
          <t>T1#</t>
        </is>
      </c>
      <c r="CT256" t="inlineStr">
        <is>
          <t>N</t>
        </is>
      </c>
    </row>
    <row r="257">
      <c r="A257" t="inlineStr">
        <is>
          <t>ruthLin(林嫦)</t>
        </is>
      </c>
      <c r="C257" t="n">
        <v>51895962</v>
      </c>
      <c r="D257" t="inlineStr">
        <is>
          <t>风险管理和内部控制</t>
        </is>
      </c>
      <c r="E257" t="inlineStr">
        <is>
          <t>CDG-FiT风控组</t>
        </is>
      </c>
      <c r="G257" t="inlineStr">
        <is>
          <t>S2职能系统－财经线/风险管理和内部控制/CDG-FiT风控组</t>
        </is>
      </c>
      <c r="H257" s="188" t="n">
        <v>41788</v>
      </c>
      <c r="I257" t="inlineStr">
        <is>
          <t>社会招聘</t>
        </is>
      </c>
      <c r="J257" t="inlineStr">
        <is>
          <t>财经类－FN</t>
        </is>
      </c>
      <c r="K257" t="inlineStr">
        <is>
          <t>风险管理</t>
        </is>
      </c>
      <c r="L257" t="inlineStr">
        <is>
          <t>S12</t>
        </is>
      </c>
      <c r="M257" t="inlineStr">
        <is>
          <t>L1-1</t>
        </is>
      </c>
      <c r="N257" t="inlineStr">
        <is>
          <t>T2</t>
        </is>
      </c>
      <c r="Q257" t="inlineStr">
        <is>
          <t>G,G</t>
        </is>
      </c>
      <c r="U257" t="n">
        <v>60044.5</v>
      </c>
      <c r="V257" t="n">
        <v>0.083333</v>
      </c>
      <c r="W257" t="inlineStr">
        <is>
          <t>CNY</t>
        </is>
      </c>
      <c r="X257" t="n">
        <v>1</v>
      </c>
      <c r="Y257" t="n">
        <v>55023.81</v>
      </c>
      <c r="Z257" t="n">
        <v>0</v>
      </c>
      <c r="AA257" t="n">
        <v>120089</v>
      </c>
      <c r="AF257" t="n">
        <v>12310</v>
      </c>
      <c r="AG257" t="n">
        <v>194769</v>
      </c>
      <c r="AH257" t="n">
        <v>3.539722167548921</v>
      </c>
      <c r="AJ257" t="n">
        <v>3.763443498369161</v>
      </c>
      <c r="AK257" t="n">
        <v>3.763443498369161</v>
      </c>
      <c r="AQ257" t="n">
        <v>207079</v>
      </c>
      <c r="AR257" t="n">
        <v>3.763443498369161</v>
      </c>
      <c r="AS257" t="n">
        <v>0.8578784928640968</v>
      </c>
      <c r="BL257" t="n">
        <v>1</v>
      </c>
      <c r="BM257" t="n">
        <v>52610</v>
      </c>
      <c r="BN257" t="n">
        <v>0</v>
      </c>
      <c r="BO257" t="n">
        <v>53700</v>
      </c>
      <c r="BP257" t="inlineStr">
        <is>
          <t>O,G</t>
        </is>
      </c>
      <c r="BQ257" t="inlineStr">
        <is>
          <t>T2</t>
        </is>
      </c>
      <c r="BS257" t="n">
        <v>4.588196160425775</v>
      </c>
      <c r="BT257" t="n">
        <v>0</v>
      </c>
      <c r="BV257" t="n">
        <v>4.588196160425775</v>
      </c>
      <c r="BY257" t="n">
        <v>241385</v>
      </c>
      <c r="BZ257" t="n">
        <v>4.588196160425775</v>
      </c>
      <c r="CP257" t="inlineStr">
        <is>
          <t>风险管理和内部控制</t>
        </is>
      </c>
      <c r="CQ257" t="inlineStr">
        <is>
          <t>3,3</t>
        </is>
      </c>
      <c r="CR257" t="n">
        <v>12</v>
      </c>
      <c r="CS257" t="inlineStr">
        <is>
          <t>T2</t>
        </is>
      </c>
      <c r="CT257" t="inlineStr">
        <is>
          <t>N</t>
        </is>
      </c>
    </row>
    <row r="258">
      <c r="A258" t="inlineStr">
        <is>
          <t>juanMeng(孟梓宇)</t>
        </is>
      </c>
      <c r="C258" t="n">
        <v>7993738</v>
      </c>
      <c r="D258" t="inlineStr">
        <is>
          <t>风险管理和内部控制</t>
        </is>
      </c>
      <c r="E258" t="inlineStr">
        <is>
          <t>TEG风控组</t>
        </is>
      </c>
      <c r="G258" t="inlineStr">
        <is>
          <t>S2职能系统－财经线/风险管理和内部控制/TEG风控组</t>
        </is>
      </c>
      <c r="H258" s="188" t="n">
        <v>37135</v>
      </c>
      <c r="I258" t="inlineStr">
        <is>
          <t>社会招聘</t>
        </is>
      </c>
      <c r="J258" t="inlineStr">
        <is>
          <t>财经类－FN</t>
        </is>
      </c>
      <c r="K258" t="inlineStr">
        <is>
          <t>风险管理</t>
        </is>
      </c>
      <c r="L258" t="inlineStr">
        <is>
          <t>S10</t>
        </is>
      </c>
      <c r="N258" t="inlineStr">
        <is>
          <t>T1</t>
        </is>
      </c>
      <c r="Q258" t="inlineStr">
        <is>
          <t>G,G</t>
        </is>
      </c>
      <c r="U258" t="n">
        <v>48375.45</v>
      </c>
      <c r="V258" t="n">
        <v>0.083333</v>
      </c>
      <c r="W258" t="inlineStr">
        <is>
          <t>CNY</t>
        </is>
      </c>
      <c r="X258" t="n">
        <v>1</v>
      </c>
      <c r="Y258" t="n">
        <v>47285.59</v>
      </c>
      <c r="Z258" t="n">
        <v>0</v>
      </c>
      <c r="AA258" t="n">
        <v>96750.89999999999</v>
      </c>
      <c r="AF258" t="n">
        <v>0</v>
      </c>
      <c r="AG258" t="n">
        <v>271425.9</v>
      </c>
      <c r="AH258" t="n">
        <v>5.740139860790571</v>
      </c>
      <c r="AJ258" t="n">
        <v>5.740139860790571</v>
      </c>
      <c r="AK258" t="n">
        <v>4.279546897902723</v>
      </c>
      <c r="AQ258" t="n">
        <v>271425.9</v>
      </c>
      <c r="AR258" t="n">
        <v>5.740139860790571</v>
      </c>
      <c r="AS258" t="n">
        <v>1.3986339628475</v>
      </c>
      <c r="BL258" t="n">
        <v>1</v>
      </c>
      <c r="BM258" t="n">
        <v>43155</v>
      </c>
      <c r="BN258" t="n">
        <v>0</v>
      </c>
      <c r="BO258" t="n">
        <v>43435</v>
      </c>
      <c r="BP258" t="inlineStr">
        <is>
          <t>G,G</t>
        </is>
      </c>
      <c r="BQ258" t="inlineStr">
        <is>
          <t>T1</t>
        </is>
      </c>
      <c r="BS258" t="n">
        <v>3.275055034179122</v>
      </c>
      <c r="BT258" t="n">
        <v>52730</v>
      </c>
      <c r="BV258" t="n">
        <v>4.496929672112154</v>
      </c>
      <c r="BY258" t="n">
        <v>194065</v>
      </c>
      <c r="BZ258" t="n">
        <v>4.496929672112154</v>
      </c>
      <c r="CP258" t="inlineStr">
        <is>
          <t>风险管理和内部控制</t>
        </is>
      </c>
      <c r="CQ258" t="inlineStr">
        <is>
          <t>3,3</t>
        </is>
      </c>
      <c r="CR258" t="n">
        <v>10</v>
      </c>
      <c r="CS258" t="inlineStr">
        <is>
          <t>T1</t>
        </is>
      </c>
      <c r="CT258" t="inlineStr">
        <is>
          <t>N</t>
        </is>
      </c>
    </row>
    <row r="259">
      <c r="A259" t="inlineStr">
        <is>
          <t>loganZhang(张华旭)</t>
        </is>
      </c>
      <c r="C259" t="n">
        <v>6953773</v>
      </c>
      <c r="D259" t="inlineStr">
        <is>
          <t>风险管理和内部控制</t>
        </is>
      </c>
      <c r="E259" t="inlineStr">
        <is>
          <t>采购财务管理中心</t>
        </is>
      </c>
      <c r="G259" t="inlineStr">
        <is>
          <t>S2职能系统－财经线/风险管理和内部控制/采购财务管理中心</t>
        </is>
      </c>
      <c r="H259" s="188" t="n">
        <v>38940</v>
      </c>
      <c r="I259" t="inlineStr">
        <is>
          <t>社会招聘</t>
        </is>
      </c>
      <c r="J259" t="inlineStr">
        <is>
          <t>财经类－FN</t>
        </is>
      </c>
      <c r="K259" t="inlineStr">
        <is>
          <t>风险管理</t>
        </is>
      </c>
      <c r="L259" t="inlineStr">
        <is>
          <t>S12</t>
        </is>
      </c>
      <c r="N259" t="inlineStr">
        <is>
          <t>T2</t>
        </is>
      </c>
      <c r="Q259" t="inlineStr">
        <is>
          <t>G,G</t>
        </is>
      </c>
      <c r="U259" t="n">
        <v>65251.75</v>
      </c>
      <c r="V259" t="n">
        <v>0.083333</v>
      </c>
      <c r="W259" t="inlineStr">
        <is>
          <t>CNY</t>
        </is>
      </c>
      <c r="X259" t="n">
        <v>1</v>
      </c>
      <c r="Y259" t="n">
        <v>61071.04</v>
      </c>
      <c r="Z259" t="n">
        <v>0</v>
      </c>
      <c r="AA259" t="n">
        <v>130503.5</v>
      </c>
      <c r="AF259" t="n">
        <v>0</v>
      </c>
      <c r="AG259" t="n">
        <v>227903.5</v>
      </c>
      <c r="AH259" t="n">
        <v>3.731776960077968</v>
      </c>
      <c r="AJ259" t="n">
        <v>3.731776960077968</v>
      </c>
      <c r="AK259" t="n">
        <v>3.731776960077968</v>
      </c>
      <c r="AQ259" t="n">
        <v>227903.5</v>
      </c>
      <c r="AR259" t="n">
        <v>3.731776960077968</v>
      </c>
      <c r="AS259" t="n">
        <v>1.203927628103539</v>
      </c>
      <c r="BL259" t="n">
        <v>1</v>
      </c>
      <c r="BM259" t="n">
        <v>54345</v>
      </c>
      <c r="BN259" t="n">
        <v>0</v>
      </c>
      <c r="BO259" t="n">
        <v>55260</v>
      </c>
      <c r="BP259" t="inlineStr">
        <is>
          <t>G,G</t>
        </is>
      </c>
      <c r="BQ259" t="inlineStr">
        <is>
          <t>T2</t>
        </is>
      </c>
      <c r="BS259" t="n">
        <v>3.483301131658846</v>
      </c>
      <c r="BT259" t="n">
        <v>0</v>
      </c>
      <c r="BV259" t="n">
        <v>3.483301131658846</v>
      </c>
      <c r="BY259" t="n">
        <v>189300</v>
      </c>
      <c r="BZ259" t="n">
        <v>3.483301131658846</v>
      </c>
      <c r="CP259" t="inlineStr">
        <is>
          <t>风险管理和内部控制</t>
        </is>
      </c>
      <c r="CQ259" t="inlineStr">
        <is>
          <t>3,3</t>
        </is>
      </c>
      <c r="CR259" t="n">
        <v>12</v>
      </c>
      <c r="CS259" t="inlineStr">
        <is>
          <t>T2</t>
        </is>
      </c>
      <c r="CT259" t="inlineStr">
        <is>
          <t>N</t>
        </is>
      </c>
    </row>
    <row r="260">
      <c r="A260" t="inlineStr">
        <is>
          <t>harryJiang(江炜)</t>
        </is>
      </c>
      <c r="C260" t="n">
        <v>22174821</v>
      </c>
      <c r="D260" t="inlineStr">
        <is>
          <t>IEG财务管理</t>
        </is>
      </c>
      <c r="E260" t="inlineStr">
        <is>
          <t>自研财务管理组</t>
        </is>
      </c>
      <c r="G260" t="inlineStr">
        <is>
          <t>S2职能系统－财经线/IEG财务管理/自研财务管理组</t>
        </is>
      </c>
      <c r="H260" s="188" t="n">
        <v>37474</v>
      </c>
      <c r="I260" t="inlineStr">
        <is>
          <t>社会招聘</t>
        </is>
      </c>
      <c r="J260" t="inlineStr">
        <is>
          <t>财经类－FN</t>
        </is>
      </c>
      <c r="K260" t="inlineStr">
        <is>
          <t>财务管理</t>
        </is>
      </c>
      <c r="M260" t="inlineStr">
        <is>
          <t>L3-3</t>
        </is>
      </c>
      <c r="N260" t="inlineStr">
        <is>
          <t>T2</t>
        </is>
      </c>
      <c r="Q260" t="inlineStr">
        <is>
          <t>G,O</t>
        </is>
      </c>
      <c r="U260" t="n">
        <v>70171.7</v>
      </c>
      <c r="V260" t="n">
        <v>0.083333</v>
      </c>
      <c r="W260" t="inlineStr">
        <is>
          <t>CNY</t>
        </is>
      </c>
      <c r="X260" t="n">
        <v>1</v>
      </c>
      <c r="Y260" t="n">
        <v>63455.01</v>
      </c>
      <c r="Z260" t="n">
        <v>0</v>
      </c>
      <c r="AA260" t="n">
        <v>210515.1</v>
      </c>
      <c r="AF260" t="n">
        <v>14190</v>
      </c>
      <c r="AG260" t="n">
        <v>281750.1</v>
      </c>
      <c r="AH260" t="n">
        <v>4.440155316341452</v>
      </c>
      <c r="AJ260" t="n">
        <v>4.663778321049826</v>
      </c>
      <c r="AK260" t="n">
        <v>4.663778321049826</v>
      </c>
      <c r="AQ260" t="n">
        <v>295940.1</v>
      </c>
      <c r="AR260" t="n">
        <v>4.663778321049826</v>
      </c>
      <c r="AS260" t="n">
        <v>0.8023427184860848</v>
      </c>
      <c r="BL260" t="n">
        <v>1</v>
      </c>
      <c r="BM260" t="n">
        <v>59325</v>
      </c>
      <c r="BN260" t="n">
        <v>0</v>
      </c>
      <c r="BO260" t="n">
        <v>62515</v>
      </c>
      <c r="BP260" t="inlineStr">
        <is>
          <t>O,G</t>
        </is>
      </c>
      <c r="BQ260" t="inlineStr">
        <is>
          <t>T1</t>
        </is>
      </c>
      <c r="BS260" t="n">
        <v>4.423261694058154</v>
      </c>
      <c r="BT260" t="n">
        <v>106435</v>
      </c>
      <c r="BV260" t="n">
        <v>6.217361989043405</v>
      </c>
      <c r="BY260" t="n">
        <v>368845</v>
      </c>
      <c r="BZ260" t="n">
        <v>6.217361989043405</v>
      </c>
      <c r="CP260" t="inlineStr">
        <is>
          <t>IEG财务管理</t>
        </is>
      </c>
      <c r="CQ260" t="inlineStr">
        <is>
          <t>5,3</t>
        </is>
      </c>
      <c r="CR260" t="inlineStr">
        <is>
          <t>L3-3</t>
        </is>
      </c>
      <c r="CS260" t="inlineStr">
        <is>
          <t>T2</t>
        </is>
      </c>
      <c r="CT260" t="inlineStr">
        <is>
          <t>N</t>
        </is>
      </c>
    </row>
    <row r="261">
      <c r="A261" t="inlineStr">
        <is>
          <t>julieFan(范丹)</t>
        </is>
      </c>
      <c r="C261" t="n">
        <v>67493857</v>
      </c>
      <c r="D261" t="inlineStr">
        <is>
          <t>风险管理和内部控制</t>
        </is>
      </c>
      <c r="E261" t="inlineStr">
        <is>
          <t>PCG风控中心</t>
        </is>
      </c>
      <c r="G261" t="inlineStr">
        <is>
          <t>S2职能系统－财经线/风险管理和内部控制/PCG风控中心</t>
        </is>
      </c>
      <c r="H261" s="188" t="n">
        <v>40917</v>
      </c>
      <c r="I261" t="inlineStr">
        <is>
          <t>高校招聘</t>
        </is>
      </c>
      <c r="J261" t="inlineStr">
        <is>
          <t>财经类－FN</t>
        </is>
      </c>
      <c r="K261" t="inlineStr">
        <is>
          <t>风险管理</t>
        </is>
      </c>
      <c r="L261" t="inlineStr">
        <is>
          <t>S9</t>
        </is>
      </c>
      <c r="N261" t="inlineStr">
        <is>
          <t>T1</t>
        </is>
      </c>
      <c r="Q261" t="inlineStr">
        <is>
          <t>G,G</t>
        </is>
      </c>
      <c r="U261" t="n">
        <v>33488.2</v>
      </c>
      <c r="V261" t="n">
        <v>0.083333</v>
      </c>
      <c r="W261" t="inlineStr">
        <is>
          <t>CNY</t>
        </is>
      </c>
      <c r="X261" t="n">
        <v>1</v>
      </c>
      <c r="Y261" t="n">
        <v>31524.8</v>
      </c>
      <c r="Z261" t="n">
        <v>0</v>
      </c>
      <c r="AA261" t="n">
        <v>66976.39999999999</v>
      </c>
      <c r="AF261" t="n">
        <v>0</v>
      </c>
      <c r="AG261" t="n">
        <v>199356.4</v>
      </c>
      <c r="AH261" t="n">
        <v>6.323795868649444</v>
      </c>
      <c r="AJ261" t="n">
        <v>6.323795868649444</v>
      </c>
      <c r="AK261" t="n">
        <v>4.572952088514439</v>
      </c>
      <c r="AQ261" t="n">
        <v>199356.4</v>
      </c>
      <c r="AR261" t="n">
        <v>6.323795868649444</v>
      </c>
      <c r="AS261" t="n">
        <v>1.454200889926326</v>
      </c>
      <c r="BL261" t="n">
        <v>1</v>
      </c>
      <c r="BM261" t="n">
        <v>26835</v>
      </c>
      <c r="BN261" t="n">
        <v>0</v>
      </c>
      <c r="BO261" t="n">
        <v>27465</v>
      </c>
      <c r="BP261" t="inlineStr">
        <is>
          <t>G,G</t>
        </is>
      </c>
      <c r="BQ261" t="inlineStr">
        <is>
          <t>T1</t>
        </is>
      </c>
      <c r="BS261" t="n">
        <v>3.569591950810509</v>
      </c>
      <c r="BT261" t="n">
        <v>41300</v>
      </c>
      <c r="BV261" t="n">
        <v>5.108626793366872</v>
      </c>
      <c r="BY261" t="n">
        <v>137090</v>
      </c>
      <c r="BZ261" t="n">
        <v>5.108626793366872</v>
      </c>
      <c r="CP261" t="inlineStr">
        <is>
          <t>风险管理和内部控制</t>
        </is>
      </c>
      <c r="CQ261" t="inlineStr">
        <is>
          <t>3,3</t>
        </is>
      </c>
      <c r="CR261" t="n">
        <v>9</v>
      </c>
      <c r="CS261" t="inlineStr">
        <is>
          <t>T1</t>
        </is>
      </c>
      <c r="CT261" t="inlineStr">
        <is>
          <t>N</t>
        </is>
      </c>
    </row>
    <row r="262">
      <c r="A262" t="inlineStr">
        <is>
          <t>juliaCui(崔蓉畅)</t>
        </is>
      </c>
      <c r="C262" t="n">
        <v>85487998</v>
      </c>
      <c r="D262" t="inlineStr">
        <is>
          <t>风险管理和内部控制</t>
        </is>
      </c>
      <c r="E262" t="inlineStr">
        <is>
          <t>PCG风控中心</t>
        </is>
      </c>
      <c r="G262" t="inlineStr">
        <is>
          <t>S2职能系统－财经线/风险管理和内部控制/PCG风控中心</t>
        </is>
      </c>
      <c r="H262" s="188" t="n">
        <v>40355</v>
      </c>
      <c r="I262" t="inlineStr">
        <is>
          <t>社会招聘</t>
        </is>
      </c>
      <c r="J262" t="inlineStr">
        <is>
          <t>财经类－FN</t>
        </is>
      </c>
      <c r="K262" t="inlineStr">
        <is>
          <t>风险管理</t>
        </is>
      </c>
      <c r="L262" t="inlineStr">
        <is>
          <t>S11</t>
        </is>
      </c>
      <c r="N262" t="inlineStr">
        <is>
          <t>T1</t>
        </is>
      </c>
      <c r="Q262" t="inlineStr">
        <is>
          <t>G,G</t>
        </is>
      </c>
      <c r="U262" t="n">
        <v>51042.2</v>
      </c>
      <c r="V262" t="n">
        <v>0.083333</v>
      </c>
      <c r="W262" t="inlineStr">
        <is>
          <t>CNY</t>
        </is>
      </c>
      <c r="X262" t="n">
        <v>1</v>
      </c>
      <c r="Y262" t="n">
        <v>49218.52</v>
      </c>
      <c r="Z262" t="n">
        <v>0</v>
      </c>
      <c r="AA262" t="n">
        <v>102084.4</v>
      </c>
      <c r="AF262" t="n">
        <v>0</v>
      </c>
      <c r="AG262" t="n">
        <v>306054.4</v>
      </c>
      <c r="AH262" t="n">
        <v>6.218277185092116</v>
      </c>
      <c r="AJ262" t="n">
        <v>6.218277185092116</v>
      </c>
      <c r="AK262" t="n">
        <v>4.180426392341745</v>
      </c>
      <c r="AQ262" t="n">
        <v>306054.4</v>
      </c>
      <c r="AR262" t="n">
        <v>6.218277185092116</v>
      </c>
      <c r="AS262" t="n">
        <v>1.532302300548227</v>
      </c>
      <c r="BL262" t="n">
        <v>1</v>
      </c>
      <c r="BM262" t="n">
        <v>41730</v>
      </c>
      <c r="BN262" t="n">
        <v>0</v>
      </c>
      <c r="BO262" t="n">
        <v>43425</v>
      </c>
      <c r="BP262" t="inlineStr">
        <is>
          <t>G,G</t>
        </is>
      </c>
      <c r="BQ262" t="inlineStr">
        <is>
          <t>T1</t>
        </is>
      </c>
      <c r="BS262" t="n">
        <v>3.331655883057752</v>
      </c>
      <c r="BT262" t="n">
        <v>60705</v>
      </c>
      <c r="BV262" t="n">
        <v>4.786364725617062</v>
      </c>
      <c r="BY262" t="n">
        <v>199735</v>
      </c>
      <c r="BZ262" t="n">
        <v>4.786364725617062</v>
      </c>
      <c r="CP262" t="inlineStr">
        <is>
          <t>风险管理和内部控制</t>
        </is>
      </c>
      <c r="CQ262" t="inlineStr">
        <is>
          <t>3,3</t>
        </is>
      </c>
      <c r="CR262" t="n">
        <v>11</v>
      </c>
      <c r="CS262" t="inlineStr">
        <is>
          <t>T1</t>
        </is>
      </c>
      <c r="CT262" t="inlineStr">
        <is>
          <t>N</t>
        </is>
      </c>
    </row>
    <row r="263">
      <c r="A263" t="inlineStr">
        <is>
          <t>ethanLei(雷力勋)</t>
        </is>
      </c>
      <c r="C263" t="n">
        <v>19988700</v>
      </c>
      <c r="D263" t="inlineStr">
        <is>
          <t>财会及报告管理部</t>
        </is>
      </c>
      <c r="E263" t="inlineStr">
        <is>
          <t>员工报销服务中心</t>
        </is>
      </c>
      <c r="G263" t="inlineStr">
        <is>
          <t>S2职能系统－财经线/财会及报告管理部/员工报销服务中心</t>
        </is>
      </c>
      <c r="H263" s="188" t="n">
        <v>42343</v>
      </c>
      <c r="I263" t="inlineStr">
        <is>
          <t>高校招聘</t>
        </is>
      </c>
      <c r="J263" t="inlineStr">
        <is>
          <t>财经类－FN</t>
        </is>
      </c>
      <c r="K263" t="inlineStr">
        <is>
          <t>会计</t>
        </is>
      </c>
      <c r="L263" t="inlineStr">
        <is>
          <t>S8</t>
        </is>
      </c>
      <c r="N263" t="inlineStr">
        <is>
          <t>T1</t>
        </is>
      </c>
      <c r="Q263" t="inlineStr">
        <is>
          <t>G,G</t>
        </is>
      </c>
      <c r="U263" t="n">
        <v>50453.1</v>
      </c>
      <c r="V263" t="n">
        <v>0.083333</v>
      </c>
      <c r="W263" t="inlineStr">
        <is>
          <t>CNY</t>
        </is>
      </c>
      <c r="X263" t="n">
        <v>1</v>
      </c>
      <c r="Y263" t="n">
        <v>48442.04</v>
      </c>
      <c r="Z263" t="n">
        <v>0</v>
      </c>
      <c r="AA263" t="n">
        <v>100906.2</v>
      </c>
      <c r="AF263" t="n">
        <v>0</v>
      </c>
      <c r="AG263" t="n">
        <v>271366.2</v>
      </c>
      <c r="AH263" t="n">
        <v>5.601873909521564</v>
      </c>
      <c r="AJ263" t="n">
        <v>5.601873909521564</v>
      </c>
      <c r="AK263" t="n">
        <v>4.285971441334841</v>
      </c>
      <c r="AQ263" t="n">
        <v>271366.2</v>
      </c>
      <c r="AR263" t="n">
        <v>5.601873909521564</v>
      </c>
      <c r="AS263" t="n">
        <v>1.260497480084539</v>
      </c>
      <c r="BL263" t="n">
        <v>1</v>
      </c>
      <c r="BM263" t="n">
        <v>43050</v>
      </c>
      <c r="BN263" t="n">
        <v>0</v>
      </c>
      <c r="BO263" t="n">
        <v>45030</v>
      </c>
      <c r="BP263" t="inlineStr">
        <is>
          <t>G,G</t>
        </is>
      </c>
      <c r="BQ263" t="inlineStr">
        <is>
          <t>T1</t>
        </is>
      </c>
      <c r="BS263" t="n">
        <v>3.17444831591173</v>
      </c>
      <c r="BT263" t="n">
        <v>78625</v>
      </c>
      <c r="BV263" t="n">
        <v>5.000813008130081</v>
      </c>
      <c r="BY263" t="n">
        <v>215285</v>
      </c>
      <c r="BZ263" t="n">
        <v>5.000813008130081</v>
      </c>
      <c r="CP263" t="inlineStr">
        <is>
          <t>财会及报告管理部</t>
        </is>
      </c>
      <c r="CQ263" t="inlineStr">
        <is>
          <t>3,3</t>
        </is>
      </c>
      <c r="CR263" t="n">
        <v>8</v>
      </c>
      <c r="CS263" t="inlineStr">
        <is>
          <t>T1</t>
        </is>
      </c>
      <c r="CT263" t="inlineStr">
        <is>
          <t>N</t>
        </is>
      </c>
    </row>
    <row r="264">
      <c r="A264" t="inlineStr">
        <is>
          <t>samanthaZou(邹璇嫦)</t>
        </is>
      </c>
      <c r="C264" t="n">
        <v>13492802</v>
      </c>
      <c r="D264" t="inlineStr">
        <is>
          <t>海外财经中心</t>
        </is>
      </c>
      <c r="E264" t="inlineStr">
        <is>
          <t>海外财经办公室</t>
        </is>
      </c>
      <c r="G264" t="inlineStr">
        <is>
          <t>S2职能系统－财经线/海外财经中心/海外财经办公室</t>
        </is>
      </c>
      <c r="H264" s="188" t="n">
        <v>37421</v>
      </c>
      <c r="I264" t="inlineStr">
        <is>
          <t>社会招聘</t>
        </is>
      </c>
      <c r="J264" t="inlineStr">
        <is>
          <t>财经类－FN</t>
        </is>
      </c>
      <c r="K264" t="inlineStr">
        <is>
          <t>财务管理</t>
        </is>
      </c>
      <c r="L264" t="inlineStr">
        <is>
          <t>S6</t>
        </is>
      </c>
      <c r="N264" t="inlineStr">
        <is>
          <t>T1</t>
        </is>
      </c>
      <c r="Q264" t="inlineStr">
        <is>
          <t>O,U</t>
        </is>
      </c>
      <c r="U264" t="n">
        <v>31848.45</v>
      </c>
      <c r="V264" t="n">
        <v>0.083333</v>
      </c>
      <c r="W264" t="inlineStr">
        <is>
          <t>CNY</t>
        </is>
      </c>
      <c r="X264" t="n">
        <v>1</v>
      </c>
      <c r="Y264" t="n">
        <v>29309.81</v>
      </c>
      <c r="Z264" t="n">
        <v>0</v>
      </c>
      <c r="AA264" t="n">
        <v>63696.9</v>
      </c>
      <c r="AF264" t="n">
        <v>0</v>
      </c>
      <c r="AG264" t="n">
        <v>131521.9</v>
      </c>
      <c r="AH264" t="n">
        <v>4.487299644726458</v>
      </c>
      <c r="AJ264" t="n">
        <v>4.487299644726458</v>
      </c>
      <c r="AK264" t="n">
        <v>4.487299644726458</v>
      </c>
      <c r="AQ264" t="n">
        <v>131521.9</v>
      </c>
      <c r="AR264" t="n">
        <v>4.487299644726458</v>
      </c>
      <c r="AS264" t="n">
        <v>1.039123805009086</v>
      </c>
      <c r="BL264" t="n">
        <v>1</v>
      </c>
      <c r="BM264" t="n">
        <v>26050</v>
      </c>
      <c r="BN264" t="n">
        <v>0</v>
      </c>
      <c r="BO264" t="n">
        <v>26210</v>
      </c>
      <c r="BP264" t="inlineStr">
        <is>
          <t>G,G</t>
        </is>
      </c>
      <c r="BQ264" t="inlineStr">
        <is>
          <t>T1</t>
        </is>
      </c>
      <c r="BS264" t="n">
        <v>3.357389635316699</v>
      </c>
      <c r="BT264" t="n">
        <v>39110</v>
      </c>
      <c r="BV264" t="n">
        <v>4.85873320537428</v>
      </c>
      <c r="BY264" t="n">
        <v>126570</v>
      </c>
      <c r="BZ264" t="n">
        <v>4.85873320537428</v>
      </c>
      <c r="CP264" t="inlineStr">
        <is>
          <t>海外财经中心</t>
        </is>
      </c>
      <c r="CQ264" t="inlineStr">
        <is>
          <t>5,1</t>
        </is>
      </c>
      <c r="CR264" t="n">
        <v>6</v>
      </c>
      <c r="CS264" t="inlineStr">
        <is>
          <t>T1</t>
        </is>
      </c>
      <c r="CT264" t="inlineStr">
        <is>
          <t>N</t>
        </is>
      </c>
    </row>
    <row r="265">
      <c r="A265" t="inlineStr">
        <is>
          <t>fredHu(胡卓)</t>
        </is>
      </c>
      <c r="C265" t="n">
        <v>31638980</v>
      </c>
      <c r="D265" t="inlineStr">
        <is>
          <t>财会及报告管理部</t>
        </is>
      </c>
      <c r="E265" t="inlineStr">
        <is>
          <t>员工报销服务中心</t>
        </is>
      </c>
      <c r="G265" t="inlineStr">
        <is>
          <t>S2职能系统－财经线/财会及报告管理部/员工报销服务中心</t>
        </is>
      </c>
      <c r="H265" s="188" t="n">
        <v>40128</v>
      </c>
      <c r="I265" t="inlineStr">
        <is>
          <t>高校招聘</t>
        </is>
      </c>
      <c r="J265" t="inlineStr">
        <is>
          <t>财经类－FN</t>
        </is>
      </c>
      <c r="K265" t="inlineStr">
        <is>
          <t>会计</t>
        </is>
      </c>
      <c r="L265" t="inlineStr">
        <is>
          <t>S7</t>
        </is>
      </c>
      <c r="N265" t="inlineStr">
        <is>
          <t>T1</t>
        </is>
      </c>
      <c r="Q265" t="inlineStr">
        <is>
          <t>G,G</t>
        </is>
      </c>
      <c r="U265" t="n">
        <v>42501.95</v>
      </c>
      <c r="V265" t="n">
        <v>0.083333</v>
      </c>
      <c r="W265" t="inlineStr">
        <is>
          <t>CNY</t>
        </is>
      </c>
      <c r="X265" t="n">
        <v>1</v>
      </c>
      <c r="Y265" t="n">
        <v>39552.72</v>
      </c>
      <c r="Z265" t="n">
        <v>0</v>
      </c>
      <c r="AA265" t="n">
        <v>85003.89999999999</v>
      </c>
      <c r="AF265" t="n">
        <v>0</v>
      </c>
      <c r="AG265" t="n">
        <v>263463.9</v>
      </c>
      <c r="AH265" t="n">
        <v>6.661081715745466</v>
      </c>
      <c r="AJ265" t="n">
        <v>6.661081715745466</v>
      </c>
      <c r="AK265" t="n">
        <v>4.794711969240042</v>
      </c>
      <c r="AQ265" t="n">
        <v>263463.9</v>
      </c>
      <c r="AR265" t="n">
        <v>6.661081715745466</v>
      </c>
      <c r="AS265" t="n">
        <v>1.567491075678249</v>
      </c>
      <c r="BL265" t="n">
        <v>1</v>
      </c>
      <c r="BM265" t="n">
        <v>36440</v>
      </c>
      <c r="BN265" t="n">
        <v>0</v>
      </c>
      <c r="BO265" t="n">
        <v>38370</v>
      </c>
      <c r="BP265" t="inlineStr">
        <is>
          <t>G,G</t>
        </is>
      </c>
      <c r="BQ265" t="inlineStr">
        <is>
          <t>T1</t>
        </is>
      </c>
      <c r="BS265" t="n">
        <v>3.254939626783754</v>
      </c>
      <c r="BT265" t="n">
        <v>49470</v>
      </c>
      <c r="BV265" t="n">
        <v>4.61251372118551</v>
      </c>
      <c r="BY265" t="n">
        <v>168080</v>
      </c>
      <c r="BZ265" t="n">
        <v>4.61251372118551</v>
      </c>
      <c r="CP265" t="inlineStr">
        <is>
          <t>财会及报告管理部</t>
        </is>
      </c>
      <c r="CQ265" t="inlineStr">
        <is>
          <t>3,3</t>
        </is>
      </c>
      <c r="CR265" t="n">
        <v>7</v>
      </c>
      <c r="CS265" t="inlineStr">
        <is>
          <t>T1</t>
        </is>
      </c>
      <c r="CT265" t="inlineStr">
        <is>
          <t>N</t>
        </is>
      </c>
    </row>
    <row r="266">
      <c r="A266" t="inlineStr">
        <is>
          <t>elizabethYin(尹荷颖)</t>
        </is>
      </c>
      <c r="C266" t="n">
        <v>61334260</v>
      </c>
      <c r="D266" t="inlineStr">
        <is>
          <t>基建财务管理</t>
        </is>
      </c>
      <c r="E266" t="inlineStr">
        <is>
          <t>基建财务管理</t>
        </is>
      </c>
      <c r="G266" t="inlineStr">
        <is>
          <t>S2职能系统－财经线/基建财务管理</t>
        </is>
      </c>
      <c r="H266" s="188" t="n">
        <v>36956</v>
      </c>
      <c r="I266" t="inlineStr">
        <is>
          <t>社会招聘</t>
        </is>
      </c>
      <c r="J266" t="inlineStr">
        <is>
          <t>财经类－FN</t>
        </is>
      </c>
      <c r="K266" t="inlineStr">
        <is>
          <t>财务管理</t>
        </is>
      </c>
      <c r="L266" t="inlineStr">
        <is>
          <t>S6</t>
        </is>
      </c>
      <c r="N266" t="inlineStr">
        <is>
          <t>T1</t>
        </is>
      </c>
      <c r="Q266" t="inlineStr">
        <is>
          <t>O,G</t>
        </is>
      </c>
      <c r="U266" t="n">
        <v>22195.55</v>
      </c>
      <c r="V266" t="n">
        <v>0.083333</v>
      </c>
      <c r="W266" t="inlineStr">
        <is>
          <t>CNY</t>
        </is>
      </c>
      <c r="X266" t="n">
        <v>1</v>
      </c>
      <c r="Y266" t="n">
        <v>21941.58</v>
      </c>
      <c r="Z266" t="n">
        <v>0</v>
      </c>
      <c r="AA266" t="n">
        <v>66586.64999999999</v>
      </c>
      <c r="AF266" t="n">
        <v>0</v>
      </c>
      <c r="AG266" t="n">
        <v>147256.65</v>
      </c>
      <c r="AH266" t="n">
        <v>6.711305658024626</v>
      </c>
      <c r="AJ266" t="n">
        <v>6.711305658024626</v>
      </c>
      <c r="AK266" t="n">
        <v>5.456154479303677</v>
      </c>
      <c r="AQ266" t="n">
        <v>147256.65</v>
      </c>
      <c r="AR266" t="n">
        <v>6.711305658024626</v>
      </c>
      <c r="AS266" t="n">
        <v>3.493633451957295</v>
      </c>
      <c r="BL266" t="n">
        <v>1</v>
      </c>
      <c r="BM266" t="n">
        <v>18290</v>
      </c>
      <c r="BN266" t="n">
        <v>0</v>
      </c>
      <c r="BO266" t="n">
        <v>18490</v>
      </c>
      <c r="BP266" t="inlineStr">
        <is>
          <t>U,G</t>
        </is>
      </c>
      <c r="BQ266" t="inlineStr">
        <is>
          <t>T1</t>
        </is>
      </c>
      <c r="BS266" t="n">
        <v>2.304537998906506</v>
      </c>
      <c r="BT266" t="n">
        <v>0</v>
      </c>
      <c r="BV266" t="n">
        <v>2.304537998906506</v>
      </c>
      <c r="BY266" t="n">
        <v>42150</v>
      </c>
      <c r="BZ266" t="n">
        <v>2.304537998906506</v>
      </c>
      <c r="CP266" t="inlineStr">
        <is>
          <t>基建财务管理</t>
        </is>
      </c>
      <c r="CQ266" t="inlineStr">
        <is>
          <t>5,3</t>
        </is>
      </c>
      <c r="CR266" t="n">
        <v>6</v>
      </c>
      <c r="CS266" t="inlineStr">
        <is>
          <t>T1</t>
        </is>
      </c>
      <c r="CT266" t="inlineStr">
        <is>
          <t>N</t>
        </is>
      </c>
    </row>
    <row r="267">
      <c r="A267" t="inlineStr">
        <is>
          <t>walterBai(白宇霖)</t>
        </is>
      </c>
      <c r="C267" t="n">
        <v>8418014</v>
      </c>
      <c r="D267" t="inlineStr">
        <is>
          <t>财经IT管理部</t>
        </is>
      </c>
      <c r="E267" t="inlineStr">
        <is>
          <t>业务开发中心</t>
        </is>
      </c>
      <c r="G267" t="inlineStr">
        <is>
          <t>S2职能系统－财经线/财经IT管理部/业务开发中心</t>
        </is>
      </c>
      <c r="H267" s="188" t="n">
        <v>40963</v>
      </c>
      <c r="I267" t="inlineStr">
        <is>
          <t>社会招聘</t>
        </is>
      </c>
      <c r="J267" t="inlineStr">
        <is>
          <t>技术研发类－TRD</t>
        </is>
      </c>
      <c r="K267" t="inlineStr">
        <is>
          <t>应用开发</t>
        </is>
      </c>
      <c r="L267" t="inlineStr">
        <is>
          <t>T7</t>
        </is>
      </c>
      <c r="N267" t="inlineStr">
        <is>
          <t>T1</t>
        </is>
      </c>
      <c r="Q267" t="inlineStr">
        <is>
          <t>G,G</t>
        </is>
      </c>
      <c r="U267" t="n">
        <v>38902.2</v>
      </c>
      <c r="V267" t="n">
        <v>0.083333</v>
      </c>
      <c r="W267" t="inlineStr">
        <is>
          <t>CNY</t>
        </is>
      </c>
      <c r="X267" t="n">
        <v>1</v>
      </c>
      <c r="Y267" t="n">
        <v>35240.61</v>
      </c>
      <c r="Z267" t="n">
        <v>0</v>
      </c>
      <c r="AA267" t="n">
        <v>77804.39999999999</v>
      </c>
      <c r="AF267" t="n">
        <v>0</v>
      </c>
      <c r="AG267" t="n">
        <v>230524.4</v>
      </c>
      <c r="AH267" t="n">
        <v>6.541441819537176</v>
      </c>
      <c r="AJ267" t="n">
        <v>6.541441819537176</v>
      </c>
      <c r="AK267" t="n">
        <v>4.846522236703621</v>
      </c>
      <c r="AQ267" t="n">
        <v>230524.4</v>
      </c>
      <c r="AR267" t="n">
        <v>6.541441819537176</v>
      </c>
      <c r="AS267" t="n">
        <v>1.087251031717958</v>
      </c>
      <c r="BL267" t="n">
        <v>1</v>
      </c>
      <c r="BM267" t="n">
        <v>34090</v>
      </c>
      <c r="BN267" t="n">
        <v>0</v>
      </c>
      <c r="BO267" t="n">
        <v>35375</v>
      </c>
      <c r="BP267" t="inlineStr">
        <is>
          <t>G,O</t>
        </is>
      </c>
      <c r="BQ267" t="inlineStr">
        <is>
          <t>T1</t>
        </is>
      </c>
      <c r="BS267" t="n">
        <v>4.242886476972719</v>
      </c>
      <c r="BT267" t="n">
        <v>67385</v>
      </c>
      <c r="BV267" t="n">
        <v>6.219565855089469</v>
      </c>
      <c r="BY267" t="n">
        <v>212025</v>
      </c>
      <c r="BZ267" t="n">
        <v>6.219565855089469</v>
      </c>
      <c r="CP267" t="inlineStr">
        <is>
          <t>财经IT管理部</t>
        </is>
      </c>
      <c r="CQ267" t="inlineStr">
        <is>
          <t>3,3</t>
        </is>
      </c>
      <c r="CR267" t="n">
        <v>7</v>
      </c>
      <c r="CS267" t="inlineStr">
        <is>
          <t>T1</t>
        </is>
      </c>
      <c r="CT267" t="inlineStr">
        <is>
          <t>N</t>
        </is>
      </c>
    </row>
    <row r="268">
      <c r="A268" t="inlineStr">
        <is>
          <t>isabellaTang(唐曼)</t>
        </is>
      </c>
      <c r="C268" t="n">
        <v>60028751</v>
      </c>
      <c r="D268" t="inlineStr">
        <is>
          <t>FiT财务管理</t>
        </is>
      </c>
      <c r="E268" t="inlineStr">
        <is>
          <t>结算支持中心</t>
        </is>
      </c>
      <c r="G268" t="inlineStr">
        <is>
          <t>S2职能系统－财经线/FiT财务管理/结算支持中心</t>
        </is>
      </c>
      <c r="H268" s="188" t="n">
        <v>43022</v>
      </c>
      <c r="I268" t="inlineStr">
        <is>
          <t>高校招聘</t>
        </is>
      </c>
      <c r="J268" t="inlineStr">
        <is>
          <t>财经类－FN</t>
        </is>
      </c>
      <c r="K268" t="inlineStr">
        <is>
          <t>财务管理</t>
        </is>
      </c>
      <c r="L268" t="inlineStr">
        <is>
          <t>S7</t>
        </is>
      </c>
      <c r="N268" t="inlineStr">
        <is>
          <t>T1</t>
        </is>
      </c>
      <c r="Q268" t="inlineStr">
        <is>
          <t>G,G</t>
        </is>
      </c>
      <c r="U268" t="n">
        <v>35321.95</v>
      </c>
      <c r="V268" t="n">
        <v>0.083333</v>
      </c>
      <c r="W268" t="inlineStr">
        <is>
          <t>CNY</t>
        </is>
      </c>
      <c r="X268" t="n">
        <v>1</v>
      </c>
      <c r="Y268" t="n">
        <v>31803.21</v>
      </c>
      <c r="Z268" t="n">
        <v>0</v>
      </c>
      <c r="AA268" t="n">
        <v>70643.89999999999</v>
      </c>
      <c r="AF268" t="n">
        <v>0</v>
      </c>
      <c r="AG268" t="n">
        <v>218153.9</v>
      </c>
      <c r="AH268" t="n">
        <v>6.85949311405987</v>
      </c>
      <c r="AJ268" t="n">
        <v>6.85949311405987</v>
      </c>
      <c r="AK268" t="n">
        <v>4.644779567848654</v>
      </c>
      <c r="AQ268" t="n">
        <v>218153.9</v>
      </c>
      <c r="AR268" t="n">
        <v>6.85949311405987</v>
      </c>
      <c r="AS268" t="n">
        <v>2.285410926614635</v>
      </c>
      <c r="BL268" t="n">
        <v>1</v>
      </c>
      <c r="BM268" t="n">
        <v>30845</v>
      </c>
      <c r="BN268" t="n">
        <v>0</v>
      </c>
      <c r="BO268" t="n">
        <v>31030</v>
      </c>
      <c r="BP268" t="inlineStr">
        <is>
          <t>G,G</t>
        </is>
      </c>
      <c r="BQ268" t="inlineStr">
        <is>
          <t>T2</t>
        </is>
      </c>
      <c r="BS268" t="n">
        <v>3.094666882801102</v>
      </c>
      <c r="BT268" t="n">
        <v>0</v>
      </c>
      <c r="BV268" t="n">
        <v>3.094666882801102</v>
      </c>
      <c r="BY268" t="n">
        <v>95455</v>
      </c>
      <c r="BZ268" t="n">
        <v>3.094666882801102</v>
      </c>
      <c r="CP268" t="inlineStr">
        <is>
          <t>FiT财务管理</t>
        </is>
      </c>
      <c r="CQ268" t="inlineStr">
        <is>
          <t>3,3</t>
        </is>
      </c>
      <c r="CR268" t="n">
        <v>7</v>
      </c>
      <c r="CS268" t="inlineStr">
        <is>
          <t>T1</t>
        </is>
      </c>
      <c r="CT268" t="inlineStr">
        <is>
          <t>N</t>
        </is>
      </c>
    </row>
    <row r="269">
      <c r="A269" t="inlineStr">
        <is>
          <t>aaliyahLiao(廖敏思)</t>
        </is>
      </c>
      <c r="C269" t="n">
        <v>90173264</v>
      </c>
      <c r="D269" t="inlineStr">
        <is>
          <t>审计监察</t>
        </is>
      </c>
      <c r="E269" t="inlineStr">
        <is>
          <t>审计中台及运营组</t>
        </is>
      </c>
      <c r="G269" t="inlineStr">
        <is>
          <t>S2职能系统－财经线/审计监察/审计中台及运营组</t>
        </is>
      </c>
      <c r="H269" s="188" t="n">
        <v>37238</v>
      </c>
      <c r="I269" t="inlineStr">
        <is>
          <t>社会招聘</t>
        </is>
      </c>
      <c r="J269" t="inlineStr">
        <is>
          <t>财经类－FN</t>
        </is>
      </c>
      <c r="K269" t="inlineStr">
        <is>
          <t>风险管理</t>
        </is>
      </c>
      <c r="L269" t="inlineStr">
        <is>
          <t>S6</t>
        </is>
      </c>
      <c r="N269" t="inlineStr">
        <is>
          <t>T1#</t>
        </is>
      </c>
      <c r="Q269" t="inlineStr">
        <is>
          <t>G,G</t>
        </is>
      </c>
      <c r="U269" t="n">
        <v>31468.35</v>
      </c>
      <c r="V269" t="n">
        <v>0.083333</v>
      </c>
      <c r="W269" t="inlineStr">
        <is>
          <t>CNY</t>
        </is>
      </c>
      <c r="X269" t="n">
        <v>1</v>
      </c>
      <c r="Y269" t="n">
        <v>31129.13</v>
      </c>
      <c r="Z269" t="n">
        <v>0</v>
      </c>
      <c r="AA269" t="n">
        <v>62936.7</v>
      </c>
      <c r="AF269" t="n">
        <v>0</v>
      </c>
      <c r="AG269" t="n">
        <v>209606.7</v>
      </c>
      <c r="AH269" t="n">
        <v>6.733458339503867</v>
      </c>
      <c r="AJ269" t="n">
        <v>6.733458339503867</v>
      </c>
      <c r="AK269" t="n">
        <v>5.105561896525859</v>
      </c>
      <c r="AQ269" t="n">
        <v>209606.7</v>
      </c>
      <c r="AR269" t="n">
        <v>6.733458339503867</v>
      </c>
      <c r="AS269" t="n">
        <v>2.147939744837834</v>
      </c>
      <c r="BL269" t="n">
        <v>1</v>
      </c>
      <c r="BM269" t="n">
        <v>26900</v>
      </c>
      <c r="BN269" t="n">
        <v>0</v>
      </c>
      <c r="BO269" t="n">
        <v>28500</v>
      </c>
      <c r="BP269" t="inlineStr">
        <is>
          <t>G,G</t>
        </is>
      </c>
      <c r="BQ269" t="inlineStr">
        <is>
          <t>Others</t>
        </is>
      </c>
      <c r="BS269" t="n">
        <v>3.627695167286245</v>
      </c>
      <c r="BT269" t="n">
        <v>0</v>
      </c>
      <c r="BV269" t="n">
        <v>3.627695167286245</v>
      </c>
      <c r="BY269" t="n">
        <v>97585</v>
      </c>
      <c r="BZ269" t="n">
        <v>3.627695167286245</v>
      </c>
      <c r="CP269" t="inlineStr">
        <is>
          <t>审计监察</t>
        </is>
      </c>
      <c r="CQ269" t="inlineStr">
        <is>
          <t>3,3</t>
        </is>
      </c>
      <c r="CR269" t="n">
        <v>6</v>
      </c>
      <c r="CS269" t="inlineStr">
        <is>
          <t>T1#</t>
        </is>
      </c>
      <c r="CT269" t="inlineStr">
        <is>
          <t>N</t>
        </is>
      </c>
    </row>
    <row r="270">
      <c r="A270" t="inlineStr">
        <is>
          <t>ariaHong(洪洁怡)</t>
        </is>
      </c>
      <c r="C270" t="n">
        <v>39009199</v>
      </c>
      <c r="D270" t="inlineStr">
        <is>
          <t>风险管理和内部控制</t>
        </is>
      </c>
      <c r="E270" t="inlineStr">
        <is>
          <t>IEG风控中心</t>
        </is>
      </c>
      <c r="G270" t="inlineStr">
        <is>
          <t>S2职能系统－财经线/风险管理和内部控制/IEG风控中心</t>
        </is>
      </c>
      <c r="H270" s="188" t="n">
        <v>44702</v>
      </c>
      <c r="I270" t="inlineStr">
        <is>
          <t>高校招聘</t>
        </is>
      </c>
      <c r="J270" t="inlineStr">
        <is>
          <t>财经类－FN</t>
        </is>
      </c>
      <c r="K270" t="inlineStr">
        <is>
          <t>风险管理</t>
        </is>
      </c>
      <c r="L270" t="inlineStr">
        <is>
          <t>S11</t>
        </is>
      </c>
      <c r="N270" t="inlineStr">
        <is>
          <t>T2</t>
        </is>
      </c>
      <c r="Q270" t="inlineStr">
        <is>
          <t>G,G</t>
        </is>
      </c>
      <c r="U270" t="n">
        <v>53644.3</v>
      </c>
      <c r="V270" t="n">
        <v>0.083333</v>
      </c>
      <c r="W270" t="inlineStr">
        <is>
          <t>CNY</t>
        </is>
      </c>
      <c r="X270" t="n">
        <v>1</v>
      </c>
      <c r="Y270" t="n">
        <v>50382.01</v>
      </c>
      <c r="Z270" t="n">
        <v>0</v>
      </c>
      <c r="AA270" t="n">
        <v>107288.6</v>
      </c>
      <c r="AF270" t="n">
        <v>0</v>
      </c>
      <c r="AG270" t="n">
        <v>164358.6</v>
      </c>
      <c r="AH270" t="n">
        <v>3.262247774552861</v>
      </c>
      <c r="AJ270" t="n">
        <v>3.262247774552861</v>
      </c>
      <c r="AK270" t="n">
        <v>3.262247774552861</v>
      </c>
      <c r="AQ270" t="n">
        <v>164358.6</v>
      </c>
      <c r="AR270" t="n">
        <v>3.262247774552861</v>
      </c>
      <c r="AS270" t="n">
        <v>0.7966005089058524</v>
      </c>
      <c r="BL270" t="n">
        <v>1</v>
      </c>
      <c r="BM270" t="n">
        <v>45700</v>
      </c>
      <c r="BN270" t="n">
        <v>0</v>
      </c>
      <c r="BO270" t="n">
        <v>47400</v>
      </c>
      <c r="BP270" t="inlineStr">
        <is>
          <t>G,O</t>
        </is>
      </c>
      <c r="BQ270" t="inlineStr">
        <is>
          <t>T2</t>
        </is>
      </c>
      <c r="BS270" t="n">
        <v>4.514770240700219</v>
      </c>
      <c r="BT270" t="n">
        <v>0</v>
      </c>
      <c r="BV270" t="n">
        <v>4.514770240700219</v>
      </c>
      <c r="BY270" t="n">
        <v>206325</v>
      </c>
      <c r="BZ270" t="n">
        <v>4.514770240700219</v>
      </c>
      <c r="CP270" t="inlineStr">
        <is>
          <t>风险管理和内部控制</t>
        </is>
      </c>
      <c r="CQ270" t="inlineStr">
        <is>
          <t>3,3</t>
        </is>
      </c>
      <c r="CR270" t="n">
        <v>11</v>
      </c>
      <c r="CS270" t="inlineStr">
        <is>
          <t>T2</t>
        </is>
      </c>
      <c r="CT270" t="inlineStr">
        <is>
          <t>N</t>
        </is>
      </c>
    </row>
    <row r="271">
      <c r="A271" t="inlineStr">
        <is>
          <t>sharonXie(谢蝶)</t>
        </is>
      </c>
      <c r="C271" t="n">
        <v>63519202</v>
      </c>
      <c r="D271" t="inlineStr">
        <is>
          <t>FiT财务管理</t>
        </is>
      </c>
      <c r="E271" t="inlineStr">
        <is>
          <t>业务支持与分析中心</t>
        </is>
      </c>
      <c r="G271" t="inlineStr">
        <is>
          <t>S2职能系统－财经线/FiT财务管理/业务支持与分析中心</t>
        </is>
      </c>
      <c r="H271" s="188" t="n">
        <v>38009</v>
      </c>
      <c r="I271" t="inlineStr">
        <is>
          <t>社会招聘</t>
        </is>
      </c>
      <c r="J271" t="inlineStr">
        <is>
          <t>财经类－FN</t>
        </is>
      </c>
      <c r="K271" t="inlineStr">
        <is>
          <t>财务管理</t>
        </is>
      </c>
      <c r="L271" t="inlineStr">
        <is>
          <t>S10</t>
        </is>
      </c>
      <c r="N271" t="inlineStr">
        <is>
          <t>T1</t>
        </is>
      </c>
      <c r="Q271" t="inlineStr">
        <is>
          <t>G,G</t>
        </is>
      </c>
      <c r="U271" t="n">
        <v>64892.4</v>
      </c>
      <c r="V271" t="n">
        <v>0.083333</v>
      </c>
      <c r="W271" t="inlineStr">
        <is>
          <t>CNY</t>
        </is>
      </c>
      <c r="X271" t="n">
        <v>1</v>
      </c>
      <c r="Y271" t="n">
        <v>64010.21</v>
      </c>
      <c r="Z271" t="n">
        <v>0</v>
      </c>
      <c r="AA271" t="n">
        <v>129784.8</v>
      </c>
      <c r="AF271" t="n">
        <v>0</v>
      </c>
      <c r="AG271" t="n">
        <v>399374.8</v>
      </c>
      <c r="AH271" t="n">
        <v>6.239235896898323</v>
      </c>
      <c r="AJ271" t="n">
        <v>6.239235896898323</v>
      </c>
      <c r="AK271" t="n">
        <v>4.509277504323138</v>
      </c>
      <c r="AQ271" t="n">
        <v>399374.8</v>
      </c>
      <c r="AR271" t="n">
        <v>6.239235896898323</v>
      </c>
      <c r="AS271" t="n">
        <v>1.221236296919196</v>
      </c>
      <c r="BL271" t="n">
        <v>1</v>
      </c>
      <c r="BM271" t="n">
        <v>53735</v>
      </c>
      <c r="BN271" t="n">
        <v>0</v>
      </c>
      <c r="BO271" t="n">
        <v>57910</v>
      </c>
      <c r="BP271" t="inlineStr">
        <is>
          <t>O,G</t>
        </is>
      </c>
      <c r="BQ271" t="inlineStr">
        <is>
          <t>T1</t>
        </is>
      </c>
      <c r="BS271" t="n">
        <v>4.336838187401135</v>
      </c>
      <c r="BT271" t="n">
        <v>93985</v>
      </c>
      <c r="BV271" t="n">
        <v>6.085884432864986</v>
      </c>
      <c r="BY271" t="n">
        <v>327025</v>
      </c>
      <c r="BZ271" t="n">
        <v>6.085884432864986</v>
      </c>
      <c r="CP271" t="inlineStr">
        <is>
          <t>FiT财务管理</t>
        </is>
      </c>
      <c r="CQ271" t="inlineStr">
        <is>
          <t>3,3</t>
        </is>
      </c>
      <c r="CR271" t="n">
        <v>10</v>
      </c>
      <c r="CS271" t="inlineStr">
        <is>
          <t>T1</t>
        </is>
      </c>
      <c r="CT271" t="inlineStr">
        <is>
          <t>N</t>
        </is>
      </c>
    </row>
    <row r="272">
      <c r="A272" t="inlineStr">
        <is>
          <t>scarlettJia(贾琴璐)</t>
        </is>
      </c>
      <c r="C272" t="n">
        <v>59090735</v>
      </c>
      <c r="D272" t="inlineStr">
        <is>
          <t>风险管理和内部控制</t>
        </is>
      </c>
      <c r="E272" t="inlineStr">
        <is>
          <t>风险管理和内部控制</t>
        </is>
      </c>
      <c r="G272" t="inlineStr">
        <is>
          <t>S2职能系统－财经线/风险管理和内部控制</t>
        </is>
      </c>
      <c r="H272" s="188" t="n">
        <v>41742</v>
      </c>
      <c r="I272" t="inlineStr">
        <is>
          <t>社会招聘</t>
        </is>
      </c>
      <c r="J272" t="inlineStr">
        <is>
          <t>财经类－FN</t>
        </is>
      </c>
      <c r="K272" t="inlineStr">
        <is>
          <t>风险管理</t>
        </is>
      </c>
      <c r="L272" t="inlineStr">
        <is>
          <t>S10</t>
        </is>
      </c>
      <c r="N272" t="inlineStr">
        <is>
          <t>T2</t>
        </is>
      </c>
      <c r="Q272" t="inlineStr">
        <is>
          <t>U,O</t>
        </is>
      </c>
      <c r="U272" t="n">
        <v>43168.4</v>
      </c>
      <c r="V272" t="n">
        <v>0.083333</v>
      </c>
      <c r="W272" t="inlineStr">
        <is>
          <t>CNY</t>
        </is>
      </c>
      <c r="X272" t="n">
        <v>1</v>
      </c>
      <c r="Y272" t="n">
        <v>40893.31</v>
      </c>
      <c r="Z272" t="n">
        <v>0</v>
      </c>
      <c r="AA272" t="n">
        <v>86336.8</v>
      </c>
      <c r="AF272" t="n">
        <v>0</v>
      </c>
      <c r="AG272" t="n">
        <v>149296.8</v>
      </c>
      <c r="AH272" t="n">
        <v>3.65088568276816</v>
      </c>
      <c r="AJ272" t="n">
        <v>3.65088568276816</v>
      </c>
      <c r="AK272" t="n">
        <v>3.65088568276816</v>
      </c>
      <c r="AQ272" t="n">
        <v>149296.8</v>
      </c>
      <c r="AR272" t="n">
        <v>3.65088568276816</v>
      </c>
      <c r="AS272" t="n">
        <v>0.6006348440045863</v>
      </c>
      <c r="BL272" t="n">
        <v>1</v>
      </c>
      <c r="BM272" t="n">
        <v>35710</v>
      </c>
      <c r="BN272" t="n">
        <v>0</v>
      </c>
      <c r="BO272" t="n">
        <v>37630</v>
      </c>
      <c r="BP272" t="inlineStr">
        <is>
          <t>G,G</t>
        </is>
      </c>
      <c r="BQ272" t="inlineStr">
        <is>
          <t>T1#</t>
        </is>
      </c>
      <c r="BS272" t="n">
        <v>5.708485018202184</v>
      </c>
      <c r="BT272" t="n">
        <v>44715</v>
      </c>
      <c r="BV272" t="n">
        <v>6.960655278633436</v>
      </c>
      <c r="BY272" t="n">
        <v>248565</v>
      </c>
      <c r="BZ272" t="n">
        <v>6.960655278633436</v>
      </c>
      <c r="CP272" t="inlineStr">
        <is>
          <t>风险管理和内部控制</t>
        </is>
      </c>
      <c r="CQ272" t="inlineStr">
        <is>
          <t>5,1</t>
        </is>
      </c>
      <c r="CR272" t="n">
        <v>10</v>
      </c>
      <c r="CS272" t="inlineStr">
        <is>
          <t>T2</t>
        </is>
      </c>
      <c r="CT272" t="inlineStr">
        <is>
          <t>N</t>
        </is>
      </c>
    </row>
    <row r="273">
      <c r="A273" t="inlineStr">
        <is>
          <t>mayaSu(苏燕)</t>
        </is>
      </c>
      <c r="C273" t="n">
        <v>30322881</v>
      </c>
      <c r="D273" t="inlineStr">
        <is>
          <t>税务部</t>
        </is>
      </c>
      <c r="E273" t="inlineStr">
        <is>
          <t>印章及文档管理组</t>
        </is>
      </c>
      <c r="G273" t="inlineStr">
        <is>
          <t>S2职能系统－财经线/税务部/印章及文档管理组</t>
        </is>
      </c>
      <c r="H273" s="188" t="n">
        <v>43250</v>
      </c>
      <c r="I273" t="inlineStr">
        <is>
          <t>社会招聘</t>
        </is>
      </c>
      <c r="J273" t="inlineStr">
        <is>
          <t>财经类－FN</t>
        </is>
      </c>
      <c r="K273" t="inlineStr">
        <is>
          <t>税务</t>
        </is>
      </c>
      <c r="L273" t="inlineStr">
        <is>
          <t>S11</t>
        </is>
      </c>
      <c r="N273" t="inlineStr">
        <is>
          <t>T1</t>
        </is>
      </c>
      <c r="Q273" t="inlineStr">
        <is>
          <t>G,G</t>
        </is>
      </c>
      <c r="U273" t="n">
        <v>45643.25</v>
      </c>
      <c r="V273" t="n">
        <v>0.083333</v>
      </c>
      <c r="W273" t="inlineStr">
        <is>
          <t>CNY</t>
        </is>
      </c>
      <c r="X273" t="n">
        <v>1</v>
      </c>
      <c r="Y273" t="n">
        <v>42989.46</v>
      </c>
      <c r="Z273" t="n">
        <v>0</v>
      </c>
      <c r="AA273" t="n">
        <v>91286.5</v>
      </c>
      <c r="AF273" t="n">
        <v>0</v>
      </c>
      <c r="AG273" t="n">
        <v>272536.5</v>
      </c>
      <c r="AH273" t="n">
        <v>6.339612081659086</v>
      </c>
      <c r="AJ273" t="n">
        <v>6.339612081659086</v>
      </c>
      <c r="AK273" t="n">
        <v>4.626168833011627</v>
      </c>
      <c r="AQ273" t="n">
        <v>272536.5</v>
      </c>
      <c r="AR273" t="n">
        <v>6.339612081659086</v>
      </c>
      <c r="AS273" t="n">
        <v>1.045142177822944</v>
      </c>
      <c r="BL273" t="n">
        <v>1</v>
      </c>
      <c r="BM273" t="n">
        <v>39910</v>
      </c>
      <c r="BN273" t="n">
        <v>0</v>
      </c>
      <c r="BO273" t="n">
        <v>43370</v>
      </c>
      <c r="BP273" t="inlineStr">
        <is>
          <t>G,O</t>
        </is>
      </c>
      <c r="BQ273" t="inlineStr">
        <is>
          <t>T1</t>
        </is>
      </c>
      <c r="BS273" t="n">
        <v>4.670007516913055</v>
      </c>
      <c r="BT273" t="n">
        <v>74385</v>
      </c>
      <c r="BV273" t="n">
        <v>6.533826108744676</v>
      </c>
      <c r="BY273" t="n">
        <v>260765</v>
      </c>
      <c r="BZ273" t="n">
        <v>6.533826108744676</v>
      </c>
      <c r="CP273" t="inlineStr">
        <is>
          <t>税务部</t>
        </is>
      </c>
      <c r="CQ273" t="inlineStr">
        <is>
          <t>3,3</t>
        </is>
      </c>
      <c r="CR273" t="n">
        <v>11</v>
      </c>
      <c r="CS273" t="inlineStr">
        <is>
          <t>T1</t>
        </is>
      </c>
      <c r="CT273" t="inlineStr">
        <is>
          <t>N</t>
        </is>
      </c>
    </row>
    <row r="274">
      <c r="A274" t="inlineStr">
        <is>
          <t>gabrielSong(宋力雄)</t>
        </is>
      </c>
      <c r="C274" t="n">
        <v>22929441</v>
      </c>
      <c r="D274" t="inlineStr">
        <is>
          <t>CSIG财务管理</t>
        </is>
      </c>
      <c r="E274" t="inlineStr">
        <is>
          <t>产品财务管理中心</t>
        </is>
      </c>
      <c r="G274" t="inlineStr">
        <is>
          <t>S2职能系统－财经线/CSIG财务管理/产品财务管理中心</t>
        </is>
      </c>
      <c r="H274" s="188" t="n">
        <v>43651</v>
      </c>
      <c r="I274" t="inlineStr">
        <is>
          <t>高校招聘</t>
        </is>
      </c>
      <c r="J274" t="inlineStr">
        <is>
          <t>财经类－FN</t>
        </is>
      </c>
      <c r="K274" t="inlineStr">
        <is>
          <t>财务管理</t>
        </is>
      </c>
      <c r="L274" t="inlineStr">
        <is>
          <t>S12</t>
        </is>
      </c>
      <c r="M274" t="inlineStr">
        <is>
          <t>L1-2</t>
        </is>
      </c>
      <c r="N274" t="inlineStr">
        <is>
          <t>T1</t>
        </is>
      </c>
      <c r="Q274" t="inlineStr">
        <is>
          <t>O,O</t>
        </is>
      </c>
      <c r="U274" t="n">
        <v>73879.7</v>
      </c>
      <c r="V274" t="n">
        <v>0.083333</v>
      </c>
      <c r="W274" t="inlineStr">
        <is>
          <t>CNY</t>
        </is>
      </c>
      <c r="X274" t="n">
        <v>1</v>
      </c>
      <c r="Y274" t="n">
        <v>69898.37</v>
      </c>
      <c r="Z274" t="n">
        <v>0</v>
      </c>
      <c r="AA274" t="n">
        <v>295518.8</v>
      </c>
      <c r="AF274" t="n">
        <v>14230</v>
      </c>
      <c r="AG274" t="n">
        <v>575788.8</v>
      </c>
      <c r="AH274" t="n">
        <v>8.23751397922441</v>
      </c>
      <c r="AJ274" t="n">
        <v>8.441095264453235</v>
      </c>
      <c r="AK274" t="n">
        <v>6.973965201191387</v>
      </c>
      <c r="AQ274" t="n">
        <v>590018.8</v>
      </c>
      <c r="AR274" t="n">
        <v>8.441095264453235</v>
      </c>
      <c r="AS274" t="n">
        <v>1.842714638183579</v>
      </c>
      <c r="BL274" t="n">
        <v>1</v>
      </c>
      <c r="BM274" t="n">
        <v>65390</v>
      </c>
      <c r="BN274" t="n">
        <v>0</v>
      </c>
      <c r="BO274" t="n">
        <v>69330</v>
      </c>
      <c r="BP274" t="inlineStr">
        <is>
          <t>G,G</t>
        </is>
      </c>
      <c r="BQ274" t="inlineStr">
        <is>
          <t>T1</t>
        </is>
      </c>
      <c r="BS274" t="n">
        <v>3.553983789570271</v>
      </c>
      <c r="BT274" t="n">
        <v>87795</v>
      </c>
      <c r="BV274" t="n">
        <v>4.89662027833002</v>
      </c>
      <c r="BY274" t="n">
        <v>320190</v>
      </c>
      <c r="BZ274" t="n">
        <v>4.89662027833002</v>
      </c>
      <c r="CP274" t="inlineStr">
        <is>
          <t>CSIG财务管理</t>
        </is>
      </c>
      <c r="CQ274" t="inlineStr">
        <is>
          <t>5,5</t>
        </is>
      </c>
      <c r="CR274" t="n">
        <v>12</v>
      </c>
      <c r="CS274" t="inlineStr">
        <is>
          <t>T1</t>
        </is>
      </c>
      <c r="CT274" t="inlineStr">
        <is>
          <t>N</t>
        </is>
      </c>
    </row>
    <row r="275">
      <c r="A275" t="inlineStr">
        <is>
          <t>larryLu(陆健德)</t>
        </is>
      </c>
      <c r="C275" t="n">
        <v>53319774</v>
      </c>
      <c r="D275" t="inlineStr">
        <is>
          <t>预算及职能系统财务管理部</t>
        </is>
      </c>
      <c r="E275" t="inlineStr">
        <is>
          <t>预算管理中心</t>
        </is>
      </c>
      <c r="G275" t="inlineStr">
        <is>
          <t>S2职能系统－财经线/预算及职能系统财务管理部/预算管理中心</t>
        </is>
      </c>
      <c r="H275" s="188" t="n">
        <v>38907</v>
      </c>
      <c r="I275" t="inlineStr">
        <is>
          <t>高校招聘</t>
        </is>
      </c>
      <c r="J275" t="inlineStr">
        <is>
          <t>财经类－FN</t>
        </is>
      </c>
      <c r="K275" t="inlineStr">
        <is>
          <t>预算管理</t>
        </is>
      </c>
      <c r="L275" t="inlineStr">
        <is>
          <t>S7</t>
        </is>
      </c>
      <c r="N275" t="inlineStr">
        <is>
          <t>T2</t>
        </is>
      </c>
      <c r="Q275" t="inlineStr">
        <is>
          <t>G,O</t>
        </is>
      </c>
      <c r="U275" t="n">
        <v>25126.35</v>
      </c>
      <c r="V275" t="n">
        <v>0.083333</v>
      </c>
      <c r="W275" t="inlineStr">
        <is>
          <t>CNY</t>
        </is>
      </c>
      <c r="X275" t="n">
        <v>1</v>
      </c>
      <c r="Y275" t="n">
        <v>23952.97</v>
      </c>
      <c r="Z275" t="n">
        <v>0</v>
      </c>
      <c r="AA275" t="n">
        <v>75379.05</v>
      </c>
      <c r="AF275" t="n">
        <v>0</v>
      </c>
      <c r="AG275" t="n">
        <v>112764.05</v>
      </c>
      <c r="AH275" t="n">
        <v>4.707727267224064</v>
      </c>
      <c r="AJ275" t="n">
        <v>4.707727267224064</v>
      </c>
      <c r="AK275" t="n">
        <v>4.707727267224064</v>
      </c>
      <c r="AQ275" t="n">
        <v>112764.05</v>
      </c>
      <c r="AR275" t="n">
        <v>4.707727267224064</v>
      </c>
      <c r="AS275" t="n">
        <v>1.574147413973616</v>
      </c>
      <c r="BL275" t="n">
        <v>1</v>
      </c>
      <c r="BM275" t="n">
        <v>20100</v>
      </c>
      <c r="BN275" t="n">
        <v>0</v>
      </c>
      <c r="BO275" t="n">
        <v>20575</v>
      </c>
      <c r="BP275" t="inlineStr">
        <is>
          <t>G,G</t>
        </is>
      </c>
      <c r="BQ275" t="inlineStr">
        <is>
          <t>T2</t>
        </is>
      </c>
      <c r="BS275" t="n">
        <v>3.563930348258706</v>
      </c>
      <c r="BT275" t="n">
        <v>0</v>
      </c>
      <c r="BV275" t="n">
        <v>3.563930348258706</v>
      </c>
      <c r="BY275" t="n">
        <v>71635</v>
      </c>
      <c r="BZ275" t="n">
        <v>3.563930348258706</v>
      </c>
      <c r="CP275" t="inlineStr">
        <is>
          <t>预算及职能系统财务管理部</t>
        </is>
      </c>
      <c r="CQ275" t="inlineStr">
        <is>
          <t>5,3</t>
        </is>
      </c>
      <c r="CR275" t="n">
        <v>7</v>
      </c>
      <c r="CS275" t="inlineStr">
        <is>
          <t>T2</t>
        </is>
      </c>
      <c r="CT275" t="inlineStr">
        <is>
          <t>N</t>
        </is>
      </c>
    </row>
    <row r="276">
      <c r="A276" t="inlineStr">
        <is>
          <t>charlesXue(薛刚德)</t>
        </is>
      </c>
      <c r="C276" t="n">
        <v>77832544</v>
      </c>
      <c r="D276" t="inlineStr">
        <is>
          <t>财经IT管理部</t>
        </is>
      </c>
      <c r="E276" t="inlineStr">
        <is>
          <t>业务开发中心</t>
        </is>
      </c>
      <c r="G276" t="inlineStr">
        <is>
          <t>S2职能系统－财经线/财经IT管理部/业务开发中心</t>
        </is>
      </c>
      <c r="H276" s="188" t="n">
        <v>43838</v>
      </c>
      <c r="I276" t="inlineStr">
        <is>
          <t>社会招聘</t>
        </is>
      </c>
      <c r="J276" t="inlineStr">
        <is>
          <t>技术研发类－TRD</t>
        </is>
      </c>
      <c r="K276" t="inlineStr">
        <is>
          <t>应用开发</t>
        </is>
      </c>
      <c r="L276" t="inlineStr">
        <is>
          <t>T8</t>
        </is>
      </c>
      <c r="N276" t="inlineStr">
        <is>
          <t>T2</t>
        </is>
      </c>
      <c r="Q276" t="inlineStr">
        <is>
          <t>G,G</t>
        </is>
      </c>
      <c r="U276" t="n">
        <v>33804.2</v>
      </c>
      <c r="V276" t="n">
        <v>0.083333</v>
      </c>
      <c r="W276" t="inlineStr">
        <is>
          <t>CNY</t>
        </is>
      </c>
      <c r="X276" t="n">
        <v>1</v>
      </c>
      <c r="Y276" t="n">
        <v>31666.24</v>
      </c>
      <c r="Z276" t="n">
        <v>0</v>
      </c>
      <c r="AA276" t="n">
        <v>67608.39999999999</v>
      </c>
      <c r="AF276" t="n">
        <v>0</v>
      </c>
      <c r="AG276" t="n">
        <v>104848.4</v>
      </c>
      <c r="AH276" t="n">
        <v>3.311046717261032</v>
      </c>
      <c r="AJ276" t="n">
        <v>3.311046717261032</v>
      </c>
      <c r="AK276" t="n">
        <v>3.311046717261032</v>
      </c>
      <c r="AQ276" t="n">
        <v>104848.4</v>
      </c>
      <c r="AR276" t="n">
        <v>3.311046717261032</v>
      </c>
      <c r="AS276" t="n">
        <v>1.373170060899745</v>
      </c>
      <c r="BL276" t="n">
        <v>1</v>
      </c>
      <c r="BM276" t="n">
        <v>29270</v>
      </c>
      <c r="BN276" t="n">
        <v>0</v>
      </c>
      <c r="BO276" t="n">
        <v>31105</v>
      </c>
      <c r="BP276" t="inlineStr">
        <is>
          <t>G,U</t>
        </is>
      </c>
      <c r="BQ276" t="inlineStr">
        <is>
          <t>T2</t>
        </is>
      </c>
      <c r="BS276" t="n">
        <v>2.608643662453023</v>
      </c>
      <c r="BT276" t="n">
        <v>0</v>
      </c>
      <c r="BV276" t="n">
        <v>2.608643662453023</v>
      </c>
      <c r="BY276" t="n">
        <v>76355</v>
      </c>
      <c r="BZ276" t="n">
        <v>2.608643662453023</v>
      </c>
      <c r="CP276" t="inlineStr">
        <is>
          <t>财经IT管理部</t>
        </is>
      </c>
      <c r="CQ276" t="inlineStr">
        <is>
          <t>3,3</t>
        </is>
      </c>
      <c r="CR276" t="n">
        <v>8</v>
      </c>
      <c r="CS276" t="inlineStr">
        <is>
          <t>T2</t>
        </is>
      </c>
      <c r="CT276" t="inlineStr">
        <is>
          <t>N</t>
        </is>
      </c>
    </row>
    <row r="277">
      <c r="A277" t="inlineStr">
        <is>
          <t>oscarLong(龙天)</t>
        </is>
      </c>
      <c r="C277" t="n">
        <v>44933062</v>
      </c>
      <c r="D277" t="inlineStr">
        <is>
          <t>税务部</t>
        </is>
      </c>
      <c r="E277" t="inlineStr">
        <is>
          <t>BG税务组</t>
        </is>
      </c>
      <c r="G277" t="inlineStr">
        <is>
          <t>S2职能系统－财经线/税务部/BG税务组</t>
        </is>
      </c>
      <c r="H277" s="188" t="n">
        <v>44500</v>
      </c>
      <c r="I277" t="inlineStr">
        <is>
          <t>社会招聘</t>
        </is>
      </c>
      <c r="J277" t="inlineStr">
        <is>
          <t>财经类－FN</t>
        </is>
      </c>
      <c r="K277" t="inlineStr">
        <is>
          <t>税务</t>
        </is>
      </c>
      <c r="M277" t="inlineStr">
        <is>
          <t>L2-1</t>
        </is>
      </c>
      <c r="N277" t="inlineStr">
        <is>
          <t>T1</t>
        </is>
      </c>
      <c r="Q277" t="inlineStr">
        <is>
          <t>G,U</t>
        </is>
      </c>
      <c r="U277" t="n">
        <v>74975.14999999999</v>
      </c>
      <c r="V277" t="n">
        <v>0.083333</v>
      </c>
      <c r="W277" t="inlineStr">
        <is>
          <t>CNY</t>
        </is>
      </c>
      <c r="X277" t="n">
        <v>1</v>
      </c>
      <c r="Y277" t="n">
        <v>67684.63</v>
      </c>
      <c r="Z277" t="n">
        <v>0</v>
      </c>
      <c r="AA277" t="n">
        <v>74975.14999999999</v>
      </c>
      <c r="AF277" t="n">
        <v>52980</v>
      </c>
      <c r="AG277" t="n">
        <v>226510.15</v>
      </c>
      <c r="AH277" t="n">
        <v>3.346552237930531</v>
      </c>
      <c r="AJ277" t="n">
        <v>4.129300108458892</v>
      </c>
      <c r="AK277" t="n">
        <v>4.129300108458892</v>
      </c>
      <c r="AQ277" t="n">
        <v>279490.15</v>
      </c>
      <c r="AR277" t="n">
        <v>4.129300108458892</v>
      </c>
      <c r="AS277" t="n">
        <v>2.851212955878603</v>
      </c>
      <c r="BL277" t="n">
        <v>1</v>
      </c>
      <c r="BM277" t="n">
        <v>60590</v>
      </c>
      <c r="BN277" t="n">
        <v>0</v>
      </c>
      <c r="BO277" t="n">
        <v>65850</v>
      </c>
      <c r="BP277" t="inlineStr">
        <is>
          <t>U,U</t>
        </is>
      </c>
      <c r="BQ277" t="inlineStr">
        <is>
          <t>T1</t>
        </is>
      </c>
      <c r="BS277" t="n">
        <v>1.6178412279254</v>
      </c>
      <c r="BT277" t="n">
        <v>0</v>
      </c>
      <c r="BV277" t="n">
        <v>1.6178412279254</v>
      </c>
      <c r="BY277" t="n">
        <v>98025</v>
      </c>
      <c r="BZ277" t="n">
        <v>1.6178412279254</v>
      </c>
      <c r="CP277" t="inlineStr">
        <is>
          <t>税务部</t>
        </is>
      </c>
      <c r="CQ277" t="inlineStr">
        <is>
          <t>3,1</t>
        </is>
      </c>
      <c r="CR277" t="inlineStr">
        <is>
          <t>L2-1</t>
        </is>
      </c>
      <c r="CS277" t="inlineStr">
        <is>
          <t>T1</t>
        </is>
      </c>
      <c r="CT277" t="inlineStr">
        <is>
          <t>N</t>
        </is>
      </c>
    </row>
    <row r="278">
      <c r="A278" t="inlineStr">
        <is>
          <t>emilyYe(叶嘉)</t>
        </is>
      </c>
      <c r="C278" t="n">
        <v>22487368</v>
      </c>
      <c r="D278" t="inlineStr">
        <is>
          <t>应收账款管理中心</t>
        </is>
      </c>
      <c r="E278" t="inlineStr">
        <is>
          <t>应收管理2组</t>
        </is>
      </c>
      <c r="G278" t="inlineStr">
        <is>
          <t>S2职能系统－财经线/应收账款管理中心/应收管理2组</t>
        </is>
      </c>
      <c r="H278" s="188" t="n">
        <v>45240</v>
      </c>
      <c r="I278" t="inlineStr">
        <is>
          <t>高校招聘</t>
        </is>
      </c>
      <c r="J278" t="inlineStr">
        <is>
          <t>财经类－FN</t>
        </is>
      </c>
      <c r="K278" t="inlineStr">
        <is>
          <t>会计</t>
        </is>
      </c>
      <c r="L278" t="inlineStr">
        <is>
          <t>S7</t>
        </is>
      </c>
      <c r="N278" t="inlineStr">
        <is>
          <t>T1</t>
        </is>
      </c>
      <c r="Q278" t="inlineStr">
        <is>
          <t>O,O</t>
        </is>
      </c>
      <c r="U278" t="n">
        <v>26291.55</v>
      </c>
      <c r="V278" t="n">
        <v>0.083333</v>
      </c>
      <c r="W278" t="inlineStr">
        <is>
          <t>CNY</t>
        </is>
      </c>
      <c r="X278" t="n">
        <v>1</v>
      </c>
      <c r="Y278" t="n">
        <v>25961.41</v>
      </c>
      <c r="Z278" t="n">
        <v>0</v>
      </c>
      <c r="AA278" t="n">
        <v>105166.2</v>
      </c>
      <c r="AF278" t="n">
        <v>0</v>
      </c>
      <c r="AG278" t="n">
        <v>209996.2</v>
      </c>
      <c r="AH278" t="n">
        <v>8.088782543012879</v>
      </c>
      <c r="AJ278" t="n">
        <v>8.088782543012879</v>
      </c>
      <c r="AK278" t="n">
        <v>6.448655908904795</v>
      </c>
      <c r="AQ278" t="n">
        <v>209996.2</v>
      </c>
      <c r="AR278" t="n">
        <v>8.088782543012879</v>
      </c>
      <c r="AS278" t="n">
        <v>65.1151007751938</v>
      </c>
      <c r="BL278" t="n">
        <v>0.13972602739726</v>
      </c>
      <c r="BM278" t="n">
        <v>23110</v>
      </c>
      <c r="BN278" t="n">
        <v>0</v>
      </c>
      <c r="BO278" t="n">
        <v>23110</v>
      </c>
      <c r="BP278" t="inlineStr">
        <is>
          <t>N,N</t>
        </is>
      </c>
      <c r="BQ278" t="inlineStr">
        <is>
          <t>T1</t>
        </is>
      </c>
      <c r="BS278" t="n">
        <v>0.1395499783643444</v>
      </c>
      <c r="BT278" t="n">
        <v>0</v>
      </c>
      <c r="BV278" t="n">
        <v>0.1395499783643444</v>
      </c>
      <c r="BY278" t="n">
        <v>3225</v>
      </c>
      <c r="BZ278" t="n">
        <v>0.1395499783643444</v>
      </c>
      <c r="CP278" t="inlineStr">
        <is>
          <t>应收账款管理中心</t>
        </is>
      </c>
      <c r="CQ278" t="inlineStr">
        <is>
          <t>5,5</t>
        </is>
      </c>
      <c r="CR278" t="n">
        <v>7</v>
      </c>
      <c r="CS278" t="inlineStr">
        <is>
          <t>T1</t>
        </is>
      </c>
      <c r="CT278" t="inlineStr">
        <is>
          <t>N</t>
        </is>
      </c>
    </row>
    <row r="279">
      <c r="A279" t="inlineStr">
        <is>
          <t>jasonDu(杜志)</t>
        </is>
      </c>
      <c r="C279" t="n">
        <v>55203629</v>
      </c>
      <c r="D279" t="inlineStr">
        <is>
          <t>应收账款管理中心</t>
        </is>
      </c>
      <c r="E279" t="inlineStr">
        <is>
          <t>应收管理1组</t>
        </is>
      </c>
      <c r="G279" t="inlineStr">
        <is>
          <t>S2职能系统－财经线/应收账款管理中心/应收管理1组</t>
        </is>
      </c>
      <c r="H279" s="188" t="n">
        <v>36929</v>
      </c>
      <c r="I279" t="inlineStr">
        <is>
          <t>社会招聘</t>
        </is>
      </c>
      <c r="J279" t="inlineStr">
        <is>
          <t>财经类－FN</t>
        </is>
      </c>
      <c r="K279" t="inlineStr">
        <is>
          <t>会计</t>
        </is>
      </c>
      <c r="L279" t="inlineStr">
        <is>
          <t>S8</t>
        </is>
      </c>
      <c r="N279" t="inlineStr">
        <is>
          <t>T1</t>
        </is>
      </c>
      <c r="Q279" t="inlineStr">
        <is>
          <t>U,G</t>
        </is>
      </c>
      <c r="U279" t="n">
        <v>51446</v>
      </c>
      <c r="V279" t="n">
        <v>0.083333</v>
      </c>
      <c r="W279" t="inlineStr">
        <is>
          <t>CNY</t>
        </is>
      </c>
      <c r="X279" t="n">
        <v>1</v>
      </c>
      <c r="Y279" t="n">
        <v>47752.39</v>
      </c>
      <c r="Z279" t="n">
        <v>0</v>
      </c>
      <c r="AA279" t="n">
        <v>51446</v>
      </c>
      <c r="AF279" t="n">
        <v>0</v>
      </c>
      <c r="AG279" t="n">
        <v>170786</v>
      </c>
      <c r="AH279" t="n">
        <v>3.576491145259955</v>
      </c>
      <c r="AJ279" t="n">
        <v>3.576491145259955</v>
      </c>
      <c r="AK279" t="n">
        <v>3.576491145259955</v>
      </c>
      <c r="AQ279" t="n">
        <v>170786</v>
      </c>
      <c r="AR279" t="n">
        <v>3.576491145259955</v>
      </c>
      <c r="AS279" t="n">
        <v>0.4267996151491297</v>
      </c>
      <c r="BL279" t="n">
        <v>1</v>
      </c>
      <c r="BM279" t="n">
        <v>45175</v>
      </c>
      <c r="BN279" t="n">
        <v>0</v>
      </c>
      <c r="BO279" t="n">
        <v>49335</v>
      </c>
      <c r="BP279" t="inlineStr">
        <is>
          <t>O,G</t>
        </is>
      </c>
      <c r="BQ279" t="inlineStr">
        <is>
          <t>T1#</t>
        </is>
      </c>
      <c r="BS279" t="n">
        <v>6.801217487548422</v>
      </c>
      <c r="BT279" t="n">
        <v>92910</v>
      </c>
      <c r="BV279" t="n">
        <v>8.857885998893194</v>
      </c>
      <c r="BY279" t="n">
        <v>400155</v>
      </c>
      <c r="BZ279" t="n">
        <v>8.857885998893194</v>
      </c>
      <c r="CP279" t="inlineStr">
        <is>
          <t>应收账款管理中心</t>
        </is>
      </c>
      <c r="CQ279" t="inlineStr">
        <is>
          <t>3,1</t>
        </is>
      </c>
      <c r="CR279" t="n">
        <v>8</v>
      </c>
      <c r="CS279" t="inlineStr">
        <is>
          <t>T1</t>
        </is>
      </c>
      <c r="CT279" t="inlineStr">
        <is>
          <t>N</t>
        </is>
      </c>
    </row>
    <row r="280">
      <c r="A280" t="inlineStr">
        <is>
          <t>randyRen(任韬文)</t>
        </is>
      </c>
      <c r="C280" t="n">
        <v>6958411</v>
      </c>
      <c r="D280" t="inlineStr">
        <is>
          <t>CFO办公室</t>
        </is>
      </c>
      <c r="E280" t="inlineStr">
        <is>
          <t>CFO办公室</t>
        </is>
      </c>
      <c r="G280" t="inlineStr">
        <is>
          <t>S2职能系统－财经线/CFO办公室</t>
        </is>
      </c>
      <c r="H280" s="188" t="n">
        <v>36410</v>
      </c>
      <c r="I280" t="inlineStr">
        <is>
          <t>社会招聘</t>
        </is>
      </c>
      <c r="J280" t="inlineStr">
        <is>
          <t>财经类－FN</t>
        </is>
      </c>
      <c r="K280" t="inlineStr">
        <is>
          <t>投资者关系</t>
        </is>
      </c>
      <c r="L280" t="inlineStr">
        <is>
          <t>S8</t>
        </is>
      </c>
      <c r="N280" t="inlineStr">
        <is>
          <t>T2</t>
        </is>
      </c>
      <c r="Q280" t="inlineStr">
        <is>
          <t>G,U</t>
        </is>
      </c>
      <c r="U280" t="n">
        <v>39393.9</v>
      </c>
      <c r="V280" t="n">
        <v>0.083333</v>
      </c>
      <c r="W280" t="inlineStr">
        <is>
          <t>CNY</t>
        </is>
      </c>
      <c r="X280" t="n">
        <v>1</v>
      </c>
      <c r="Y280" t="n">
        <v>37656.41</v>
      </c>
      <c r="Z280" t="n">
        <v>0</v>
      </c>
      <c r="AA280" t="n">
        <v>39393.9</v>
      </c>
      <c r="AF280" t="n">
        <v>0</v>
      </c>
      <c r="AG280" t="n">
        <v>91653.89999999999</v>
      </c>
      <c r="AH280" t="n">
        <v>2.433952147854774</v>
      </c>
      <c r="AJ280" t="n">
        <v>2.433952147854774</v>
      </c>
      <c r="AK280" t="n">
        <v>2.433952147854774</v>
      </c>
      <c r="AQ280" t="n">
        <v>91653.89999999999</v>
      </c>
      <c r="AR280" t="n">
        <v>2.433952147854774</v>
      </c>
      <c r="AS280" t="n">
        <v>0.403042589213078</v>
      </c>
      <c r="BL280" t="n">
        <v>1</v>
      </c>
      <c r="BM280" t="n">
        <v>33250</v>
      </c>
      <c r="BN280" t="n">
        <v>0</v>
      </c>
      <c r="BO280" t="n">
        <v>34980</v>
      </c>
      <c r="BP280" t="inlineStr">
        <is>
          <t>G,G</t>
        </is>
      </c>
      <c r="BQ280" t="inlineStr">
        <is>
          <t>T1#</t>
        </is>
      </c>
      <c r="BS280" t="n">
        <v>5.541654135338346</v>
      </c>
      <c r="BT280" t="n">
        <v>43145</v>
      </c>
      <c r="BV280" t="n">
        <v>6.839248120300752</v>
      </c>
      <c r="BY280" t="n">
        <v>227405</v>
      </c>
      <c r="BZ280" t="n">
        <v>6.839248120300752</v>
      </c>
      <c r="CP280" t="inlineStr">
        <is>
          <t>CFO办公室</t>
        </is>
      </c>
      <c r="CQ280" t="inlineStr">
        <is>
          <t>3,1</t>
        </is>
      </c>
      <c r="CR280" t="n">
        <v>8</v>
      </c>
      <c r="CS280" t="inlineStr">
        <is>
          <t>T2</t>
        </is>
      </c>
      <c r="CT280" t="inlineStr">
        <is>
          <t>N</t>
        </is>
      </c>
    </row>
    <row r="281">
      <c r="A281" t="inlineStr">
        <is>
          <t>hazelYin(尹荷)</t>
        </is>
      </c>
      <c r="C281" t="n">
        <v>1881330</v>
      </c>
      <c r="D281" t="inlineStr">
        <is>
          <t>预算及职能系统财务管理部</t>
        </is>
      </c>
      <c r="E281" t="inlineStr">
        <is>
          <t>预算管理中心</t>
        </is>
      </c>
      <c r="G281" t="inlineStr">
        <is>
          <t>S2职能系统－财经线/预算及职能系统财务管理部/预算管理中心</t>
        </is>
      </c>
      <c r="H281" s="188" t="n">
        <v>38353</v>
      </c>
      <c r="I281" t="inlineStr">
        <is>
          <t>社会招聘</t>
        </is>
      </c>
      <c r="J281" t="inlineStr">
        <is>
          <t>财经类－FN</t>
        </is>
      </c>
      <c r="K281" t="inlineStr">
        <is>
          <t>预算管理</t>
        </is>
      </c>
      <c r="L281" t="inlineStr">
        <is>
          <t>S8</t>
        </is>
      </c>
      <c r="N281" t="inlineStr">
        <is>
          <t>Others</t>
        </is>
      </c>
      <c r="Q281" t="inlineStr">
        <is>
          <t>G,G</t>
        </is>
      </c>
      <c r="U281" t="n">
        <v>33411.95</v>
      </c>
      <c r="V281" t="n">
        <v>0.083333</v>
      </c>
      <c r="W281" t="inlineStr">
        <is>
          <t>CNY</t>
        </is>
      </c>
      <c r="X281" t="n">
        <v>1</v>
      </c>
      <c r="Y281" t="n">
        <v>33063.62</v>
      </c>
      <c r="Z281" t="n">
        <v>0</v>
      </c>
      <c r="AA281" t="n">
        <v>66823.89999999999</v>
      </c>
      <c r="AF281" t="n">
        <v>0</v>
      </c>
      <c r="AG281" t="n">
        <v>96968.89999999999</v>
      </c>
      <c r="AH281" t="n">
        <v>2.932797437183224</v>
      </c>
      <c r="AJ281" t="n">
        <v>2.932797437183224</v>
      </c>
      <c r="AK281" t="n">
        <v>2.932797437183224</v>
      </c>
      <c r="AQ281" t="n">
        <v>96968.89999999999</v>
      </c>
      <c r="AR281" t="n">
        <v>2.932797437183224</v>
      </c>
      <c r="AS281" t="n">
        <v>0.9272222222222222</v>
      </c>
      <c r="BL281" t="n">
        <v>1</v>
      </c>
      <c r="BM281" t="n">
        <v>29975</v>
      </c>
      <c r="BN281" t="n">
        <v>0</v>
      </c>
      <c r="BO281" t="n">
        <v>30870</v>
      </c>
      <c r="BP281" t="inlineStr">
        <is>
          <t>G,G</t>
        </is>
      </c>
      <c r="BQ281" t="inlineStr">
        <is>
          <t>Others</t>
        </is>
      </c>
      <c r="BS281" t="n">
        <v>3.488907422852377</v>
      </c>
      <c r="BT281" t="n">
        <v>0</v>
      </c>
      <c r="BV281" t="n">
        <v>3.488907422852377</v>
      </c>
      <c r="BY281" t="n">
        <v>104580</v>
      </c>
      <c r="BZ281" t="n">
        <v>3.488907422852377</v>
      </c>
      <c r="CP281" t="inlineStr">
        <is>
          <t>预算及职能系统财务管理部</t>
        </is>
      </c>
      <c r="CQ281" t="inlineStr">
        <is>
          <t>3,3</t>
        </is>
      </c>
      <c r="CR281" t="n">
        <v>8</v>
      </c>
      <c r="CS281" t="inlineStr">
        <is>
          <t>Others</t>
        </is>
      </c>
      <c r="CT281" t="inlineStr">
        <is>
          <t>N</t>
        </is>
      </c>
    </row>
    <row r="282">
      <c r="A282" t="inlineStr">
        <is>
          <t>ashleyZheng(郑曦青)</t>
        </is>
      </c>
      <c r="C282" t="n">
        <v>94006156</v>
      </c>
      <c r="D282" t="inlineStr">
        <is>
          <t>税务部</t>
        </is>
      </c>
      <c r="E282" t="inlineStr">
        <is>
          <t>国内主体税务中心</t>
        </is>
      </c>
      <c r="G282" t="inlineStr">
        <is>
          <t>S2职能系统－财经线/税务部/国内主体税务中心</t>
        </is>
      </c>
      <c r="H282" s="188" t="n">
        <v>36647</v>
      </c>
      <c r="I282" t="inlineStr">
        <is>
          <t>高校招聘</t>
        </is>
      </c>
      <c r="J282" t="inlineStr">
        <is>
          <t>财经类－FN</t>
        </is>
      </c>
      <c r="K282" t="inlineStr">
        <is>
          <t>税务</t>
        </is>
      </c>
      <c r="L282" t="inlineStr">
        <is>
          <t>S10</t>
        </is>
      </c>
      <c r="N282" t="inlineStr">
        <is>
          <t>T1</t>
        </is>
      </c>
      <c r="Q282" t="inlineStr">
        <is>
          <t>G,G</t>
        </is>
      </c>
      <c r="U282" t="n">
        <v>45956.5</v>
      </c>
      <c r="V282" t="n">
        <v>0.083333</v>
      </c>
      <c r="W282" t="inlineStr">
        <is>
          <t>CNY</t>
        </is>
      </c>
      <c r="X282" t="n">
        <v>1</v>
      </c>
      <c r="Y282" t="n">
        <v>44786.15</v>
      </c>
      <c r="Z282" t="n">
        <v>0</v>
      </c>
      <c r="AA282" t="n">
        <v>91913</v>
      </c>
      <c r="AF282" t="n">
        <v>0</v>
      </c>
      <c r="AG282" t="n">
        <v>248883</v>
      </c>
      <c r="AH282" t="n">
        <v>5.557142107548874</v>
      </c>
      <c r="AJ282" t="n">
        <v>5.557142107548874</v>
      </c>
      <c r="AK282" t="n">
        <v>4.149117528521653</v>
      </c>
      <c r="AQ282" t="n">
        <v>248883</v>
      </c>
      <c r="AR282" t="n">
        <v>5.557142107548874</v>
      </c>
      <c r="AS282" t="n">
        <v>1.086042807584055</v>
      </c>
      <c r="BL282" t="n">
        <v>1</v>
      </c>
      <c r="BM282" t="n">
        <v>38100</v>
      </c>
      <c r="BN282" t="n">
        <v>0</v>
      </c>
      <c r="BO282" t="n">
        <v>38165</v>
      </c>
      <c r="BP282" t="inlineStr">
        <is>
          <t>G,O</t>
        </is>
      </c>
      <c r="BQ282" t="inlineStr">
        <is>
          <t>T1</t>
        </is>
      </c>
      <c r="BS282" t="n">
        <v>4.3750656167979</v>
      </c>
      <c r="BT282" t="n">
        <v>62475</v>
      </c>
      <c r="BV282" t="n">
        <v>6.014829396325459</v>
      </c>
      <c r="BY282" t="n">
        <v>229165</v>
      </c>
      <c r="BZ282" t="n">
        <v>6.014829396325459</v>
      </c>
      <c r="CP282" t="inlineStr">
        <is>
          <t>税务部</t>
        </is>
      </c>
      <c r="CQ282" t="inlineStr">
        <is>
          <t>3,3</t>
        </is>
      </c>
      <c r="CR282" t="n">
        <v>10</v>
      </c>
      <c r="CS282" t="inlineStr">
        <is>
          <t>T1</t>
        </is>
      </c>
      <c r="CT282" t="inlineStr">
        <is>
          <t>N</t>
        </is>
      </c>
    </row>
    <row r="283">
      <c r="A283" t="inlineStr">
        <is>
          <t>lindaMa(马佳)</t>
        </is>
      </c>
      <c r="C283" t="n">
        <v>70983968</v>
      </c>
      <c r="D283" t="inlineStr">
        <is>
          <t>WXG财务管理</t>
        </is>
      </c>
      <c r="E283" t="inlineStr">
        <is>
          <t>微信支付财务管理中心</t>
        </is>
      </c>
      <c r="G283" t="inlineStr">
        <is>
          <t>S2职能系统－财经线/WXG财务管理/微信支付财务管理中心</t>
        </is>
      </c>
      <c r="H283" s="188" t="n">
        <v>42348</v>
      </c>
      <c r="I283" t="inlineStr">
        <is>
          <t>社会招聘</t>
        </is>
      </c>
      <c r="J283" t="inlineStr">
        <is>
          <t>财经类－FN</t>
        </is>
      </c>
      <c r="K283" t="inlineStr">
        <is>
          <t>财务管理</t>
        </is>
      </c>
      <c r="L283" t="inlineStr">
        <is>
          <t>S9</t>
        </is>
      </c>
      <c r="N283" t="inlineStr">
        <is>
          <t>T2</t>
        </is>
      </c>
      <c r="Q283" t="inlineStr">
        <is>
          <t>U,G</t>
        </is>
      </c>
      <c r="U283" t="n">
        <v>43339.2</v>
      </c>
      <c r="V283" t="n">
        <v>0.083333</v>
      </c>
      <c r="W283" t="inlineStr">
        <is>
          <t>CNY</t>
        </is>
      </c>
      <c r="X283" t="n">
        <v>1</v>
      </c>
      <c r="Y283" t="n">
        <v>40021.51</v>
      </c>
      <c r="Z283" t="n">
        <v>0</v>
      </c>
      <c r="AA283" t="n">
        <v>43339.2</v>
      </c>
      <c r="AF283" t="n">
        <v>0</v>
      </c>
      <c r="AG283" t="n">
        <v>92924.2</v>
      </c>
      <c r="AH283" t="n">
        <v>2.321856421709226</v>
      </c>
      <c r="AJ283" t="n">
        <v>2.321856421709226</v>
      </c>
      <c r="AK283" t="n">
        <v>2.321856421709226</v>
      </c>
      <c r="AQ283" t="n">
        <v>92924.2</v>
      </c>
      <c r="AR283" t="n">
        <v>2.321856421709226</v>
      </c>
      <c r="AS283" t="n">
        <v>1.067419447475734</v>
      </c>
      <c r="BL283" t="n">
        <v>1</v>
      </c>
      <c r="BM283" t="n">
        <v>37335</v>
      </c>
      <c r="BN283" t="n">
        <v>0</v>
      </c>
      <c r="BO283" t="n">
        <v>39020</v>
      </c>
      <c r="BP283" t="inlineStr">
        <is>
          <t>G,U</t>
        </is>
      </c>
      <c r="BQ283" t="inlineStr">
        <is>
          <t>T2</t>
        </is>
      </c>
      <c r="BS283" t="n">
        <v>2.331726262220437</v>
      </c>
      <c r="BT283" t="n">
        <v>0</v>
      </c>
      <c r="BV283" t="n">
        <v>2.331726262220437</v>
      </c>
      <c r="BY283" t="n">
        <v>87055</v>
      </c>
      <c r="BZ283" t="n">
        <v>2.331726262220437</v>
      </c>
      <c r="CP283" t="inlineStr">
        <is>
          <t>WXG财务管理</t>
        </is>
      </c>
      <c r="CQ283" t="inlineStr">
        <is>
          <t>3,1</t>
        </is>
      </c>
      <c r="CR283" t="n">
        <v>9</v>
      </c>
      <c r="CS283" t="inlineStr">
        <is>
          <t>T2</t>
        </is>
      </c>
      <c r="CT283" t="inlineStr">
        <is>
          <t>N</t>
        </is>
      </c>
    </row>
    <row r="284">
      <c r="A284" t="inlineStr">
        <is>
          <t>elizabethYuan(袁婷曼)</t>
        </is>
      </c>
      <c r="C284" t="n">
        <v>26841732</v>
      </c>
      <c r="D284" t="inlineStr">
        <is>
          <t>审计监察</t>
        </is>
      </c>
      <c r="E284" t="inlineStr">
        <is>
          <t>常规审计组</t>
        </is>
      </c>
      <c r="G284" t="inlineStr">
        <is>
          <t>S2职能系统－财经线/审计监察/常规审计组</t>
        </is>
      </c>
      <c r="H284" s="188" t="n">
        <v>38686</v>
      </c>
      <c r="I284" t="inlineStr">
        <is>
          <t>社会招聘</t>
        </is>
      </c>
      <c r="J284" t="inlineStr">
        <is>
          <t>财经类－FN</t>
        </is>
      </c>
      <c r="K284" t="inlineStr">
        <is>
          <t>风险管理</t>
        </is>
      </c>
      <c r="L284" t="inlineStr">
        <is>
          <t>S9</t>
        </is>
      </c>
      <c r="N284" t="inlineStr">
        <is>
          <t>T2</t>
        </is>
      </c>
      <c r="Q284" t="inlineStr">
        <is>
          <t>U,G</t>
        </is>
      </c>
      <c r="U284" t="n">
        <v>47041.35</v>
      </c>
      <c r="V284" t="n">
        <v>0.083333</v>
      </c>
      <c r="W284" t="inlineStr">
        <is>
          <t>CNY</t>
        </is>
      </c>
      <c r="X284" t="n">
        <v>1</v>
      </c>
      <c r="Y284" t="n">
        <v>45755.27</v>
      </c>
      <c r="Z284" t="n">
        <v>0</v>
      </c>
      <c r="AA284" t="n">
        <v>47041.35</v>
      </c>
      <c r="AF284" t="n">
        <v>0</v>
      </c>
      <c r="AG284" t="n">
        <v>104966.35</v>
      </c>
      <c r="AH284" t="n">
        <v>2.294082189876707</v>
      </c>
      <c r="AJ284" t="n">
        <v>2.294082189876707</v>
      </c>
      <c r="AK284" t="n">
        <v>2.294082189876707</v>
      </c>
      <c r="AQ284" t="n">
        <v>104966.35</v>
      </c>
      <c r="AR284" t="n">
        <v>2.294082189876707</v>
      </c>
      <c r="AS284" t="n">
        <v>0.5855699980474743</v>
      </c>
      <c r="BL284" t="n">
        <v>1</v>
      </c>
      <c r="BM284" t="n">
        <v>37905</v>
      </c>
      <c r="BN284" t="n">
        <v>0</v>
      </c>
      <c r="BO284" t="n">
        <v>40645</v>
      </c>
      <c r="BP284" t="inlineStr">
        <is>
          <t>G,G</t>
        </is>
      </c>
      <c r="BQ284" t="inlineStr">
        <is>
          <t>T1</t>
        </is>
      </c>
      <c r="BS284" t="n">
        <v>3.547816910697797</v>
      </c>
      <c r="BT284" t="n">
        <v>44775</v>
      </c>
      <c r="BV284" t="n">
        <v>4.729059490832344</v>
      </c>
      <c r="BY284" t="n">
        <v>179255</v>
      </c>
      <c r="BZ284" t="n">
        <v>4.729059490832344</v>
      </c>
      <c r="CP284" t="inlineStr">
        <is>
          <t>审计监察</t>
        </is>
      </c>
      <c r="CQ284" t="inlineStr">
        <is>
          <t>3,1</t>
        </is>
      </c>
      <c r="CR284" t="n">
        <v>9</v>
      </c>
      <c r="CS284" t="inlineStr">
        <is>
          <t>T2</t>
        </is>
      </c>
      <c r="CT284" t="inlineStr">
        <is>
          <t>N</t>
        </is>
      </c>
    </row>
    <row r="285">
      <c r="A285" t="inlineStr">
        <is>
          <t>dianeShao(邵琳苑)</t>
        </is>
      </c>
      <c r="C285" t="n">
        <v>95874312</v>
      </c>
      <c r="D285" t="inlineStr">
        <is>
          <t>CSIG财务管理</t>
        </is>
      </c>
      <c r="E285" t="inlineStr">
        <is>
          <t>应收账款管理中心</t>
        </is>
      </c>
      <c r="G285" t="inlineStr">
        <is>
          <t>S2职能系统－财经线/CSIG财务管理/应收账款管理中心</t>
        </is>
      </c>
      <c r="H285" s="188" t="n">
        <v>41568</v>
      </c>
      <c r="I285" t="inlineStr">
        <is>
          <t>社会招聘</t>
        </is>
      </c>
      <c r="J285" t="inlineStr">
        <is>
          <t>财经类－FN</t>
        </is>
      </c>
      <c r="K285" t="inlineStr">
        <is>
          <t>财务管理</t>
        </is>
      </c>
      <c r="L285" t="inlineStr">
        <is>
          <t>S9</t>
        </is>
      </c>
      <c r="N285" t="inlineStr">
        <is>
          <t>T1#</t>
        </is>
      </c>
      <c r="Q285" t="inlineStr">
        <is>
          <t>O,G</t>
        </is>
      </c>
      <c r="U285" t="n">
        <v>34497.9</v>
      </c>
      <c r="V285" t="n">
        <v>0.083333</v>
      </c>
      <c r="W285" t="inlineStr">
        <is>
          <t>CNY</t>
        </is>
      </c>
      <c r="X285" t="n">
        <v>1</v>
      </c>
      <c r="Y285" t="n">
        <v>33492.77</v>
      </c>
      <c r="Z285" t="n">
        <v>0</v>
      </c>
      <c r="AA285" t="n">
        <v>103493.7</v>
      </c>
      <c r="AF285" t="n">
        <v>0</v>
      </c>
      <c r="AG285" t="n">
        <v>260818.7</v>
      </c>
      <c r="AH285" t="n">
        <v>7.787313500794352</v>
      </c>
      <c r="AJ285" t="n">
        <v>7.787313500794352</v>
      </c>
      <c r="AK285" t="n">
        <v>6.603475914354054</v>
      </c>
      <c r="AQ285" t="n">
        <v>260818.7</v>
      </c>
      <c r="AR285" t="n">
        <v>7.787313500794352</v>
      </c>
      <c r="AS285" t="n">
        <v>1.257806230709877</v>
      </c>
      <c r="BL285" t="n">
        <v>1</v>
      </c>
      <c r="BM285" t="n">
        <v>29005</v>
      </c>
      <c r="BN285" t="n">
        <v>0</v>
      </c>
      <c r="BO285" t="n">
        <v>31565</v>
      </c>
      <c r="BP285" t="inlineStr">
        <is>
          <t>G,G</t>
        </is>
      </c>
      <c r="BQ285" t="inlineStr">
        <is>
          <t>T1#</t>
        </is>
      </c>
      <c r="BS285" t="n">
        <v>5.738148595069815</v>
      </c>
      <c r="BT285" t="n">
        <v>40925</v>
      </c>
      <c r="BV285" t="n">
        <v>7.149112222030684</v>
      </c>
      <c r="BY285" t="n">
        <v>207360</v>
      </c>
      <c r="BZ285" t="n">
        <v>7.149112222030684</v>
      </c>
      <c r="CP285" t="inlineStr">
        <is>
          <t>CSIG财务管理</t>
        </is>
      </c>
      <c r="CQ285" t="inlineStr">
        <is>
          <t>5,3</t>
        </is>
      </c>
      <c r="CR285" t="n">
        <v>9</v>
      </c>
      <c r="CS285" t="inlineStr">
        <is>
          <t>T1#</t>
        </is>
      </c>
      <c r="CT285" t="inlineStr">
        <is>
          <t>N</t>
        </is>
      </c>
    </row>
    <row r="286">
      <c r="A286" t="inlineStr">
        <is>
          <t>stephenShi(施睿)</t>
        </is>
      </c>
      <c r="C286" t="n">
        <v>45093635</v>
      </c>
      <c r="D286" t="inlineStr">
        <is>
          <t>可持续社会价值事业部财务管理</t>
        </is>
      </c>
      <c r="E286" t="inlineStr">
        <is>
          <t>可持续社会价值事业部财务管理</t>
        </is>
      </c>
      <c r="G286" t="inlineStr">
        <is>
          <t>S2职能系统－财经线/可持续社会价值事业部财务管理</t>
        </is>
      </c>
      <c r="H286" s="188" t="n">
        <v>44270</v>
      </c>
      <c r="I286" t="inlineStr">
        <is>
          <t>高校招聘</t>
        </is>
      </c>
      <c r="J286" t="inlineStr">
        <is>
          <t>财经类－FN</t>
        </is>
      </c>
      <c r="K286" t="inlineStr">
        <is>
          <t>财务管理</t>
        </is>
      </c>
      <c r="L286" t="inlineStr">
        <is>
          <t>S7</t>
        </is>
      </c>
      <c r="N286" t="inlineStr">
        <is>
          <t>T1</t>
        </is>
      </c>
      <c r="Q286" t="inlineStr">
        <is>
          <t>G,U</t>
        </is>
      </c>
      <c r="U286" t="n">
        <v>26026.8</v>
      </c>
      <c r="V286" t="n">
        <v>0.083333</v>
      </c>
      <c r="W286" t="inlineStr">
        <is>
          <t>CNY</t>
        </is>
      </c>
      <c r="X286" t="n">
        <v>1</v>
      </c>
      <c r="Y286" t="n">
        <v>24337.25</v>
      </c>
      <c r="Z286" t="n">
        <v>0</v>
      </c>
      <c r="AA286" t="n">
        <v>26026.8</v>
      </c>
      <c r="AF286" t="n">
        <v>0</v>
      </c>
      <c r="AG286" t="n">
        <v>89621.8</v>
      </c>
      <c r="AH286" t="n">
        <v>3.682494940882803</v>
      </c>
      <c r="AJ286" t="n">
        <v>3.682494940882803</v>
      </c>
      <c r="AK286" t="n">
        <v>3.682494940882803</v>
      </c>
      <c r="AQ286" t="n">
        <v>89621.8</v>
      </c>
      <c r="AR286" t="n">
        <v>3.682494940882803</v>
      </c>
      <c r="AS286" t="n">
        <v>0.9030814187827489</v>
      </c>
      <c r="BL286" t="n">
        <v>1</v>
      </c>
      <c r="BM286" t="n">
        <v>22665</v>
      </c>
      <c r="BN286" t="n">
        <v>0</v>
      </c>
      <c r="BO286" t="n">
        <v>22770</v>
      </c>
      <c r="BP286" t="inlineStr">
        <is>
          <t>G,U</t>
        </is>
      </c>
      <c r="BQ286" t="inlineStr">
        <is>
          <t>T1#</t>
        </is>
      </c>
      <c r="BS286" t="n">
        <v>4.378557246856387</v>
      </c>
      <c r="BT286" t="n">
        <v>0</v>
      </c>
      <c r="BV286" t="n">
        <v>4.378557246856387</v>
      </c>
      <c r="BY286" t="n">
        <v>99240</v>
      </c>
      <c r="BZ286" t="n">
        <v>4.378557246856387</v>
      </c>
      <c r="CP286" t="inlineStr">
        <is>
          <t>可持续社会价值事业部财务管理</t>
        </is>
      </c>
      <c r="CQ286" t="inlineStr">
        <is>
          <t>3,1</t>
        </is>
      </c>
      <c r="CR286" t="n">
        <v>7</v>
      </c>
      <c r="CS286" t="inlineStr">
        <is>
          <t>T1</t>
        </is>
      </c>
      <c r="CT286" t="inlineStr">
        <is>
          <t>N</t>
        </is>
      </c>
    </row>
    <row r="287">
      <c r="A287" t="inlineStr">
        <is>
          <t>benjaminYin(尹嘉文)</t>
        </is>
      </c>
      <c r="C287" t="n">
        <v>47060207</v>
      </c>
      <c r="D287" t="inlineStr">
        <is>
          <t>财会及报告管理部</t>
        </is>
      </c>
      <c r="E287" t="inlineStr">
        <is>
          <t>应收管理中心</t>
        </is>
      </c>
      <c r="G287" t="inlineStr">
        <is>
          <t>S2职能系统－财经线/财会及报告管理部/应收管理中心</t>
        </is>
      </c>
      <c r="H287" s="188" t="n">
        <v>38430</v>
      </c>
      <c r="I287" t="inlineStr">
        <is>
          <t>高校招聘</t>
        </is>
      </c>
      <c r="J287" t="inlineStr">
        <is>
          <t>财经类－FN</t>
        </is>
      </c>
      <c r="K287" t="inlineStr">
        <is>
          <t>会计</t>
        </is>
      </c>
      <c r="L287" t="inlineStr">
        <is>
          <t>S10</t>
        </is>
      </c>
      <c r="N287" t="inlineStr">
        <is>
          <t>T1</t>
        </is>
      </c>
      <c r="Q287" t="inlineStr">
        <is>
          <t>G,O</t>
        </is>
      </c>
      <c r="U287" t="n">
        <v>47788.75</v>
      </c>
      <c r="V287" t="n">
        <v>0.083333</v>
      </c>
      <c r="W287" t="inlineStr">
        <is>
          <t>CNY</t>
        </is>
      </c>
      <c r="X287" t="n">
        <v>1</v>
      </c>
      <c r="Y287" t="n">
        <v>43836.14</v>
      </c>
      <c r="Z287" t="n">
        <v>0</v>
      </c>
      <c r="AA287" t="n">
        <v>143366.25</v>
      </c>
      <c r="AF287" t="n">
        <v>0</v>
      </c>
      <c r="AG287" t="n">
        <v>334516.25</v>
      </c>
      <c r="AH287" t="n">
        <v>7.631060809642455</v>
      </c>
      <c r="AJ287" t="n">
        <v>7.631060809642455</v>
      </c>
      <c r="AK287" t="n">
        <v>5.495950373367728</v>
      </c>
      <c r="AQ287" t="n">
        <v>334516.25</v>
      </c>
      <c r="AR287" t="n">
        <v>7.631060809642455</v>
      </c>
      <c r="AS287" t="n">
        <v>1.654383036597428</v>
      </c>
      <c r="BL287" t="n">
        <v>1</v>
      </c>
      <c r="BM287" t="n">
        <v>41920</v>
      </c>
      <c r="BN287" t="n">
        <v>0</v>
      </c>
      <c r="BO287" t="n">
        <v>45045</v>
      </c>
      <c r="BP287" t="inlineStr">
        <is>
          <t>G,G</t>
        </is>
      </c>
      <c r="BQ287" t="inlineStr">
        <is>
          <t>T1</t>
        </is>
      </c>
      <c r="BS287" t="n">
        <v>3.310472328244275</v>
      </c>
      <c r="BT287" t="n">
        <v>63425</v>
      </c>
      <c r="BV287" t="n">
        <v>4.823473282442748</v>
      </c>
      <c r="BY287" t="n">
        <v>202200</v>
      </c>
      <c r="BZ287" t="n">
        <v>4.823473282442748</v>
      </c>
      <c r="CP287" t="inlineStr">
        <is>
          <t>财会及报告管理部</t>
        </is>
      </c>
      <c r="CQ287" t="inlineStr">
        <is>
          <t>5,3</t>
        </is>
      </c>
      <c r="CR287" t="n">
        <v>10</v>
      </c>
      <c r="CS287" t="inlineStr">
        <is>
          <t>T1</t>
        </is>
      </c>
      <c r="CT287" t="inlineStr">
        <is>
          <t>N</t>
        </is>
      </c>
    </row>
    <row r="288">
      <c r="A288" t="inlineStr">
        <is>
          <t>deborahTang(唐媛)</t>
        </is>
      </c>
      <c r="C288" t="n">
        <v>887088</v>
      </c>
      <c r="D288" t="inlineStr">
        <is>
          <t>资金管理</t>
        </is>
      </c>
      <c r="E288" t="inlineStr">
        <is>
          <t>融资及资金筹划中心</t>
        </is>
      </c>
      <c r="G288" t="inlineStr">
        <is>
          <t>S2职能系统－财经线/资金管理/融资及资金筹划中心</t>
        </is>
      </c>
      <c r="H288" s="188" t="n">
        <v>38942</v>
      </c>
      <c r="I288" t="inlineStr">
        <is>
          <t>社会招聘</t>
        </is>
      </c>
      <c r="J288" t="inlineStr">
        <is>
          <t>财经类－FN</t>
        </is>
      </c>
      <c r="K288" t="inlineStr">
        <is>
          <t>资金管理</t>
        </is>
      </c>
      <c r="L288" t="inlineStr">
        <is>
          <t>S8</t>
        </is>
      </c>
      <c r="N288" t="inlineStr">
        <is>
          <t>T2</t>
        </is>
      </c>
      <c r="Q288" t="inlineStr">
        <is>
          <t>G,G</t>
        </is>
      </c>
      <c r="U288" t="n">
        <v>50595.35</v>
      </c>
      <c r="V288" t="n">
        <v>0.083333</v>
      </c>
      <c r="W288" t="inlineStr">
        <is>
          <t>CNY</t>
        </is>
      </c>
      <c r="X288" t="n">
        <v>1</v>
      </c>
      <c r="Y288" t="n">
        <v>47200.3</v>
      </c>
      <c r="Z288" t="n">
        <v>0</v>
      </c>
      <c r="AA288" t="n">
        <v>101190.7</v>
      </c>
      <c r="AF288" t="n">
        <v>0</v>
      </c>
      <c r="AG288" t="n">
        <v>171435.7</v>
      </c>
      <c r="AH288" t="n">
        <v>3.632089202822864</v>
      </c>
      <c r="AJ288" t="n">
        <v>3.632089202822864</v>
      </c>
      <c r="AK288" t="n">
        <v>3.632089202822864</v>
      </c>
      <c r="AQ288" t="n">
        <v>171435.7</v>
      </c>
      <c r="AR288" t="n">
        <v>3.632089202822864</v>
      </c>
      <c r="AS288" t="n">
        <v>1.839932385296485</v>
      </c>
      <c r="BL288" t="n">
        <v>1</v>
      </c>
      <c r="BM288" t="n">
        <v>41810</v>
      </c>
      <c r="BN288" t="n">
        <v>0</v>
      </c>
      <c r="BO288" t="n">
        <v>43730</v>
      </c>
      <c r="BP288" t="inlineStr">
        <is>
          <t>G,U</t>
        </is>
      </c>
      <c r="BQ288" t="inlineStr">
        <is>
          <t>T2</t>
        </is>
      </c>
      <c r="BS288" t="n">
        <v>2.228533843578091</v>
      </c>
      <c r="BT288" t="n">
        <v>0</v>
      </c>
      <c r="BV288" t="n">
        <v>2.228533843578091</v>
      </c>
      <c r="BY288" t="n">
        <v>93175</v>
      </c>
      <c r="BZ288" t="n">
        <v>2.228533843578091</v>
      </c>
      <c r="CP288" t="inlineStr">
        <is>
          <t>资金管理</t>
        </is>
      </c>
      <c r="CQ288" t="inlineStr">
        <is>
          <t>3,3</t>
        </is>
      </c>
      <c r="CR288" t="n">
        <v>8</v>
      </c>
      <c r="CS288" t="inlineStr">
        <is>
          <t>T2</t>
        </is>
      </c>
      <c r="CT288" t="inlineStr">
        <is>
          <t>N</t>
        </is>
      </c>
    </row>
    <row r="289">
      <c r="A289" t="inlineStr">
        <is>
          <t>sandraFu(傅梅君)</t>
        </is>
      </c>
      <c r="C289" t="n">
        <v>69264987</v>
      </c>
      <c r="D289" t="inlineStr">
        <is>
          <t>财经IT管理部</t>
        </is>
      </c>
      <c r="E289" t="inlineStr">
        <is>
          <t>平台建设中心</t>
        </is>
      </c>
      <c r="G289" t="inlineStr">
        <is>
          <t>S2职能系统－财经线/财经IT管理部/平台建设中心</t>
        </is>
      </c>
      <c r="H289" s="188" t="n">
        <v>37007</v>
      </c>
      <c r="I289" t="inlineStr">
        <is>
          <t>社会招聘</t>
        </is>
      </c>
      <c r="J289" t="inlineStr">
        <is>
          <t>技术研发类－TRD</t>
        </is>
      </c>
      <c r="K289" t="inlineStr">
        <is>
          <t>应用开发</t>
        </is>
      </c>
      <c r="L289" t="inlineStr">
        <is>
          <t>T5</t>
        </is>
      </c>
      <c r="N289" t="inlineStr">
        <is>
          <t>Others</t>
        </is>
      </c>
      <c r="Q289" t="inlineStr">
        <is>
          <t>O,G</t>
        </is>
      </c>
      <c r="U289" t="n">
        <v>19337.55</v>
      </c>
      <c r="V289" t="n">
        <v>0.083333</v>
      </c>
      <c r="W289" t="inlineStr">
        <is>
          <t>CNY</t>
        </is>
      </c>
      <c r="X289" t="n">
        <v>1</v>
      </c>
      <c r="Y289" t="n">
        <v>17751.23</v>
      </c>
      <c r="Z289" t="n">
        <v>0</v>
      </c>
      <c r="AA289" t="n">
        <v>58012.65</v>
      </c>
      <c r="AF289" t="n">
        <v>0</v>
      </c>
      <c r="AG289" t="n">
        <v>69707.64999999999</v>
      </c>
      <c r="AH289" t="n">
        <v>3.926919430371867</v>
      </c>
      <c r="AJ289" t="n">
        <v>3.926919430371867</v>
      </c>
      <c r="AK289" t="n">
        <v>3.926919430371867</v>
      </c>
      <c r="AQ289" t="n">
        <v>69707.64999999999</v>
      </c>
      <c r="AR289" t="n">
        <v>3.926919430371867</v>
      </c>
      <c r="AS289" t="n">
        <v>1.361211677406756</v>
      </c>
      <c r="BL289" t="n">
        <v>1</v>
      </c>
      <c r="BM289" t="n">
        <v>15995</v>
      </c>
      <c r="BN289" t="n">
        <v>0</v>
      </c>
      <c r="BO289" t="n">
        <v>16775</v>
      </c>
      <c r="BP289" t="inlineStr">
        <is>
          <t>G,G</t>
        </is>
      </c>
      <c r="BQ289" t="inlineStr">
        <is>
          <t>Others</t>
        </is>
      </c>
      <c r="BS289" t="n">
        <v>3.201625507971241</v>
      </c>
      <c r="BT289" t="n">
        <v>0</v>
      </c>
      <c r="BV289" t="n">
        <v>3.201625507971241</v>
      </c>
      <c r="BY289" t="n">
        <v>51210</v>
      </c>
      <c r="BZ289" t="n">
        <v>3.201625507971241</v>
      </c>
      <c r="CP289" t="inlineStr">
        <is>
          <t>财经IT管理部</t>
        </is>
      </c>
      <c r="CQ289" t="inlineStr">
        <is>
          <t>5,3</t>
        </is>
      </c>
      <c r="CR289" t="n">
        <v>5</v>
      </c>
      <c r="CS289" t="inlineStr">
        <is>
          <t>Others</t>
        </is>
      </c>
      <c r="CT289" t="inlineStr">
        <is>
          <t>N</t>
        </is>
      </c>
    </row>
    <row r="290">
      <c r="A290" t="inlineStr">
        <is>
          <t>lawrenceXu(许川)</t>
        </is>
      </c>
      <c r="C290" t="n">
        <v>45179636</v>
      </c>
      <c r="D290" t="inlineStr">
        <is>
          <t>CSIG财务管理</t>
        </is>
      </c>
      <c r="E290" t="inlineStr">
        <is>
          <t>投资公司财务管理中心</t>
        </is>
      </c>
      <c r="G290" t="inlineStr">
        <is>
          <t>S2职能系统－财经线/CSIG财务管理/投资公司财务管理中心</t>
        </is>
      </c>
      <c r="H290" s="188" t="n">
        <v>37599</v>
      </c>
      <c r="I290" t="inlineStr">
        <is>
          <t>社会招聘</t>
        </is>
      </c>
      <c r="J290" t="inlineStr">
        <is>
          <t>财经类－FN</t>
        </is>
      </c>
      <c r="K290" t="inlineStr">
        <is>
          <t>财务管理</t>
        </is>
      </c>
      <c r="L290" t="inlineStr">
        <is>
          <t>S11</t>
        </is>
      </c>
      <c r="N290" t="inlineStr">
        <is>
          <t>T2</t>
        </is>
      </c>
      <c r="Q290" t="inlineStr">
        <is>
          <t>G,G</t>
        </is>
      </c>
      <c r="U290" t="n">
        <v>53390.35</v>
      </c>
      <c r="V290" t="n">
        <v>0.083333</v>
      </c>
      <c r="W290" t="inlineStr">
        <is>
          <t>CNY</t>
        </is>
      </c>
      <c r="X290" t="n">
        <v>1</v>
      </c>
      <c r="Y290" t="n">
        <v>49424.47</v>
      </c>
      <c r="Z290" t="n">
        <v>0</v>
      </c>
      <c r="AA290" t="n">
        <v>106780.7</v>
      </c>
      <c r="AF290" t="n">
        <v>0</v>
      </c>
      <c r="AG290" t="n">
        <v>166185.7</v>
      </c>
      <c r="AH290" t="n">
        <v>3.362417442210306</v>
      </c>
      <c r="AJ290" t="n">
        <v>3.362417442210306</v>
      </c>
      <c r="AK290" t="n">
        <v>3.362417442210306</v>
      </c>
      <c r="AQ290" t="n">
        <v>166185.7</v>
      </c>
      <c r="AR290" t="n">
        <v>3.362417442210306</v>
      </c>
      <c r="AS290" t="n">
        <v>0.9895245467266069</v>
      </c>
      <c r="BL290" t="n">
        <v>1</v>
      </c>
      <c r="BM290" t="n">
        <v>46290</v>
      </c>
      <c r="BN290" t="n">
        <v>0</v>
      </c>
      <c r="BO290" t="n">
        <v>50770</v>
      </c>
      <c r="BP290" t="inlineStr">
        <is>
          <t>G,G</t>
        </is>
      </c>
      <c r="BQ290" t="inlineStr">
        <is>
          <t>T2</t>
        </is>
      </c>
      <c r="BS290" t="n">
        <v>3.628105422337438</v>
      </c>
      <c r="BT290" t="n">
        <v>0</v>
      </c>
      <c r="BV290" t="n">
        <v>3.628105422337438</v>
      </c>
      <c r="BY290" t="n">
        <v>167945</v>
      </c>
      <c r="BZ290" t="n">
        <v>3.628105422337438</v>
      </c>
      <c r="CP290" t="inlineStr">
        <is>
          <t>CSIG财务管理</t>
        </is>
      </c>
      <c r="CQ290" t="inlineStr">
        <is>
          <t>3,3</t>
        </is>
      </c>
      <c r="CR290" t="n">
        <v>11</v>
      </c>
      <c r="CS290" t="inlineStr">
        <is>
          <t>T2</t>
        </is>
      </c>
      <c r="CT290" t="inlineStr">
        <is>
          <t>N</t>
        </is>
      </c>
    </row>
    <row r="291">
      <c r="A291" t="inlineStr">
        <is>
          <t>frankXiong(熊毅)</t>
        </is>
      </c>
      <c r="C291" t="n">
        <v>29017267</v>
      </c>
      <c r="D291" t="inlineStr">
        <is>
          <t>在线视频财务管理中心</t>
        </is>
      </c>
      <c r="E291" t="inlineStr">
        <is>
          <t>OVB长视频财务管理组</t>
        </is>
      </c>
      <c r="G291" t="inlineStr">
        <is>
          <t>S2职能系统－财经线/在线视频财务管理中心/OVB长视频财务管理组</t>
        </is>
      </c>
      <c r="H291" s="188" t="n">
        <v>44961</v>
      </c>
      <c r="I291" t="inlineStr">
        <is>
          <t>社会招聘</t>
        </is>
      </c>
      <c r="J291" t="inlineStr">
        <is>
          <t>财经类－FN</t>
        </is>
      </c>
      <c r="K291" t="inlineStr">
        <is>
          <t>财务管理</t>
        </is>
      </c>
      <c r="L291" t="inlineStr">
        <is>
          <t>S5</t>
        </is>
      </c>
      <c r="N291" t="inlineStr">
        <is>
          <t>T1#</t>
        </is>
      </c>
      <c r="Q291" t="inlineStr">
        <is>
          <t>O,G</t>
        </is>
      </c>
      <c r="U291" t="n">
        <v>29100.8</v>
      </c>
      <c r="V291" t="n">
        <v>0.083333</v>
      </c>
      <c r="W291" t="inlineStr">
        <is>
          <t>CNY</t>
        </is>
      </c>
      <c r="X291" t="n">
        <v>1</v>
      </c>
      <c r="Y291" t="n">
        <v>27375.44</v>
      </c>
      <c r="Z291" t="n">
        <v>0</v>
      </c>
      <c r="AA291" t="n">
        <v>87302.39999999999</v>
      </c>
      <c r="AF291" t="n">
        <v>0</v>
      </c>
      <c r="AG291" t="n">
        <v>217937.4</v>
      </c>
      <c r="AH291" t="n">
        <v>7.961055603124553</v>
      </c>
      <c r="AJ291" t="n">
        <v>7.961055603124553</v>
      </c>
      <c r="AK291" t="n">
        <v>6.822991703512345</v>
      </c>
      <c r="AQ291" t="n">
        <v>217937.4</v>
      </c>
      <c r="AR291" t="n">
        <v>7.961055603124553</v>
      </c>
      <c r="AS291" t="n">
        <v>9.397904269081501</v>
      </c>
      <c r="BL291" t="n">
        <v>0.904109589041095</v>
      </c>
      <c r="BM291" t="n">
        <v>24130</v>
      </c>
      <c r="BN291" t="n">
        <v>0</v>
      </c>
      <c r="BO291" t="n">
        <v>25655</v>
      </c>
      <c r="BP291" t="inlineStr">
        <is>
          <t>O,G</t>
        </is>
      </c>
      <c r="BQ291" t="inlineStr">
        <is>
          <t>T1#</t>
        </is>
      </c>
      <c r="BS291" t="n">
        <v>0.9610443431413178</v>
      </c>
      <c r="BT291" t="n">
        <v>0</v>
      </c>
      <c r="BV291" t="n">
        <v>0.9610443431413178</v>
      </c>
      <c r="BY291" t="n">
        <v>23190</v>
      </c>
      <c r="BZ291" t="n">
        <v>0.9610443431413178</v>
      </c>
      <c r="CP291" t="inlineStr">
        <is>
          <t>在线视频财务管理中心</t>
        </is>
      </c>
      <c r="CQ291" t="inlineStr">
        <is>
          <t>5,3</t>
        </is>
      </c>
      <c r="CR291" t="n">
        <v>5</v>
      </c>
      <c r="CS291" t="inlineStr">
        <is>
          <t>T1#</t>
        </is>
      </c>
      <c r="CT291" t="inlineStr">
        <is>
          <t>N</t>
        </is>
      </c>
    </row>
    <row r="292">
      <c r="A292" t="inlineStr">
        <is>
          <t>melissaYao(姚姗)</t>
        </is>
      </c>
      <c r="C292" t="n">
        <v>28406854</v>
      </c>
      <c r="D292" t="inlineStr">
        <is>
          <t>CFO办公室</t>
        </is>
      </c>
      <c r="E292" t="inlineStr">
        <is>
          <t>ESG协同办公室</t>
        </is>
      </c>
      <c r="G292" t="inlineStr">
        <is>
          <t>S2职能系统－财经线/CFO办公室/ESG协同办公室</t>
        </is>
      </c>
      <c r="H292" s="188" t="n">
        <v>41786</v>
      </c>
      <c r="I292" t="inlineStr">
        <is>
          <t>高校招聘</t>
        </is>
      </c>
      <c r="J292" t="inlineStr">
        <is>
          <t>财经类－FN</t>
        </is>
      </c>
      <c r="K292" t="inlineStr">
        <is>
          <t>投资者关系</t>
        </is>
      </c>
      <c r="L292" t="inlineStr">
        <is>
          <t>S8</t>
        </is>
      </c>
      <c r="N292" t="inlineStr">
        <is>
          <t>T2</t>
        </is>
      </c>
      <c r="Q292" t="inlineStr">
        <is>
          <t>O,G</t>
        </is>
      </c>
      <c r="U292" t="n">
        <v>29372.9</v>
      </c>
      <c r="V292" t="n">
        <v>0.083333</v>
      </c>
      <c r="W292" t="inlineStr">
        <is>
          <t>CNY</t>
        </is>
      </c>
      <c r="X292" t="n">
        <v>1</v>
      </c>
      <c r="Y292" t="n">
        <v>27108.49</v>
      </c>
      <c r="Z292" t="n">
        <v>0</v>
      </c>
      <c r="AA292" t="n">
        <v>88118.7</v>
      </c>
      <c r="AF292" t="n">
        <v>0</v>
      </c>
      <c r="AG292" t="n">
        <v>125763.7</v>
      </c>
      <c r="AH292" t="n">
        <v>4.639273526485614</v>
      </c>
      <c r="AJ292" t="n">
        <v>4.639273526485614</v>
      </c>
      <c r="AK292" t="n">
        <v>4.639273526485614</v>
      </c>
      <c r="AQ292" t="n">
        <v>125763.7</v>
      </c>
      <c r="AR292" t="n">
        <v>4.639273526485614</v>
      </c>
      <c r="AS292" t="n">
        <v>1.456272579898101</v>
      </c>
      <c r="BL292" t="n">
        <v>1</v>
      </c>
      <c r="BM292" t="n">
        <v>23665</v>
      </c>
      <c r="BN292" t="n">
        <v>0</v>
      </c>
      <c r="BO292" t="n">
        <v>24880</v>
      </c>
      <c r="BP292" t="inlineStr">
        <is>
          <t>G,G</t>
        </is>
      </c>
      <c r="BQ292" t="inlineStr">
        <is>
          <t>T2</t>
        </is>
      </c>
      <c r="BS292" t="n">
        <v>3.649271075427847</v>
      </c>
      <c r="BT292" t="n">
        <v>0</v>
      </c>
      <c r="BV292" t="n">
        <v>3.649271075427847</v>
      </c>
      <c r="BY292" t="n">
        <v>86360</v>
      </c>
      <c r="BZ292" t="n">
        <v>3.649271075427847</v>
      </c>
      <c r="CP292" t="inlineStr">
        <is>
          <t>CFO办公室</t>
        </is>
      </c>
      <c r="CQ292" t="inlineStr">
        <is>
          <t>5,3</t>
        </is>
      </c>
      <c r="CR292" t="n">
        <v>8</v>
      </c>
      <c r="CS292" t="inlineStr">
        <is>
          <t>T2</t>
        </is>
      </c>
      <c r="CT292" t="inlineStr">
        <is>
          <t>N</t>
        </is>
      </c>
    </row>
    <row r="293">
      <c r="A293" t="inlineStr">
        <is>
          <t>gregoryTang(唐锐)</t>
        </is>
      </c>
      <c r="C293" t="n">
        <v>20244423</v>
      </c>
      <c r="D293" t="inlineStr">
        <is>
          <t>风险管理和内部控制</t>
        </is>
      </c>
      <c r="E293" t="inlineStr">
        <is>
          <t>PCG风控中心</t>
        </is>
      </c>
      <c r="G293" t="inlineStr">
        <is>
          <t>S2职能系统－财经线/风险管理和内部控制/PCG风控中心</t>
        </is>
      </c>
      <c r="H293" s="188" t="n">
        <v>37275</v>
      </c>
      <c r="I293" t="inlineStr">
        <is>
          <t>社会招聘</t>
        </is>
      </c>
      <c r="J293" t="inlineStr">
        <is>
          <t>财经类－FN</t>
        </is>
      </c>
      <c r="K293" t="inlineStr">
        <is>
          <t>风险管理</t>
        </is>
      </c>
      <c r="L293" t="inlineStr">
        <is>
          <t>S11</t>
        </is>
      </c>
      <c r="N293" t="inlineStr">
        <is>
          <t>T1</t>
        </is>
      </c>
      <c r="Q293" t="inlineStr">
        <is>
          <t>G,G</t>
        </is>
      </c>
      <c r="U293" t="n">
        <v>63536.05</v>
      </c>
      <c r="V293" t="n">
        <v>0.083333</v>
      </c>
      <c r="W293" t="inlineStr">
        <is>
          <t>CNY</t>
        </is>
      </c>
      <c r="X293" t="n">
        <v>1</v>
      </c>
      <c r="Y293" t="n">
        <v>59398.19</v>
      </c>
      <c r="Z293" t="n">
        <v>0</v>
      </c>
      <c r="AA293" t="n">
        <v>127072.1</v>
      </c>
      <c r="AF293" t="n">
        <v>0</v>
      </c>
      <c r="AG293" t="n">
        <v>350927.1</v>
      </c>
      <c r="AH293" t="n">
        <v>5.908043662609921</v>
      </c>
      <c r="AJ293" t="n">
        <v>5.908043662609921</v>
      </c>
      <c r="AK293" t="n">
        <v>4.668359423073329</v>
      </c>
      <c r="AQ293" t="n">
        <v>350927.1</v>
      </c>
      <c r="AR293" t="n">
        <v>5.908043662609921</v>
      </c>
      <c r="AS293" t="n">
        <v>0.8820033930254476</v>
      </c>
      <c r="BL293" t="n">
        <v>1</v>
      </c>
      <c r="BM293" t="n">
        <v>54260</v>
      </c>
      <c r="BN293" t="n">
        <v>0</v>
      </c>
      <c r="BO293" t="n">
        <v>56735</v>
      </c>
      <c r="BP293" t="inlineStr">
        <is>
          <t>O,O</t>
        </is>
      </c>
      <c r="BQ293" t="inlineStr">
        <is>
          <t>T1</t>
        </is>
      </c>
      <c r="BS293" t="n">
        <v>5.696369332841872</v>
      </c>
      <c r="BT293" t="n">
        <v>88790</v>
      </c>
      <c r="BV293" t="n">
        <v>7.332749723553262</v>
      </c>
      <c r="BY293" t="n">
        <v>397875</v>
      </c>
      <c r="BZ293" t="n">
        <v>7.332749723553262</v>
      </c>
      <c r="CP293" t="inlineStr">
        <is>
          <t>风险管理和内部控制</t>
        </is>
      </c>
      <c r="CQ293" t="inlineStr">
        <is>
          <t>3,3</t>
        </is>
      </c>
      <c r="CR293" t="n">
        <v>11</v>
      </c>
      <c r="CS293" t="inlineStr">
        <is>
          <t>T1</t>
        </is>
      </c>
      <c r="CT293" t="inlineStr">
        <is>
          <t>N</t>
        </is>
      </c>
    </row>
    <row r="294">
      <c r="A294" t="inlineStr">
        <is>
          <t>christianLu(陆宇)</t>
        </is>
      </c>
      <c r="C294" t="n">
        <v>96248420</v>
      </c>
      <c r="D294" t="inlineStr">
        <is>
          <t>IEG财务管理</t>
        </is>
      </c>
      <c r="E294" t="inlineStr">
        <is>
          <t>发行线财务管理组</t>
        </is>
      </c>
      <c r="G294" t="inlineStr">
        <is>
          <t>S2职能系统－财经线/IEG财务管理/发行线财务管理组</t>
        </is>
      </c>
      <c r="H294" s="188" t="n">
        <v>43578</v>
      </c>
      <c r="I294" t="inlineStr">
        <is>
          <t>社会招聘</t>
        </is>
      </c>
      <c r="J294" t="inlineStr">
        <is>
          <t>财经类－FN</t>
        </is>
      </c>
      <c r="K294" t="inlineStr">
        <is>
          <t>财务管理</t>
        </is>
      </c>
      <c r="L294" t="inlineStr">
        <is>
          <t>S7</t>
        </is>
      </c>
      <c r="N294" t="inlineStr">
        <is>
          <t>T1</t>
        </is>
      </c>
      <c r="Q294" t="inlineStr">
        <is>
          <t>U,U</t>
        </is>
      </c>
      <c r="U294" t="n">
        <v>34189.3</v>
      </c>
      <c r="V294" t="n">
        <v>0.083333</v>
      </c>
      <c r="W294" t="inlineStr">
        <is>
          <t>CNY</t>
        </is>
      </c>
      <c r="X294" t="n">
        <v>1</v>
      </c>
      <c r="Y294" t="n">
        <v>30774.16</v>
      </c>
      <c r="Z294" t="n">
        <v>0</v>
      </c>
      <c r="AA294" t="n">
        <v>0</v>
      </c>
      <c r="AF294" t="n">
        <v>0</v>
      </c>
      <c r="AG294" t="n">
        <v>69585</v>
      </c>
      <c r="AH294" t="n">
        <v>2.261150263727751</v>
      </c>
      <c r="AJ294" t="n">
        <v>2.261150263727751</v>
      </c>
      <c r="AK294" t="n">
        <v>2.261150263727751</v>
      </c>
      <c r="AQ294" t="n">
        <v>69585</v>
      </c>
      <c r="AR294" t="n">
        <v>2.261150263727751</v>
      </c>
      <c r="AS294" t="n">
        <v>0.3796960685346356</v>
      </c>
      <c r="BL294" t="n">
        <v>1</v>
      </c>
      <c r="BM294" t="n">
        <v>30425</v>
      </c>
      <c r="BN294" t="n">
        <v>0</v>
      </c>
      <c r="BO294" t="n">
        <v>32120</v>
      </c>
      <c r="BP294" t="inlineStr">
        <is>
          <t>G,O</t>
        </is>
      </c>
      <c r="BQ294" t="inlineStr">
        <is>
          <t>T1</t>
        </is>
      </c>
      <c r="BS294" t="n">
        <v>4.731635168447001</v>
      </c>
      <c r="BT294" t="n">
        <v>39305</v>
      </c>
      <c r="BV294" t="n">
        <v>6.023500410846344</v>
      </c>
      <c r="BY294" t="n">
        <v>183265</v>
      </c>
      <c r="BZ294" t="n">
        <v>6.023500410846344</v>
      </c>
      <c r="CP294" t="inlineStr">
        <is>
          <t>IEG财务管理</t>
        </is>
      </c>
      <c r="CQ294" t="inlineStr">
        <is>
          <t>1,1</t>
        </is>
      </c>
      <c r="CR294" t="n">
        <v>7</v>
      </c>
      <c r="CS294" t="inlineStr">
        <is>
          <t>T1</t>
        </is>
      </c>
      <c r="CT294" t="inlineStr">
        <is>
          <t>N</t>
        </is>
      </c>
    </row>
    <row r="295">
      <c r="A295" t="inlineStr">
        <is>
          <t>charlotteWu(武晴嘉)</t>
        </is>
      </c>
      <c r="C295" t="n">
        <v>96019574</v>
      </c>
      <c r="D295" t="inlineStr">
        <is>
          <t>财经IT管理部</t>
        </is>
      </c>
      <c r="E295" t="inlineStr">
        <is>
          <t>国际业务支持中心</t>
        </is>
      </c>
      <c r="G295" t="inlineStr">
        <is>
          <t>S2职能系统－财经线/财经IT管理部/国际业务支持中心</t>
        </is>
      </c>
      <c r="H295" s="188" t="n">
        <v>39279</v>
      </c>
      <c r="I295" t="inlineStr">
        <is>
          <t>社会招聘</t>
        </is>
      </c>
      <c r="J295" t="inlineStr">
        <is>
          <t>技术研发类－TRD</t>
        </is>
      </c>
      <c r="K295" t="inlineStr">
        <is>
          <t>应用开发</t>
        </is>
      </c>
      <c r="L295" t="inlineStr">
        <is>
          <t>T13</t>
        </is>
      </c>
      <c r="N295" t="inlineStr">
        <is>
          <t>T1</t>
        </is>
      </c>
      <c r="Q295" t="inlineStr">
        <is>
          <t>G,G</t>
        </is>
      </c>
      <c r="U295" t="n">
        <v>52378.25</v>
      </c>
      <c r="V295" t="n">
        <v>0.083333</v>
      </c>
      <c r="W295" t="inlineStr">
        <is>
          <t>CNY</t>
        </is>
      </c>
      <c r="X295" t="n">
        <v>1</v>
      </c>
      <c r="Y295" t="n">
        <v>49818.7</v>
      </c>
      <c r="Z295" t="n">
        <v>0</v>
      </c>
      <c r="AA295" t="n">
        <v>104756.5</v>
      </c>
      <c r="AF295" t="n">
        <v>0</v>
      </c>
      <c r="AG295" t="n">
        <v>309526.5</v>
      </c>
      <c r="AH295" t="n">
        <v>6.2130585503034</v>
      </c>
      <c r="AJ295" t="n">
        <v>6.2130585503034</v>
      </c>
      <c r="AK295" t="n">
        <v>4.239301707993183</v>
      </c>
      <c r="AQ295" t="n">
        <v>309526.5</v>
      </c>
      <c r="AR295" t="n">
        <v>6.2130585503034</v>
      </c>
      <c r="AS295" t="n">
        <v>1.528337242315764</v>
      </c>
      <c r="BL295" t="n">
        <v>1</v>
      </c>
      <c r="BM295" t="n">
        <v>42955</v>
      </c>
      <c r="BN295" t="n">
        <v>0</v>
      </c>
      <c r="BO295" t="n">
        <v>47075</v>
      </c>
      <c r="BP295" t="inlineStr">
        <is>
          <t>G,G</t>
        </is>
      </c>
      <c r="BQ295" t="inlineStr">
        <is>
          <t>T1</t>
        </is>
      </c>
      <c r="BS295" t="n">
        <v>3.580840414387149</v>
      </c>
      <c r="BT295" t="n">
        <v>48710</v>
      </c>
      <c r="BV295" t="n">
        <v>4.714817832615528</v>
      </c>
      <c r="BY295" t="n">
        <v>202525</v>
      </c>
      <c r="BZ295" t="n">
        <v>4.714817832615528</v>
      </c>
      <c r="CP295" t="inlineStr">
        <is>
          <t>财经IT管理部</t>
        </is>
      </c>
      <c r="CQ295" t="inlineStr">
        <is>
          <t>3,3</t>
        </is>
      </c>
      <c r="CR295" t="n">
        <v>13</v>
      </c>
      <c r="CS295" t="inlineStr">
        <is>
          <t>T1</t>
        </is>
      </c>
      <c r="CT295" t="inlineStr">
        <is>
          <t>N</t>
        </is>
      </c>
    </row>
    <row r="296">
      <c r="A296" t="inlineStr">
        <is>
          <t>rubyRen(任英)</t>
        </is>
      </c>
      <c r="C296" t="n">
        <v>57271922</v>
      </c>
      <c r="D296" t="inlineStr">
        <is>
          <t>风险管理和内部控制</t>
        </is>
      </c>
      <c r="E296" t="inlineStr">
        <is>
          <t>SSV风控组</t>
        </is>
      </c>
      <c r="G296" t="inlineStr">
        <is>
          <t>S2职能系统－财经线/风险管理和内部控制/SSV风控组</t>
        </is>
      </c>
      <c r="H296" s="188" t="n">
        <v>42827</v>
      </c>
      <c r="I296" t="inlineStr">
        <is>
          <t>社会招聘</t>
        </is>
      </c>
      <c r="J296" t="inlineStr">
        <is>
          <t>财经类－FN</t>
        </is>
      </c>
      <c r="K296" t="inlineStr">
        <is>
          <t>风险管理</t>
        </is>
      </c>
      <c r="L296" t="inlineStr">
        <is>
          <t>S6</t>
        </is>
      </c>
      <c r="N296" t="inlineStr">
        <is>
          <t>T1</t>
        </is>
      </c>
      <c r="Q296" t="inlineStr">
        <is>
          <t>G,G</t>
        </is>
      </c>
      <c r="U296" t="n">
        <v>38356.6</v>
      </c>
      <c r="V296" t="n">
        <v>0.083333</v>
      </c>
      <c r="W296" t="inlineStr">
        <is>
          <t>CNY</t>
        </is>
      </c>
      <c r="X296" t="n">
        <v>1</v>
      </c>
      <c r="Y296" t="n">
        <v>35988.01</v>
      </c>
      <c r="Z296" t="n">
        <v>0</v>
      </c>
      <c r="AA296" t="n">
        <v>76713.2</v>
      </c>
      <c r="AF296" t="n">
        <v>0</v>
      </c>
      <c r="AG296" t="n">
        <v>217693.2</v>
      </c>
      <c r="AH296" t="n">
        <v>6.049048002376347</v>
      </c>
      <c r="AJ296" t="n">
        <v>6.049048002376347</v>
      </c>
      <c r="AK296" t="n">
        <v>4.587727968287216</v>
      </c>
      <c r="AQ296" t="n">
        <v>217693.2</v>
      </c>
      <c r="AR296" t="n">
        <v>6.049048002376347</v>
      </c>
      <c r="AS296" t="n">
        <v>1.984984043038206</v>
      </c>
      <c r="BL296" t="n">
        <v>1</v>
      </c>
      <c r="BM296" t="n">
        <v>31075</v>
      </c>
      <c r="BN296" t="n">
        <v>0</v>
      </c>
      <c r="BO296" t="n">
        <v>33950</v>
      </c>
      <c r="BP296" t="inlineStr">
        <is>
          <t>G,G</t>
        </is>
      </c>
      <c r="BQ296" t="inlineStr">
        <is>
          <t>T2</t>
        </is>
      </c>
      <c r="BS296" t="n">
        <v>3.529203539823009</v>
      </c>
      <c r="BT296" t="n">
        <v>0</v>
      </c>
      <c r="BV296" t="n">
        <v>3.529203539823009</v>
      </c>
      <c r="BY296" t="n">
        <v>109670</v>
      </c>
      <c r="BZ296" t="n">
        <v>3.529203539823009</v>
      </c>
      <c r="CP296" t="inlineStr">
        <is>
          <t>风险管理和内部控制</t>
        </is>
      </c>
      <c r="CQ296" t="inlineStr">
        <is>
          <t>3,3</t>
        </is>
      </c>
      <c r="CR296" t="n">
        <v>6</v>
      </c>
      <c r="CS296" t="inlineStr">
        <is>
          <t>T1</t>
        </is>
      </c>
      <c r="CT296" t="inlineStr">
        <is>
          <t>N</t>
        </is>
      </c>
    </row>
    <row r="297">
      <c r="A297" t="inlineStr">
        <is>
          <t>evanJiang(蒋文睿)</t>
        </is>
      </c>
      <c r="C297" t="n">
        <v>27427496</v>
      </c>
      <c r="D297" t="inlineStr">
        <is>
          <t>FiT财务管理</t>
        </is>
      </c>
      <c r="E297" t="inlineStr">
        <is>
          <t>财经金融专项中心</t>
        </is>
      </c>
      <c r="G297" t="inlineStr">
        <is>
          <t>S2职能系统－财经线/FiT财务管理/财经金融专项中心</t>
        </is>
      </c>
      <c r="H297" s="188" t="n">
        <v>38283</v>
      </c>
      <c r="I297" t="inlineStr">
        <is>
          <t>社会招聘</t>
        </is>
      </c>
      <c r="J297" t="inlineStr">
        <is>
          <t>财经类－FN</t>
        </is>
      </c>
      <c r="K297" t="inlineStr">
        <is>
          <t>财务管理</t>
        </is>
      </c>
      <c r="L297" t="inlineStr">
        <is>
          <t>S6</t>
        </is>
      </c>
      <c r="N297" t="inlineStr">
        <is>
          <t>T1#</t>
        </is>
      </c>
      <c r="Q297" t="inlineStr">
        <is>
          <t>G,G</t>
        </is>
      </c>
      <c r="U297" t="n">
        <v>28519.3</v>
      </c>
      <c r="V297" t="n">
        <v>0.083333</v>
      </c>
      <c r="W297" t="inlineStr">
        <is>
          <t>CNY</t>
        </is>
      </c>
      <c r="X297" t="n">
        <v>1</v>
      </c>
      <c r="Y297" t="n">
        <v>27367.99</v>
      </c>
      <c r="Z297" t="n">
        <v>0</v>
      </c>
      <c r="AA297" t="n">
        <v>57038.6</v>
      </c>
      <c r="AF297" t="n">
        <v>0</v>
      </c>
      <c r="AG297" t="n">
        <v>187103.6</v>
      </c>
      <c r="AH297" t="n">
        <v>6.836585368527246</v>
      </c>
      <c r="AJ297" t="n">
        <v>6.836585368527246</v>
      </c>
      <c r="AK297" t="n">
        <v>5.514968399213826</v>
      </c>
      <c r="AQ297" t="n">
        <v>187103.6</v>
      </c>
      <c r="AR297" t="n">
        <v>6.836585368527246</v>
      </c>
      <c r="AS297" t="n">
        <v>1.099671456698698</v>
      </c>
      <c r="BL297" t="n">
        <v>1</v>
      </c>
      <c r="BM297" t="n">
        <v>23805</v>
      </c>
      <c r="BN297" t="n">
        <v>0</v>
      </c>
      <c r="BO297" t="n">
        <v>24945</v>
      </c>
      <c r="BP297" t="inlineStr">
        <is>
          <t>G,G</t>
        </is>
      </c>
      <c r="BQ297" t="inlineStr">
        <is>
          <t>T1#</t>
        </is>
      </c>
      <c r="BS297" t="n">
        <v>5.567737870195337</v>
      </c>
      <c r="BT297" t="n">
        <v>37605</v>
      </c>
      <c r="BV297" t="n">
        <v>7.147448015122873</v>
      </c>
      <c r="BY297" t="n">
        <v>170145</v>
      </c>
      <c r="BZ297" t="n">
        <v>7.147448015122873</v>
      </c>
      <c r="CP297" t="inlineStr">
        <is>
          <t>FiT财务管理</t>
        </is>
      </c>
      <c r="CQ297" t="inlineStr">
        <is>
          <t>3,3</t>
        </is>
      </c>
      <c r="CR297" t="n">
        <v>6</v>
      </c>
      <c r="CS297" t="inlineStr">
        <is>
          <t>T1#</t>
        </is>
      </c>
      <c r="CT297" t="inlineStr">
        <is>
          <t>N</t>
        </is>
      </c>
    </row>
    <row r="298">
      <c r="A298" t="inlineStr">
        <is>
          <t>genesisWu(吴静)</t>
        </is>
      </c>
      <c r="C298" t="n">
        <v>57867815</v>
      </c>
      <c r="D298" t="inlineStr">
        <is>
          <t>税务部</t>
        </is>
      </c>
      <c r="E298" t="inlineStr">
        <is>
          <t>印章及文档管理组</t>
        </is>
      </c>
      <c r="G298" t="inlineStr">
        <is>
          <t>S2职能系统－财经线/税务部/印章及文档管理组</t>
        </is>
      </c>
      <c r="H298" s="188" t="n">
        <v>36847</v>
      </c>
      <c r="I298" t="inlineStr">
        <is>
          <t>社会招聘</t>
        </is>
      </c>
      <c r="J298" t="inlineStr">
        <is>
          <t>财经类－FN</t>
        </is>
      </c>
      <c r="K298" t="inlineStr">
        <is>
          <t>税务</t>
        </is>
      </c>
      <c r="L298" t="inlineStr">
        <is>
          <t>S7</t>
        </is>
      </c>
      <c r="N298" t="inlineStr">
        <is>
          <t>T1#</t>
        </is>
      </c>
      <c r="Q298" t="inlineStr">
        <is>
          <t>O,G</t>
        </is>
      </c>
      <c r="U298" t="n">
        <v>25101.8</v>
      </c>
      <c r="V298" t="n">
        <v>0.083333</v>
      </c>
      <c r="W298" t="inlineStr">
        <is>
          <t>CNY</t>
        </is>
      </c>
      <c r="X298" t="n">
        <v>1</v>
      </c>
      <c r="Y298" t="n">
        <v>23738.49</v>
      </c>
      <c r="Z298" t="n">
        <v>0</v>
      </c>
      <c r="AA298" t="n">
        <v>75305.39999999999</v>
      </c>
      <c r="AF298" t="n">
        <v>0</v>
      </c>
      <c r="AG298" t="n">
        <v>187905.4</v>
      </c>
      <c r="AH298" t="n">
        <v>7.915642486105897</v>
      </c>
      <c r="AJ298" t="n">
        <v>7.915642486105897</v>
      </c>
      <c r="AK298" t="n">
        <v>6.587841096885269</v>
      </c>
      <c r="AQ298" t="n">
        <v>187905.4</v>
      </c>
      <c r="AR298" t="n">
        <v>7.915642486105897</v>
      </c>
      <c r="AS298" t="n">
        <v>1.253789284046173</v>
      </c>
      <c r="BL298" t="n">
        <v>1</v>
      </c>
      <c r="BM298" t="n">
        <v>22550</v>
      </c>
      <c r="BN298" t="n">
        <v>0</v>
      </c>
      <c r="BO298" t="n">
        <v>22645</v>
      </c>
      <c r="BP298" t="inlineStr">
        <is>
          <t>G,G</t>
        </is>
      </c>
      <c r="BQ298" t="inlineStr">
        <is>
          <t>T1#</t>
        </is>
      </c>
      <c r="BS298" t="n">
        <v>5.091130820399113</v>
      </c>
      <c r="BT298" t="n">
        <v>35065</v>
      </c>
      <c r="BV298" t="n">
        <v>6.646119733924612</v>
      </c>
      <c r="BY298" t="n">
        <v>149870</v>
      </c>
      <c r="BZ298" t="n">
        <v>6.646119733924612</v>
      </c>
      <c r="CP298" t="inlineStr">
        <is>
          <t>税务部</t>
        </is>
      </c>
      <c r="CQ298" t="inlineStr">
        <is>
          <t>5,3</t>
        </is>
      </c>
      <c r="CR298" t="n">
        <v>7</v>
      </c>
      <c r="CS298" t="inlineStr">
        <is>
          <t>T1#</t>
        </is>
      </c>
      <c r="CT298" t="inlineStr">
        <is>
          <t>N</t>
        </is>
      </c>
    </row>
    <row r="299">
      <c r="A299" t="inlineStr">
        <is>
          <t>hazelCai(蔡蓉荷)</t>
        </is>
      </c>
      <c r="C299" t="n">
        <v>68478529</v>
      </c>
      <c r="D299" t="inlineStr">
        <is>
          <t>行政支持中心</t>
        </is>
      </c>
      <c r="E299" t="inlineStr">
        <is>
          <t>行政支持中心</t>
        </is>
      </c>
      <c r="G299" t="inlineStr">
        <is>
          <t>S2职能系统－财经线/行政支持中心</t>
        </is>
      </c>
      <c r="H299" s="188" t="n">
        <v>41888</v>
      </c>
      <c r="I299" t="inlineStr">
        <is>
          <t>社会招聘</t>
        </is>
      </c>
      <c r="J299" t="inlineStr">
        <is>
          <t>财经类－FN</t>
        </is>
      </c>
      <c r="K299" t="inlineStr">
        <is>
          <t>公司秘书</t>
        </is>
      </c>
      <c r="L299" t="inlineStr">
        <is>
          <t>S8</t>
        </is>
      </c>
      <c r="N299" t="inlineStr">
        <is>
          <t>Others</t>
        </is>
      </c>
      <c r="Q299" t="inlineStr">
        <is>
          <t>U,O</t>
        </is>
      </c>
      <c r="U299" t="n">
        <v>28581.8</v>
      </c>
      <c r="V299" t="n">
        <v>0.083333</v>
      </c>
      <c r="W299" t="inlineStr">
        <is>
          <t>CNY</t>
        </is>
      </c>
      <c r="X299" t="n">
        <v>1</v>
      </c>
      <c r="Y299" t="n">
        <v>26609.3</v>
      </c>
      <c r="Z299" t="n">
        <v>0</v>
      </c>
      <c r="AA299" t="n">
        <v>57163.6</v>
      </c>
      <c r="AF299" t="n">
        <v>0</v>
      </c>
      <c r="AG299" t="n">
        <v>82258.60000000001</v>
      </c>
      <c r="AH299" t="n">
        <v>3.091347761872729</v>
      </c>
      <c r="AJ299" t="n">
        <v>3.091347761872729</v>
      </c>
      <c r="AK299" t="n">
        <v>3.091347761872729</v>
      </c>
      <c r="AQ299" t="n">
        <v>82258.60000000001</v>
      </c>
      <c r="AR299" t="n">
        <v>3.091347761872729</v>
      </c>
      <c r="AS299" t="n">
        <v>1.024072206660442</v>
      </c>
      <c r="BL299" t="n">
        <v>1</v>
      </c>
      <c r="BM299" t="n">
        <v>24515</v>
      </c>
      <c r="BN299" t="n">
        <v>0</v>
      </c>
      <c r="BO299" t="n">
        <v>25860</v>
      </c>
      <c r="BP299" t="inlineStr">
        <is>
          <t>G,G</t>
        </is>
      </c>
      <c r="BQ299" t="inlineStr">
        <is>
          <t>Others</t>
        </is>
      </c>
      <c r="BS299" t="n">
        <v>3.276565368141954</v>
      </c>
      <c r="BT299" t="n">
        <v>0</v>
      </c>
      <c r="BV299" t="n">
        <v>3.276565368141954</v>
      </c>
      <c r="BY299" t="n">
        <v>80325</v>
      </c>
      <c r="BZ299" t="n">
        <v>3.276565368141954</v>
      </c>
      <c r="CP299" t="inlineStr">
        <is>
          <t>行政支持中心</t>
        </is>
      </c>
      <c r="CQ299" t="inlineStr">
        <is>
          <t>5,1</t>
        </is>
      </c>
      <c r="CR299" t="n">
        <v>8</v>
      </c>
      <c r="CS299" t="inlineStr">
        <is>
          <t>Others</t>
        </is>
      </c>
      <c r="CT299" t="inlineStr">
        <is>
          <t>N</t>
        </is>
      </c>
    </row>
    <row r="300">
      <c r="A300" t="inlineStr">
        <is>
          <t>emmaYang(杨苑)</t>
        </is>
      </c>
      <c r="C300" t="n">
        <v>94881106</v>
      </c>
      <c r="D300" t="inlineStr">
        <is>
          <t>在线视频财务管理中心</t>
        </is>
      </c>
      <c r="E300" t="inlineStr">
        <is>
          <t>OVB长视频财务管理组</t>
        </is>
      </c>
      <c r="G300" t="inlineStr">
        <is>
          <t>S2职能系统－财经线/在线视频财务管理中心/OVB长视频财务管理组</t>
        </is>
      </c>
      <c r="H300" s="188" t="n">
        <v>36784</v>
      </c>
      <c r="I300" t="inlineStr">
        <is>
          <t>社会招聘</t>
        </is>
      </c>
      <c r="J300" t="inlineStr">
        <is>
          <t>财经类－FN</t>
        </is>
      </c>
      <c r="K300" t="inlineStr">
        <is>
          <t>财务管理</t>
        </is>
      </c>
      <c r="L300" t="inlineStr">
        <is>
          <t>S9</t>
        </is>
      </c>
      <c r="N300" t="inlineStr">
        <is>
          <t>T2</t>
        </is>
      </c>
      <c r="Q300" t="inlineStr">
        <is>
          <t>G,G</t>
        </is>
      </c>
      <c r="U300" t="n">
        <v>55239</v>
      </c>
      <c r="V300" t="n">
        <v>0.083333</v>
      </c>
      <c r="W300" t="inlineStr">
        <is>
          <t>CNY</t>
        </is>
      </c>
      <c r="X300" t="n">
        <v>1</v>
      </c>
      <c r="Y300" t="n">
        <v>53706.87</v>
      </c>
      <c r="Z300" t="n">
        <v>0</v>
      </c>
      <c r="AA300" t="n">
        <v>110478</v>
      </c>
      <c r="AF300" t="n">
        <v>0</v>
      </c>
      <c r="AG300" t="n">
        <v>183728</v>
      </c>
      <c r="AH300" t="n">
        <v>3.420940375039543</v>
      </c>
      <c r="AJ300" t="n">
        <v>3.420940375039543</v>
      </c>
      <c r="AK300" t="n">
        <v>3.420940375039543</v>
      </c>
      <c r="AQ300" t="n">
        <v>183728</v>
      </c>
      <c r="AR300" t="n">
        <v>3.420940375039543</v>
      </c>
      <c r="AS300" t="n">
        <v>1.087115765805745</v>
      </c>
      <c r="BL300" t="n">
        <v>1</v>
      </c>
      <c r="BM300" t="n">
        <v>45830</v>
      </c>
      <c r="BN300" t="n">
        <v>0</v>
      </c>
      <c r="BO300" t="n">
        <v>49730</v>
      </c>
      <c r="BP300" t="inlineStr">
        <is>
          <t>G,G</t>
        </is>
      </c>
      <c r="BQ300" t="inlineStr">
        <is>
          <t>Others</t>
        </is>
      </c>
      <c r="BS300" t="n">
        <v>3.687650010909884</v>
      </c>
      <c r="BT300" t="n">
        <v>0</v>
      </c>
      <c r="BV300" t="n">
        <v>3.687650010909884</v>
      </c>
      <c r="BY300" t="n">
        <v>169005</v>
      </c>
      <c r="BZ300" t="n">
        <v>3.687650010909884</v>
      </c>
      <c r="CP300" t="inlineStr">
        <is>
          <t>在线视频财务管理中心</t>
        </is>
      </c>
      <c r="CQ300" t="inlineStr">
        <is>
          <t>3,3</t>
        </is>
      </c>
      <c r="CR300" t="n">
        <v>9</v>
      </c>
      <c r="CS300" t="inlineStr">
        <is>
          <t>T2</t>
        </is>
      </c>
      <c r="CT300" t="inlineStr">
        <is>
          <t>N</t>
        </is>
      </c>
    </row>
    <row r="301">
      <c r="A301" t="inlineStr">
        <is>
          <t>eugeneLiao(廖德宇)</t>
        </is>
      </c>
      <c r="C301" t="n">
        <v>45873998</v>
      </c>
      <c r="D301" t="inlineStr">
        <is>
          <t>税务部</t>
        </is>
      </c>
      <c r="E301" t="inlineStr">
        <is>
          <t>税务部</t>
        </is>
      </c>
      <c r="G301" t="inlineStr">
        <is>
          <t>S2职能系统－财经线/税务部</t>
        </is>
      </c>
      <c r="H301" s="188" t="n">
        <v>37913</v>
      </c>
      <c r="I301" t="inlineStr">
        <is>
          <t>高校招聘</t>
        </is>
      </c>
      <c r="J301" t="inlineStr">
        <is>
          <t>财经类－FN</t>
        </is>
      </c>
      <c r="K301" t="inlineStr">
        <is>
          <t>税务</t>
        </is>
      </c>
      <c r="L301" t="inlineStr">
        <is>
          <t>S6</t>
        </is>
      </c>
      <c r="N301" t="inlineStr">
        <is>
          <t>T1</t>
        </is>
      </c>
      <c r="Q301" t="inlineStr">
        <is>
          <t>G,G</t>
        </is>
      </c>
      <c r="U301" t="n">
        <v>29069.95</v>
      </c>
      <c r="V301" t="n">
        <v>0.083333</v>
      </c>
      <c r="W301" t="inlineStr">
        <is>
          <t>CNY</t>
        </is>
      </c>
      <c r="X301" t="n">
        <v>1</v>
      </c>
      <c r="Y301" t="n">
        <v>28389.45</v>
      </c>
      <c r="Z301" t="n">
        <v>0</v>
      </c>
      <c r="AA301" t="n">
        <v>58139.9</v>
      </c>
      <c r="AF301" t="n">
        <v>0</v>
      </c>
      <c r="AG301" t="n">
        <v>166759.9</v>
      </c>
      <c r="AH301" t="n">
        <v>5.874009535232278</v>
      </c>
      <c r="AJ301" t="n">
        <v>5.874009535232278</v>
      </c>
      <c r="AK301" t="n">
        <v>4.345272627683875</v>
      </c>
      <c r="AQ301" t="n">
        <v>166759.9</v>
      </c>
      <c r="AR301" t="n">
        <v>5.874009535232278</v>
      </c>
      <c r="AS301" t="n">
        <v>2.736909568357131</v>
      </c>
      <c r="BL301" t="n">
        <v>1</v>
      </c>
      <c r="BM301" t="n">
        <v>25130</v>
      </c>
      <c r="BN301" t="n">
        <v>0</v>
      </c>
      <c r="BO301" t="n">
        <v>25385</v>
      </c>
      <c r="BP301" t="inlineStr">
        <is>
          <t>U,G</t>
        </is>
      </c>
      <c r="BQ301" t="inlineStr">
        <is>
          <t>T1</t>
        </is>
      </c>
      <c r="BS301" t="n">
        <v>2.424592120970951</v>
      </c>
      <c r="BT301" t="n">
        <v>0</v>
      </c>
      <c r="BV301" t="n">
        <v>2.424592120970951</v>
      </c>
      <c r="BY301" t="n">
        <v>60930</v>
      </c>
      <c r="BZ301" t="n">
        <v>2.424592120970951</v>
      </c>
      <c r="CP301" t="inlineStr">
        <is>
          <t>税务部</t>
        </is>
      </c>
      <c r="CQ301" t="inlineStr">
        <is>
          <t>3,3</t>
        </is>
      </c>
      <c r="CR301" t="n">
        <v>6</v>
      </c>
      <c r="CS301" t="inlineStr">
        <is>
          <t>T1</t>
        </is>
      </c>
      <c r="CT301" t="inlineStr">
        <is>
          <t>N</t>
        </is>
      </c>
    </row>
    <row r="302">
      <c r="A302" t="inlineStr">
        <is>
          <t>anthonyYang(杨德)</t>
        </is>
      </c>
      <c r="C302" t="n">
        <v>26094530</v>
      </c>
      <c r="D302" t="inlineStr">
        <is>
          <t>财会及报告管理部</t>
        </is>
      </c>
      <c r="E302" t="inlineStr">
        <is>
          <t>应收管理中心</t>
        </is>
      </c>
      <c r="G302" t="inlineStr">
        <is>
          <t>S2职能系统－财经线/财会及报告管理部/应收管理中心</t>
        </is>
      </c>
      <c r="H302" s="188" t="n">
        <v>45512</v>
      </c>
      <c r="I302" t="inlineStr">
        <is>
          <t>社会招聘</t>
        </is>
      </c>
      <c r="J302" t="inlineStr">
        <is>
          <t>财经类－FN</t>
        </is>
      </c>
      <c r="K302" t="inlineStr">
        <is>
          <t>会计</t>
        </is>
      </c>
      <c r="L302" t="inlineStr">
        <is>
          <t>S9</t>
        </is>
      </c>
      <c r="N302" t="inlineStr">
        <is>
          <t>T2</t>
        </is>
      </c>
      <c r="Q302" t="inlineStr">
        <is>
          <t>N,G</t>
        </is>
      </c>
      <c r="U302" t="n">
        <v>55526.35</v>
      </c>
      <c r="V302" t="n">
        <v>0.083333</v>
      </c>
      <c r="W302" t="inlineStr">
        <is>
          <t>CNY</t>
        </is>
      </c>
      <c r="X302" t="n">
        <v>0.39726</v>
      </c>
      <c r="Y302" t="n">
        <v>55526.35</v>
      </c>
      <c r="Z302" t="n">
        <v>0</v>
      </c>
      <c r="AA302" t="n">
        <v>22058.4</v>
      </c>
      <c r="AF302" t="n">
        <v>0</v>
      </c>
      <c r="AG302" t="n">
        <v>22058.4</v>
      </c>
      <c r="AH302" t="n">
        <v>0.3972600396028192</v>
      </c>
      <c r="AJ302" t="n">
        <v>0.3972600396028192</v>
      </c>
      <c r="AK302" t="n">
        <v>0.3972600396028192</v>
      </c>
      <c r="AQ302" t="n">
        <v>22058.4</v>
      </c>
      <c r="AR302" t="n">
        <v>0.3972600396028192</v>
      </c>
      <c r="BM302" t="n">
        <v>0</v>
      </c>
      <c r="BN302" t="n">
        <v>0</v>
      </c>
      <c r="BO302" t="n">
        <v>0</v>
      </c>
      <c r="BT302" t="n">
        <v>0</v>
      </c>
      <c r="BY302" t="n">
        <v>0</v>
      </c>
      <c r="CP302" t="inlineStr">
        <is>
          <t>财会及报告管理部</t>
        </is>
      </c>
      <c r="CQ302" t="n">
        <v>3</v>
      </c>
      <c r="CR302" t="n">
        <v>9</v>
      </c>
      <c r="CS302" t="inlineStr">
        <is>
          <t>T2</t>
        </is>
      </c>
      <c r="CT302" t="inlineStr">
        <is>
          <t>N</t>
        </is>
      </c>
    </row>
    <row r="303">
      <c r="A303" t="inlineStr">
        <is>
          <t>karenDing(丁青)</t>
        </is>
      </c>
      <c r="C303" t="n">
        <v>28898413</v>
      </c>
      <c r="D303" t="inlineStr">
        <is>
          <t>反舞弊调查部</t>
        </is>
      </c>
      <c r="E303" t="inlineStr">
        <is>
          <t>海外反舞弊工作组</t>
        </is>
      </c>
      <c r="G303" t="inlineStr">
        <is>
          <t>S2职能系统－财经线/反舞弊调查部/海外反舞弊工作组</t>
        </is>
      </c>
      <c r="H303" s="188" t="n">
        <v>39422</v>
      </c>
      <c r="I303" t="inlineStr">
        <is>
          <t>社会招聘</t>
        </is>
      </c>
      <c r="J303" t="inlineStr">
        <is>
          <t>财经类－FN</t>
        </is>
      </c>
      <c r="K303" t="inlineStr">
        <is>
          <t>风险管理</t>
        </is>
      </c>
      <c r="L303" t="inlineStr">
        <is>
          <t>S12</t>
        </is>
      </c>
      <c r="M303" t="inlineStr">
        <is>
          <t>L1-1</t>
        </is>
      </c>
      <c r="N303" t="inlineStr">
        <is>
          <t>T2</t>
        </is>
      </c>
      <c r="Q303" t="inlineStr">
        <is>
          <t>G,G</t>
        </is>
      </c>
      <c r="U303" t="n">
        <v>44929.9</v>
      </c>
      <c r="V303" t="n">
        <v>0.083333</v>
      </c>
      <c r="W303" t="inlineStr">
        <is>
          <t>CNY</t>
        </is>
      </c>
      <c r="X303" t="n">
        <v>1</v>
      </c>
      <c r="Y303" t="n">
        <v>41633.13</v>
      </c>
      <c r="Z303" t="n">
        <v>0</v>
      </c>
      <c r="AA303" t="n">
        <v>89859.8</v>
      </c>
      <c r="AF303" t="n">
        <v>11675</v>
      </c>
      <c r="AG303" t="n">
        <v>148339.8</v>
      </c>
      <c r="AH303" t="n">
        <v>3.563023005957035</v>
      </c>
      <c r="AJ303" t="n">
        <v>3.843448715001731</v>
      </c>
      <c r="AK303" t="n">
        <v>3.843448715001731</v>
      </c>
      <c r="AQ303" t="n">
        <v>160014.8</v>
      </c>
      <c r="AR303" t="n">
        <v>3.843448715001731</v>
      </c>
      <c r="AS303" t="n">
        <v>1.116096812443328</v>
      </c>
      <c r="BL303" t="n">
        <v>1</v>
      </c>
      <c r="BM303" t="n">
        <v>38225</v>
      </c>
      <c r="BN303" t="n">
        <v>0</v>
      </c>
      <c r="BO303" t="n">
        <v>41145</v>
      </c>
      <c r="BP303" t="inlineStr">
        <is>
          <t>G,G</t>
        </is>
      </c>
      <c r="BQ303" t="inlineStr">
        <is>
          <t>T2</t>
        </is>
      </c>
      <c r="BS303" t="n">
        <v>3.750686723348594</v>
      </c>
      <c r="BT303" t="n">
        <v>0</v>
      </c>
      <c r="BV303" t="n">
        <v>3.750686723348594</v>
      </c>
      <c r="BY303" t="n">
        <v>143370</v>
      </c>
      <c r="BZ303" t="n">
        <v>3.750686723348594</v>
      </c>
      <c r="CP303" t="inlineStr">
        <is>
          <t>反舞弊调查部</t>
        </is>
      </c>
      <c r="CQ303" t="inlineStr">
        <is>
          <t>3,3</t>
        </is>
      </c>
      <c r="CR303" t="n">
        <v>12</v>
      </c>
      <c r="CS303" t="inlineStr">
        <is>
          <t>T2</t>
        </is>
      </c>
      <c r="CT303" t="inlineStr">
        <is>
          <t>N</t>
        </is>
      </c>
    </row>
    <row r="304">
      <c r="A304" t="inlineStr">
        <is>
          <t>bellaZhou(周琪涵)</t>
        </is>
      </c>
      <c r="C304" t="n">
        <v>50634401</v>
      </c>
      <c r="D304" t="inlineStr">
        <is>
          <t>风险管理和内部控制</t>
        </is>
      </c>
      <c r="E304" t="inlineStr">
        <is>
          <t>IEG风控中心</t>
        </is>
      </c>
      <c r="G304" t="inlineStr">
        <is>
          <t>S2职能系统－财经线/风险管理和内部控制/IEG风控中心</t>
        </is>
      </c>
      <c r="H304" s="188" t="n">
        <v>39844</v>
      </c>
      <c r="I304" t="inlineStr">
        <is>
          <t>社会招聘</t>
        </is>
      </c>
      <c r="J304" t="inlineStr">
        <is>
          <t>财经类－FN</t>
        </is>
      </c>
      <c r="K304" t="inlineStr">
        <is>
          <t>风险管理</t>
        </is>
      </c>
      <c r="L304" t="inlineStr">
        <is>
          <t>S8</t>
        </is>
      </c>
      <c r="N304" t="inlineStr">
        <is>
          <t>T2</t>
        </is>
      </c>
      <c r="Q304" t="inlineStr">
        <is>
          <t>G,G</t>
        </is>
      </c>
      <c r="U304" t="n">
        <v>29539.85</v>
      </c>
      <c r="V304" t="n">
        <v>0.083333</v>
      </c>
      <c r="W304" t="inlineStr">
        <is>
          <t>CNY</t>
        </is>
      </c>
      <c r="X304" t="n">
        <v>1</v>
      </c>
      <c r="Y304" t="n">
        <v>28349.37</v>
      </c>
      <c r="Z304" t="n">
        <v>0</v>
      </c>
      <c r="AA304" t="n">
        <v>59079.7</v>
      </c>
      <c r="AF304" t="n">
        <v>0</v>
      </c>
      <c r="AG304" t="n">
        <v>95024.7</v>
      </c>
      <c r="AH304" t="n">
        <v>3.351915756858089</v>
      </c>
      <c r="AJ304" t="n">
        <v>3.351915756858089</v>
      </c>
      <c r="AK304" t="n">
        <v>3.351915756858089</v>
      </c>
      <c r="AQ304" t="n">
        <v>95024.7</v>
      </c>
      <c r="AR304" t="n">
        <v>3.351915756858089</v>
      </c>
      <c r="AS304" t="n">
        <v>0.5704105888708806</v>
      </c>
      <c r="BL304" t="n">
        <v>1</v>
      </c>
      <c r="BM304" t="n">
        <v>25740</v>
      </c>
      <c r="BN304" t="n">
        <v>0</v>
      </c>
      <c r="BO304" t="n">
        <v>26235</v>
      </c>
      <c r="BP304" t="inlineStr">
        <is>
          <t>G,G</t>
        </is>
      </c>
      <c r="BQ304" t="inlineStr">
        <is>
          <t>T1#</t>
        </is>
      </c>
      <c r="BS304" t="n">
        <v>5.377039627039627</v>
      </c>
      <c r="BT304" t="n">
        <v>28185</v>
      </c>
      <c r="BV304" t="n">
        <v>6.472027972027972</v>
      </c>
      <c r="BY304" t="n">
        <v>166590</v>
      </c>
      <c r="BZ304" t="n">
        <v>6.472027972027972</v>
      </c>
      <c r="CP304" t="inlineStr">
        <is>
          <t>风险管理和内部控制</t>
        </is>
      </c>
      <c r="CQ304" t="inlineStr">
        <is>
          <t>3,3</t>
        </is>
      </c>
      <c r="CR304" t="n">
        <v>8</v>
      </c>
      <c r="CS304" t="inlineStr">
        <is>
          <t>T2</t>
        </is>
      </c>
      <c r="CT304" t="inlineStr">
        <is>
          <t>N</t>
        </is>
      </c>
    </row>
    <row r="305">
      <c r="A305" t="inlineStr">
        <is>
          <t>ronaldShi(施威)</t>
        </is>
      </c>
      <c r="C305" t="n">
        <v>16551433</v>
      </c>
      <c r="D305" t="inlineStr">
        <is>
          <t>CDG财务管理</t>
        </is>
      </c>
      <c r="E305" t="inlineStr">
        <is>
          <t>子公司财务管理组</t>
        </is>
      </c>
      <c r="G305" t="inlineStr">
        <is>
          <t>S2职能系统－财经线/CDG财务管理/子公司财务管理组</t>
        </is>
      </c>
      <c r="H305" s="188" t="n">
        <v>41432</v>
      </c>
      <c r="I305" t="inlineStr">
        <is>
          <t>社会招聘</t>
        </is>
      </c>
      <c r="J305" t="inlineStr">
        <is>
          <t>财经类－FN</t>
        </is>
      </c>
      <c r="K305" t="inlineStr">
        <is>
          <t>财务管理</t>
        </is>
      </c>
      <c r="L305" t="inlineStr">
        <is>
          <t>S10</t>
        </is>
      </c>
      <c r="N305" t="inlineStr">
        <is>
          <t>T1</t>
        </is>
      </c>
      <c r="Q305" t="inlineStr">
        <is>
          <t>U,O</t>
        </is>
      </c>
      <c r="U305" t="n">
        <v>48285.05</v>
      </c>
      <c r="V305" t="n">
        <v>0.083333</v>
      </c>
      <c r="W305" t="inlineStr">
        <is>
          <t>CNY</t>
        </is>
      </c>
      <c r="X305" t="n">
        <v>1</v>
      </c>
      <c r="Y305" t="n">
        <v>46723.44</v>
      </c>
      <c r="Z305" t="n">
        <v>0</v>
      </c>
      <c r="AA305" t="n">
        <v>96570.10000000001</v>
      </c>
      <c r="AF305" t="n">
        <v>0</v>
      </c>
      <c r="AG305" t="n">
        <v>211920.1</v>
      </c>
      <c r="AH305" t="n">
        <v>4.535627085676911</v>
      </c>
      <c r="AJ305" t="n">
        <v>4.535627085676911</v>
      </c>
      <c r="AK305" t="n">
        <v>4.535627085676911</v>
      </c>
      <c r="AQ305" t="n">
        <v>211920.1</v>
      </c>
      <c r="AR305" t="n">
        <v>4.535627085676911</v>
      </c>
      <c r="AS305" t="n">
        <v>0.7875143069490895</v>
      </c>
      <c r="BL305" t="n">
        <v>1</v>
      </c>
      <c r="BM305" t="n">
        <v>42965</v>
      </c>
      <c r="BN305" t="n">
        <v>0</v>
      </c>
      <c r="BO305" t="n">
        <v>43320</v>
      </c>
      <c r="BP305" t="inlineStr">
        <is>
          <t>O,G</t>
        </is>
      </c>
      <c r="BQ305" t="inlineStr">
        <is>
          <t>T1</t>
        </is>
      </c>
      <c r="BS305" t="n">
        <v>4.250901896892819</v>
      </c>
      <c r="BT305" t="n">
        <v>86460</v>
      </c>
      <c r="BV305" t="n">
        <v>6.263237518910741</v>
      </c>
      <c r="BY305" t="n">
        <v>269100</v>
      </c>
      <c r="BZ305" t="n">
        <v>6.263237518910741</v>
      </c>
      <c r="CP305" t="inlineStr">
        <is>
          <t>CDG财务管理</t>
        </is>
      </c>
      <c r="CQ305" t="inlineStr">
        <is>
          <t>5,1</t>
        </is>
      </c>
      <c r="CR305" t="n">
        <v>10</v>
      </c>
      <c r="CS305" t="inlineStr">
        <is>
          <t>T1</t>
        </is>
      </c>
      <c r="CT305" t="inlineStr">
        <is>
          <t>N</t>
        </is>
      </c>
    </row>
    <row r="306">
      <c r="A306" t="inlineStr">
        <is>
          <t>bradleyLai(赖卓志)</t>
        </is>
      </c>
      <c r="C306" t="n">
        <v>58172151</v>
      </c>
      <c r="D306" t="inlineStr">
        <is>
          <t>财会及报告管理部</t>
        </is>
      </c>
      <c r="E306" t="inlineStr">
        <is>
          <t>应收管理中心</t>
        </is>
      </c>
      <c r="G306" t="inlineStr">
        <is>
          <t>S2职能系统－财经线/财会及报告管理部/应收管理中心</t>
        </is>
      </c>
      <c r="H306" s="188" t="n">
        <v>36250</v>
      </c>
      <c r="I306" t="inlineStr">
        <is>
          <t>高校招聘</t>
        </is>
      </c>
      <c r="J306" t="inlineStr">
        <is>
          <t>财经类－FN</t>
        </is>
      </c>
      <c r="K306" t="inlineStr">
        <is>
          <t>会计</t>
        </is>
      </c>
      <c r="L306" t="inlineStr">
        <is>
          <t>S10</t>
        </is>
      </c>
      <c r="N306" t="inlineStr">
        <is>
          <t>T1</t>
        </is>
      </c>
      <c r="Q306" t="inlineStr">
        <is>
          <t>G,G</t>
        </is>
      </c>
      <c r="U306" t="n">
        <v>36572.55</v>
      </c>
      <c r="V306" t="n">
        <v>0.083333</v>
      </c>
      <c r="W306" t="inlineStr">
        <is>
          <t>CNY</t>
        </is>
      </c>
      <c r="X306" t="n">
        <v>1</v>
      </c>
      <c r="Y306" t="n">
        <v>35696.68</v>
      </c>
      <c r="Z306" t="n">
        <v>0</v>
      </c>
      <c r="AA306" t="n">
        <v>73145.10000000001</v>
      </c>
      <c r="AF306" t="n">
        <v>0</v>
      </c>
      <c r="AG306" t="n">
        <v>206010.1</v>
      </c>
      <c r="AH306" t="n">
        <v>5.771127735128309</v>
      </c>
      <c r="AJ306" t="n">
        <v>5.771127735128309</v>
      </c>
      <c r="AK306" t="n">
        <v>4.551966737522929</v>
      </c>
      <c r="AQ306" t="n">
        <v>206010.1</v>
      </c>
      <c r="AR306" t="n">
        <v>5.771127735128309</v>
      </c>
      <c r="AS306" t="n">
        <v>1.186181661148697</v>
      </c>
      <c r="BL306" t="n">
        <v>1</v>
      </c>
      <c r="BM306" t="n">
        <v>30980</v>
      </c>
      <c r="BN306" t="n">
        <v>0</v>
      </c>
      <c r="BO306" t="n">
        <v>32685</v>
      </c>
      <c r="BP306" t="inlineStr">
        <is>
          <t>O,G</t>
        </is>
      </c>
      <c r="BQ306" t="inlineStr">
        <is>
          <t>T1</t>
        </is>
      </c>
      <c r="BS306" t="n">
        <v>4.282117495158166</v>
      </c>
      <c r="BT306" t="n">
        <v>41015</v>
      </c>
      <c r="BV306" t="n">
        <v>5.606036152356359</v>
      </c>
      <c r="BY306" t="n">
        <v>173675</v>
      </c>
      <c r="BZ306" t="n">
        <v>5.606036152356359</v>
      </c>
      <c r="CP306" t="inlineStr">
        <is>
          <t>财会及报告管理部</t>
        </is>
      </c>
      <c r="CQ306" t="inlineStr">
        <is>
          <t>3,3</t>
        </is>
      </c>
      <c r="CR306" t="n">
        <v>10</v>
      </c>
      <c r="CS306" t="inlineStr">
        <is>
          <t>T1</t>
        </is>
      </c>
      <c r="CT306" t="inlineStr">
        <is>
          <t>N</t>
        </is>
      </c>
    </row>
    <row r="307">
      <c r="A307" t="inlineStr">
        <is>
          <t>adamYao(姚然文)</t>
        </is>
      </c>
      <c r="C307" t="n">
        <v>87852187</v>
      </c>
      <c r="D307" t="inlineStr">
        <is>
          <t>预算及职能系统财务管理部</t>
        </is>
      </c>
      <c r="E307" t="inlineStr">
        <is>
          <t>预算管理中心</t>
        </is>
      </c>
      <c r="G307" t="inlineStr">
        <is>
          <t>S2职能系统－财经线/预算及职能系统财务管理部/预算管理中心</t>
        </is>
      </c>
      <c r="H307" s="188" t="n">
        <v>42253</v>
      </c>
      <c r="I307" t="inlineStr">
        <is>
          <t>社会招聘</t>
        </is>
      </c>
      <c r="J307" t="inlineStr">
        <is>
          <t>财经类－FN</t>
        </is>
      </c>
      <c r="K307" t="inlineStr">
        <is>
          <t>预算管理</t>
        </is>
      </c>
      <c r="L307" t="inlineStr">
        <is>
          <t>S6</t>
        </is>
      </c>
      <c r="N307" t="inlineStr">
        <is>
          <t>T1#</t>
        </is>
      </c>
      <c r="Q307" t="inlineStr">
        <is>
          <t>G,G</t>
        </is>
      </c>
      <c r="U307" t="n">
        <v>38492.95</v>
      </c>
      <c r="V307" t="n">
        <v>0.083333</v>
      </c>
      <c r="W307" t="inlineStr">
        <is>
          <t>CNY</t>
        </is>
      </c>
      <c r="X307" t="n">
        <v>1</v>
      </c>
      <c r="Y307" t="n">
        <v>34808.03</v>
      </c>
      <c r="Z307" t="n">
        <v>0</v>
      </c>
      <c r="AA307" t="n">
        <v>76985.89999999999</v>
      </c>
      <c r="AF307" t="n">
        <v>0</v>
      </c>
      <c r="AG307" t="n">
        <v>257050.9</v>
      </c>
      <c r="AH307" t="n">
        <v>7.384816089850531</v>
      </c>
      <c r="AJ307" t="n">
        <v>7.384816089850531</v>
      </c>
      <c r="AK307" t="n">
        <v>5.841494046057763</v>
      </c>
      <c r="AQ307" t="n">
        <v>257050.9</v>
      </c>
      <c r="AR307" t="n">
        <v>7.384816089850531</v>
      </c>
      <c r="AS307" t="n">
        <v>1.218972851215175</v>
      </c>
      <c r="BL307" t="n">
        <v>1</v>
      </c>
      <c r="BM307" t="n">
        <v>31180</v>
      </c>
      <c r="BN307" t="n">
        <v>0</v>
      </c>
      <c r="BO307" t="n">
        <v>31295</v>
      </c>
      <c r="BP307" t="inlineStr">
        <is>
          <t>G,G</t>
        </is>
      </c>
      <c r="BQ307" t="inlineStr">
        <is>
          <t>T1#</t>
        </is>
      </c>
      <c r="BS307" t="n">
        <v>5.380692751763951</v>
      </c>
      <c r="BT307" t="n">
        <v>43105</v>
      </c>
      <c r="BV307" t="n">
        <v>6.763149454778704</v>
      </c>
      <c r="BY307" t="n">
        <v>210875</v>
      </c>
      <c r="BZ307" t="n">
        <v>6.763149454778704</v>
      </c>
      <c r="CP307" t="inlineStr">
        <is>
          <t>预算及职能系统财务管理部</t>
        </is>
      </c>
      <c r="CQ307" t="inlineStr">
        <is>
          <t>3,3</t>
        </is>
      </c>
      <c r="CR307" t="n">
        <v>6</v>
      </c>
      <c r="CS307" t="inlineStr">
        <is>
          <t>T1#</t>
        </is>
      </c>
      <c r="CT307" t="inlineStr">
        <is>
          <t>N</t>
        </is>
      </c>
    </row>
    <row r="308">
      <c r="A308" t="inlineStr">
        <is>
          <t>paulZhou(周平)</t>
        </is>
      </c>
      <c r="C308" t="n">
        <v>44931573</v>
      </c>
      <c r="D308" t="inlineStr">
        <is>
          <t>董事会办公室</t>
        </is>
      </c>
      <c r="E308" t="inlineStr">
        <is>
          <t>公司治理财经办公室</t>
        </is>
      </c>
      <c r="G308" t="inlineStr">
        <is>
          <t>S2职能系统－财经线/董事会办公室/公司治理财经办公室</t>
        </is>
      </c>
      <c r="H308" s="188" t="n">
        <v>42957</v>
      </c>
      <c r="I308" t="inlineStr">
        <is>
          <t>社会招聘</t>
        </is>
      </c>
      <c r="J308" t="inlineStr">
        <is>
          <t>财经类－FN</t>
        </is>
      </c>
      <c r="K308" t="inlineStr">
        <is>
          <t>公司秘书</t>
        </is>
      </c>
      <c r="L308" t="inlineStr">
        <is>
          <t>S8</t>
        </is>
      </c>
      <c r="N308" t="inlineStr">
        <is>
          <t>T1#</t>
        </is>
      </c>
      <c r="Q308" t="inlineStr">
        <is>
          <t>O,G</t>
        </is>
      </c>
      <c r="U308" t="n">
        <v>42158.05</v>
      </c>
      <c r="V308" t="n">
        <v>0.083333</v>
      </c>
      <c r="W308" t="inlineStr">
        <is>
          <t>CNY</t>
        </is>
      </c>
      <c r="X308" t="n">
        <v>1</v>
      </c>
      <c r="Y308" t="n">
        <v>41670.84</v>
      </c>
      <c r="Z308" t="n">
        <v>0</v>
      </c>
      <c r="AA308" t="n">
        <v>126474.15</v>
      </c>
      <c r="AF308" t="n">
        <v>0</v>
      </c>
      <c r="AG308" t="n">
        <v>336514.15</v>
      </c>
      <c r="AH308" t="n">
        <v>8.075530754839596</v>
      </c>
      <c r="AJ308" t="n">
        <v>8.075530754839596</v>
      </c>
      <c r="AK308" t="n">
        <v>6.091049520480029</v>
      </c>
      <c r="AQ308" t="n">
        <v>336514.15</v>
      </c>
      <c r="AR308" t="n">
        <v>8.075530754839596</v>
      </c>
      <c r="AS308" t="n">
        <v>1.155552255206634</v>
      </c>
      <c r="BL308" t="n">
        <v>1</v>
      </c>
      <c r="BM308" t="n">
        <v>37675</v>
      </c>
      <c r="BN308" t="n">
        <v>0</v>
      </c>
      <c r="BO308" t="n">
        <v>40720</v>
      </c>
      <c r="BP308" t="inlineStr">
        <is>
          <t>G,G</t>
        </is>
      </c>
      <c r="BQ308" t="inlineStr">
        <is>
          <t>T1#</t>
        </is>
      </c>
      <c r="BS308" t="n">
        <v>5.837027206370272</v>
      </c>
      <c r="BT308" t="n">
        <v>71305</v>
      </c>
      <c r="BV308" t="n">
        <v>7.729661579296616</v>
      </c>
      <c r="BY308" t="n">
        <v>291215</v>
      </c>
      <c r="BZ308" t="n">
        <v>7.729661579296616</v>
      </c>
      <c r="CP308" t="inlineStr">
        <is>
          <t>董事会办公室</t>
        </is>
      </c>
      <c r="CQ308" t="inlineStr">
        <is>
          <t>5,3</t>
        </is>
      </c>
      <c r="CR308" t="n">
        <v>8</v>
      </c>
      <c r="CS308" t="inlineStr">
        <is>
          <t>T1#</t>
        </is>
      </c>
      <c r="CT308" t="inlineStr">
        <is>
          <t>N</t>
        </is>
      </c>
    </row>
    <row r="309">
      <c r="A309" t="inlineStr">
        <is>
          <t>gregoryLi(李刚彤)</t>
        </is>
      </c>
      <c r="C309" t="n">
        <v>45334496</v>
      </c>
      <c r="D309" t="inlineStr">
        <is>
          <t>财会及报告管理部</t>
        </is>
      </c>
      <c r="E309" t="inlineStr">
        <is>
          <t>资产管理组</t>
        </is>
      </c>
      <c r="G309" t="inlineStr">
        <is>
          <t>S2职能系统－财经线/财会及报告管理部/资产管理组</t>
        </is>
      </c>
      <c r="H309" s="188" t="n">
        <v>44405</v>
      </c>
      <c r="I309" t="inlineStr">
        <is>
          <t>高校招聘</t>
        </is>
      </c>
      <c r="J309" t="inlineStr">
        <is>
          <t>财经类－FN</t>
        </is>
      </c>
      <c r="K309" t="inlineStr">
        <is>
          <t>会计</t>
        </is>
      </c>
      <c r="L309" t="inlineStr">
        <is>
          <t>S5</t>
        </is>
      </c>
      <c r="N309" t="inlineStr">
        <is>
          <t>T1</t>
        </is>
      </c>
      <c r="Q309" t="inlineStr">
        <is>
          <t>G,G</t>
        </is>
      </c>
      <c r="U309" t="n">
        <v>28585.1</v>
      </c>
      <c r="V309" t="n">
        <v>0.083333</v>
      </c>
      <c r="W309" t="inlineStr">
        <is>
          <t>CNY</t>
        </is>
      </c>
      <c r="X309" t="n">
        <v>1</v>
      </c>
      <c r="Y309" t="n">
        <v>26165.26</v>
      </c>
      <c r="Z309" t="n">
        <v>0</v>
      </c>
      <c r="AA309" t="n">
        <v>57170.2</v>
      </c>
      <c r="AF309" t="n">
        <v>0</v>
      </c>
      <c r="AG309" t="n">
        <v>176755.2</v>
      </c>
      <c r="AH309" t="n">
        <v>6.755338949431422</v>
      </c>
      <c r="AJ309" t="n">
        <v>6.755338949431422</v>
      </c>
      <c r="AK309" t="n">
        <v>4.891417092740527</v>
      </c>
      <c r="AQ309" t="n">
        <v>176755.2</v>
      </c>
      <c r="AR309" t="n">
        <v>6.755338949431422</v>
      </c>
      <c r="AS309" t="n">
        <v>1.605333091140275</v>
      </c>
      <c r="BL309" t="n">
        <v>1</v>
      </c>
      <c r="BM309" t="n">
        <v>23070</v>
      </c>
      <c r="BN309" t="n">
        <v>0</v>
      </c>
      <c r="BO309" t="n">
        <v>24845</v>
      </c>
      <c r="BP309" t="inlineStr">
        <is>
          <t>G,G</t>
        </is>
      </c>
      <c r="BQ309" t="inlineStr">
        <is>
          <t>T1</t>
        </is>
      </c>
      <c r="BS309" t="n">
        <v>3.374295622019939</v>
      </c>
      <c r="BT309" t="n">
        <v>32260</v>
      </c>
      <c r="BV309" t="n">
        <v>4.772648461205028</v>
      </c>
      <c r="BY309" t="n">
        <v>110105</v>
      </c>
      <c r="BZ309" t="n">
        <v>4.772648461205028</v>
      </c>
      <c r="CP309" t="inlineStr">
        <is>
          <t>财会及报告管理部</t>
        </is>
      </c>
      <c r="CQ309" t="inlineStr">
        <is>
          <t>3,3</t>
        </is>
      </c>
      <c r="CR309" t="n">
        <v>5</v>
      </c>
      <c r="CS309" t="inlineStr">
        <is>
          <t>T1</t>
        </is>
      </c>
      <c r="CT309" t="inlineStr">
        <is>
          <t>N</t>
        </is>
      </c>
    </row>
    <row r="310">
      <c r="A310" t="inlineStr">
        <is>
          <t>sharonRen(任欢)</t>
        </is>
      </c>
      <c r="C310" t="n">
        <v>38646471</v>
      </c>
      <c r="D310" t="inlineStr">
        <is>
          <t>财经IT管理部</t>
        </is>
      </c>
      <c r="E310" t="inlineStr">
        <is>
          <t>财经IT管理部</t>
        </is>
      </c>
      <c r="G310" t="inlineStr">
        <is>
          <t>S2职能系统－财经线/财经IT管理部</t>
        </is>
      </c>
      <c r="H310" s="188" t="n">
        <v>41946</v>
      </c>
      <c r="I310" t="inlineStr">
        <is>
          <t>高校招聘</t>
        </is>
      </c>
      <c r="J310" t="inlineStr">
        <is>
          <t>技术研发类－TRD</t>
        </is>
      </c>
      <c r="K310" t="inlineStr">
        <is>
          <t>应用开发</t>
        </is>
      </c>
      <c r="L310" t="inlineStr">
        <is>
          <t>T6</t>
        </is>
      </c>
      <c r="N310" t="inlineStr">
        <is>
          <t>T1</t>
        </is>
      </c>
      <c r="Q310" t="inlineStr">
        <is>
          <t>G,G</t>
        </is>
      </c>
      <c r="U310" t="n">
        <v>25758.05</v>
      </c>
      <c r="V310" t="n">
        <v>0.083333</v>
      </c>
      <c r="W310" t="inlineStr">
        <is>
          <t>CNY</t>
        </is>
      </c>
      <c r="X310" t="n">
        <v>1</v>
      </c>
      <c r="Y310" t="n">
        <v>24666.9</v>
      </c>
      <c r="Z310" t="n">
        <v>0</v>
      </c>
      <c r="AA310" t="n">
        <v>51516.1</v>
      </c>
      <c r="AF310" t="n">
        <v>0</v>
      </c>
      <c r="AG310" t="n">
        <v>153461.1</v>
      </c>
      <c r="AH310" t="n">
        <v>6.221337095459908</v>
      </c>
      <c r="AJ310" t="n">
        <v>6.221337095459908</v>
      </c>
      <c r="AK310" t="n">
        <v>4.31290920221025</v>
      </c>
      <c r="AQ310" t="n">
        <v>153461.1</v>
      </c>
      <c r="AR310" t="n">
        <v>6.221337095459908</v>
      </c>
      <c r="AS310" t="n">
        <v>1.2707415227922</v>
      </c>
      <c r="BL310" t="n">
        <v>1</v>
      </c>
      <c r="BM310" t="n">
        <v>23135</v>
      </c>
      <c r="BN310" t="n">
        <v>0</v>
      </c>
      <c r="BO310" t="n">
        <v>24210</v>
      </c>
      <c r="BP310" t="inlineStr">
        <is>
          <t>G,G</t>
        </is>
      </c>
      <c r="BQ310" t="inlineStr">
        <is>
          <t>T1</t>
        </is>
      </c>
      <c r="BS310" t="n">
        <v>3.509617462718824</v>
      </c>
      <c r="BT310" t="n">
        <v>39570</v>
      </c>
      <c r="BV310" t="n">
        <v>5.220012967365464</v>
      </c>
      <c r="BY310" t="n">
        <v>120765</v>
      </c>
      <c r="BZ310" t="n">
        <v>5.220012967365464</v>
      </c>
      <c r="CP310" t="inlineStr">
        <is>
          <t>财经IT管理部</t>
        </is>
      </c>
      <c r="CQ310" t="inlineStr">
        <is>
          <t>3,3</t>
        </is>
      </c>
      <c r="CR310" t="n">
        <v>6</v>
      </c>
      <c r="CS310" t="inlineStr">
        <is>
          <t>T1</t>
        </is>
      </c>
      <c r="CT310" t="inlineStr">
        <is>
          <t>N</t>
        </is>
      </c>
    </row>
    <row r="311">
      <c r="A311" t="inlineStr">
        <is>
          <t>judithHuang(黄畅珊)</t>
        </is>
      </c>
      <c r="C311" t="n">
        <v>78247898</v>
      </c>
      <c r="D311" t="inlineStr">
        <is>
          <t>预算及职能系统财务管理部</t>
        </is>
      </c>
      <c r="E311" t="inlineStr">
        <is>
          <t>预算管理中心</t>
        </is>
      </c>
      <c r="G311" t="inlineStr">
        <is>
          <t>S2职能系统－财经线/预算及职能系统财务管理部/预算管理中心</t>
        </is>
      </c>
      <c r="H311" s="188" t="n">
        <v>41334</v>
      </c>
      <c r="I311" t="inlineStr">
        <is>
          <t>高校招聘</t>
        </is>
      </c>
      <c r="J311" t="inlineStr">
        <is>
          <t>财经类－FN</t>
        </is>
      </c>
      <c r="K311" t="inlineStr">
        <is>
          <t>预算管理</t>
        </is>
      </c>
      <c r="L311" t="inlineStr">
        <is>
          <t>S10</t>
        </is>
      </c>
      <c r="N311" t="inlineStr">
        <is>
          <t>T1</t>
        </is>
      </c>
      <c r="Q311" t="inlineStr">
        <is>
          <t>U,O</t>
        </is>
      </c>
      <c r="U311" t="n">
        <v>41100.25</v>
      </c>
      <c r="V311" t="n">
        <v>0.083333</v>
      </c>
      <c r="W311" t="inlineStr">
        <is>
          <t>CNY</t>
        </is>
      </c>
      <c r="X311" t="n">
        <v>1</v>
      </c>
      <c r="Y311" t="n">
        <v>39889.11</v>
      </c>
      <c r="Z311" t="n">
        <v>0</v>
      </c>
      <c r="AA311" t="n">
        <v>82200.5</v>
      </c>
      <c r="AF311" t="n">
        <v>0</v>
      </c>
      <c r="AG311" t="n">
        <v>165910.5</v>
      </c>
      <c r="AH311" t="n">
        <v>4.159293100297299</v>
      </c>
      <c r="AJ311" t="n">
        <v>4.159293100297299</v>
      </c>
      <c r="AK311" t="n">
        <v>4.159293100297299</v>
      </c>
      <c r="AQ311" t="n">
        <v>165910.5</v>
      </c>
      <c r="AR311" t="n">
        <v>4.159293100297299</v>
      </c>
      <c r="AS311" t="n">
        <v>1.431929400595521</v>
      </c>
      <c r="BL311" t="n">
        <v>1</v>
      </c>
      <c r="BM311" t="n">
        <v>33120</v>
      </c>
      <c r="BN311" t="n">
        <v>0</v>
      </c>
      <c r="BO311" t="n">
        <v>35520</v>
      </c>
      <c r="BP311" t="inlineStr">
        <is>
          <t>O,U</t>
        </is>
      </c>
      <c r="BQ311" t="inlineStr">
        <is>
          <t>T1</t>
        </is>
      </c>
      <c r="BS311" t="n">
        <v>3.498339371980676</v>
      </c>
      <c r="BT311" t="n">
        <v>0</v>
      </c>
      <c r="BV311" t="n">
        <v>3.498339371980676</v>
      </c>
      <c r="BY311" t="n">
        <v>115865</v>
      </c>
      <c r="BZ311" t="n">
        <v>3.498339371980676</v>
      </c>
      <c r="CP311" t="inlineStr">
        <is>
          <t>预算及职能系统财务管理部</t>
        </is>
      </c>
      <c r="CQ311" t="inlineStr">
        <is>
          <t>5,1</t>
        </is>
      </c>
      <c r="CR311" t="n">
        <v>10</v>
      </c>
      <c r="CS311" t="inlineStr">
        <is>
          <t>T1</t>
        </is>
      </c>
      <c r="CT311" t="inlineStr">
        <is>
          <t>N</t>
        </is>
      </c>
    </row>
    <row r="312">
      <c r="A312" t="inlineStr">
        <is>
          <t>terryTan(谭宁)</t>
        </is>
      </c>
      <c r="C312" t="n">
        <v>96374157</v>
      </c>
      <c r="D312" t="inlineStr">
        <is>
          <t>财会及报告管理部</t>
        </is>
      </c>
      <c r="E312" t="inlineStr">
        <is>
          <t>员工报销服务中心</t>
        </is>
      </c>
      <c r="G312" t="inlineStr">
        <is>
          <t>S2职能系统－财经线/财会及报告管理部/员工报销服务中心</t>
        </is>
      </c>
      <c r="H312" s="188" t="n">
        <v>41100</v>
      </c>
      <c r="I312" t="inlineStr">
        <is>
          <t>社会招聘</t>
        </is>
      </c>
      <c r="J312" t="inlineStr">
        <is>
          <t>财经类－FN</t>
        </is>
      </c>
      <c r="K312" t="inlineStr">
        <is>
          <t>会计</t>
        </is>
      </c>
      <c r="L312" t="inlineStr">
        <is>
          <t>S8</t>
        </is>
      </c>
      <c r="N312" t="inlineStr">
        <is>
          <t>Others</t>
        </is>
      </c>
      <c r="Q312" t="inlineStr">
        <is>
          <t>G,G</t>
        </is>
      </c>
      <c r="U312" t="n">
        <v>46971.65</v>
      </c>
      <c r="V312" t="n">
        <v>0.083333</v>
      </c>
      <c r="W312" t="inlineStr">
        <is>
          <t>CNY</t>
        </is>
      </c>
      <c r="X312" t="n">
        <v>1</v>
      </c>
      <c r="Y312" t="n">
        <v>46403.55</v>
      </c>
      <c r="Z312" t="n">
        <v>0</v>
      </c>
      <c r="AA312" t="n">
        <v>93943.3</v>
      </c>
      <c r="AF312" t="n">
        <v>0</v>
      </c>
      <c r="AG312" t="n">
        <v>137423.3</v>
      </c>
      <c r="AH312" t="n">
        <v>2.961482472784948</v>
      </c>
      <c r="AJ312" t="n">
        <v>2.961482472784948</v>
      </c>
      <c r="AK312" t="n">
        <v>2.961482472784948</v>
      </c>
      <c r="AQ312" t="n">
        <v>137423.3</v>
      </c>
      <c r="AR312" t="n">
        <v>2.961482472784948</v>
      </c>
      <c r="AS312" t="n">
        <v>1.554826045143407</v>
      </c>
      <c r="BL312" t="n">
        <v>1</v>
      </c>
      <c r="BM312" t="n">
        <v>38350</v>
      </c>
      <c r="BN312" t="n">
        <v>0</v>
      </c>
      <c r="BO312" t="n">
        <v>39880</v>
      </c>
      <c r="BP312" t="inlineStr">
        <is>
          <t>U,G</t>
        </is>
      </c>
      <c r="BQ312" t="inlineStr">
        <is>
          <t>Others</t>
        </is>
      </c>
      <c r="BS312" t="n">
        <v>2.304693611473272</v>
      </c>
      <c r="BT312" t="n">
        <v>0</v>
      </c>
      <c r="BV312" t="n">
        <v>2.304693611473272</v>
      </c>
      <c r="BY312" t="n">
        <v>88385</v>
      </c>
      <c r="BZ312" t="n">
        <v>2.304693611473272</v>
      </c>
      <c r="CP312" t="inlineStr">
        <is>
          <t>财会及报告管理部</t>
        </is>
      </c>
      <c r="CQ312" t="inlineStr">
        <is>
          <t>3,3</t>
        </is>
      </c>
      <c r="CR312" t="n">
        <v>8</v>
      </c>
      <c r="CS312" t="inlineStr">
        <is>
          <t>Others</t>
        </is>
      </c>
      <c r="CT312" t="inlineStr">
        <is>
          <t>N</t>
        </is>
      </c>
    </row>
    <row r="313">
      <c r="A313" t="inlineStr">
        <is>
          <t>ryanYe(叶力)</t>
        </is>
      </c>
      <c r="C313" t="n">
        <v>27454011</v>
      </c>
      <c r="D313" t="inlineStr">
        <is>
          <t>PCG财务管理</t>
        </is>
      </c>
      <c r="E313" t="inlineStr">
        <is>
          <t>新闻财务管理组</t>
        </is>
      </c>
      <c r="G313" t="inlineStr">
        <is>
          <t>S2职能系统－财经线/PCG财务管理/新闻财务管理组</t>
        </is>
      </c>
      <c r="H313" s="188" t="n">
        <v>42547</v>
      </c>
      <c r="I313" t="inlineStr">
        <is>
          <t>社会招聘</t>
        </is>
      </c>
      <c r="J313" t="inlineStr">
        <is>
          <t>财经类－FN</t>
        </is>
      </c>
      <c r="K313" t="inlineStr">
        <is>
          <t>财务管理</t>
        </is>
      </c>
      <c r="L313" t="inlineStr">
        <is>
          <t>S8</t>
        </is>
      </c>
      <c r="N313" t="inlineStr">
        <is>
          <t>T2</t>
        </is>
      </c>
      <c r="Q313" t="inlineStr">
        <is>
          <t>G,G</t>
        </is>
      </c>
      <c r="U313" t="n">
        <v>50988.1</v>
      </c>
      <c r="V313" t="n">
        <v>0.083333</v>
      </c>
      <c r="W313" t="inlineStr">
        <is>
          <t>CNY</t>
        </is>
      </c>
      <c r="X313" t="n">
        <v>1</v>
      </c>
      <c r="Y313" t="n">
        <v>49630</v>
      </c>
      <c r="Z313" t="n">
        <v>0</v>
      </c>
      <c r="AA313" t="n">
        <v>101976.2</v>
      </c>
      <c r="AF313" t="n">
        <v>0</v>
      </c>
      <c r="AG313" t="n">
        <v>175366.2</v>
      </c>
      <c r="AH313" t="n">
        <v>3.533471690509773</v>
      </c>
      <c r="AJ313" t="n">
        <v>3.533471690509773</v>
      </c>
      <c r="AK313" t="n">
        <v>3.533471690509773</v>
      </c>
      <c r="AQ313" t="n">
        <v>175366.2</v>
      </c>
      <c r="AR313" t="n">
        <v>3.533471690509773</v>
      </c>
      <c r="AS313" t="n">
        <v>0.8834346741895671</v>
      </c>
      <c r="BL313" t="n">
        <v>1</v>
      </c>
      <c r="BM313" t="n">
        <v>43700</v>
      </c>
      <c r="BN313" t="n">
        <v>0</v>
      </c>
      <c r="BO313" t="n">
        <v>45675</v>
      </c>
      <c r="BP313" t="inlineStr">
        <is>
          <t>O,G</t>
        </is>
      </c>
      <c r="BQ313" t="inlineStr">
        <is>
          <t>T2</t>
        </is>
      </c>
      <c r="BS313" t="n">
        <v>4.542448512585812</v>
      </c>
      <c r="BT313" t="n">
        <v>0</v>
      </c>
      <c r="BV313" t="n">
        <v>4.542448512585812</v>
      </c>
      <c r="BY313" t="n">
        <v>198505</v>
      </c>
      <c r="BZ313" t="n">
        <v>4.542448512585812</v>
      </c>
      <c r="CP313" t="inlineStr">
        <is>
          <t>PCG财务管理</t>
        </is>
      </c>
      <c r="CQ313" t="inlineStr">
        <is>
          <t>3,3</t>
        </is>
      </c>
      <c r="CR313" t="n">
        <v>8</v>
      </c>
      <c r="CS313" t="inlineStr">
        <is>
          <t>T2</t>
        </is>
      </c>
      <c r="CT313" t="inlineStr">
        <is>
          <t>N</t>
        </is>
      </c>
    </row>
    <row r="314">
      <c r="A314" t="inlineStr">
        <is>
          <t>lukeXu(许建)</t>
        </is>
      </c>
      <c r="C314" t="n">
        <v>1877968</v>
      </c>
      <c r="D314" t="inlineStr">
        <is>
          <t>风险管理和内部控制</t>
        </is>
      </c>
      <c r="E314" t="inlineStr">
        <is>
          <t>SSV风控组</t>
        </is>
      </c>
      <c r="G314" t="inlineStr">
        <is>
          <t>S2职能系统－财经线/风险管理和内部控制/SSV风控组</t>
        </is>
      </c>
      <c r="H314" s="188" t="n">
        <v>42802</v>
      </c>
      <c r="I314" t="inlineStr">
        <is>
          <t>社会招聘</t>
        </is>
      </c>
      <c r="J314" t="inlineStr">
        <is>
          <t>财经类－FN</t>
        </is>
      </c>
      <c r="K314" t="inlineStr">
        <is>
          <t>风险管理</t>
        </is>
      </c>
      <c r="L314" t="inlineStr">
        <is>
          <t>S7</t>
        </is>
      </c>
      <c r="N314" t="inlineStr">
        <is>
          <t>T1</t>
        </is>
      </c>
      <c r="Q314" t="inlineStr">
        <is>
          <t>G,U</t>
        </is>
      </c>
      <c r="U314" t="n">
        <v>32120.3</v>
      </c>
      <c r="V314" t="n">
        <v>0.083333</v>
      </c>
      <c r="W314" t="inlineStr">
        <is>
          <t>CNY</t>
        </is>
      </c>
      <c r="X314" t="n">
        <v>1</v>
      </c>
      <c r="Y314" t="n">
        <v>29815.25</v>
      </c>
      <c r="Z314" t="n">
        <v>0</v>
      </c>
      <c r="AA314" t="n">
        <v>32120.3</v>
      </c>
      <c r="AF314" t="n">
        <v>0</v>
      </c>
      <c r="AG314" t="n">
        <v>101505.3</v>
      </c>
      <c r="AH314" t="n">
        <v>3.404475897401498</v>
      </c>
      <c r="AJ314" t="n">
        <v>3.404475897401498</v>
      </c>
      <c r="AK314" t="n">
        <v>3.404475897401498</v>
      </c>
      <c r="AQ314" t="n">
        <v>101505.3</v>
      </c>
      <c r="AR314" t="n">
        <v>3.404475897401498</v>
      </c>
      <c r="AS314" t="n">
        <v>0.7294667624865253</v>
      </c>
      <c r="BL314" t="n">
        <v>1</v>
      </c>
      <c r="BM314" t="n">
        <v>28640</v>
      </c>
      <c r="BN314" t="n">
        <v>0</v>
      </c>
      <c r="BO314" t="n">
        <v>29945</v>
      </c>
      <c r="BP314" t="inlineStr">
        <is>
          <t>G,G</t>
        </is>
      </c>
      <c r="BQ314" t="inlineStr">
        <is>
          <t>T1</t>
        </is>
      </c>
      <c r="BS314" t="n">
        <v>3.549930167597765</v>
      </c>
      <c r="BT314" t="n">
        <v>37480</v>
      </c>
      <c r="BV314" t="n">
        <v>4.85858938547486</v>
      </c>
      <c r="BY314" t="n">
        <v>139150</v>
      </c>
      <c r="BZ314" t="n">
        <v>4.85858938547486</v>
      </c>
      <c r="CP314" t="inlineStr">
        <is>
          <t>风险管理和内部控制</t>
        </is>
      </c>
      <c r="CQ314" t="inlineStr">
        <is>
          <t>3,1</t>
        </is>
      </c>
      <c r="CR314" t="n">
        <v>7</v>
      </c>
      <c r="CS314" t="inlineStr">
        <is>
          <t>T1</t>
        </is>
      </c>
      <c r="CT314" t="inlineStr">
        <is>
          <t>N</t>
        </is>
      </c>
    </row>
    <row r="315">
      <c r="A315" t="inlineStr">
        <is>
          <t>edwardFeng(冯海坚)</t>
        </is>
      </c>
      <c r="C315" t="n">
        <v>26891087</v>
      </c>
      <c r="D315" t="inlineStr">
        <is>
          <t>PCG财务管理</t>
        </is>
      </c>
      <c r="E315" t="inlineStr">
        <is>
          <t>PCG财务管理</t>
        </is>
      </c>
      <c r="G315" t="inlineStr">
        <is>
          <t>S2职能系统－财经线/PCG财务管理</t>
        </is>
      </c>
      <c r="H315" s="188" t="n">
        <v>42794</v>
      </c>
      <c r="I315" t="inlineStr">
        <is>
          <t>高校招聘</t>
        </is>
      </c>
      <c r="J315" t="inlineStr">
        <is>
          <t>财经类－FN</t>
        </is>
      </c>
      <c r="K315" t="inlineStr">
        <is>
          <t>财务管理</t>
        </is>
      </c>
      <c r="L315" t="inlineStr">
        <is>
          <t>S10</t>
        </is>
      </c>
      <c r="N315" t="inlineStr">
        <is>
          <t>T1#</t>
        </is>
      </c>
      <c r="Q315" t="inlineStr">
        <is>
          <t>O,U</t>
        </is>
      </c>
      <c r="U315" t="n">
        <v>48494.25</v>
      </c>
      <c r="V315" t="n">
        <v>0.083333</v>
      </c>
      <c r="W315" t="inlineStr">
        <is>
          <t>CNY</t>
        </is>
      </c>
      <c r="X315" t="n">
        <v>1</v>
      </c>
      <c r="Y315" t="n">
        <v>44076.12</v>
      </c>
      <c r="Z315" t="n">
        <v>0</v>
      </c>
      <c r="AA315" t="n">
        <v>96988.5</v>
      </c>
      <c r="AF315" t="n">
        <v>0</v>
      </c>
      <c r="AG315" t="n">
        <v>247223.5</v>
      </c>
      <c r="AH315" t="n">
        <v>5.609012317781147</v>
      </c>
      <c r="AJ315" t="n">
        <v>5.609012317781147</v>
      </c>
      <c r="AK315" t="n">
        <v>5.609012317781147</v>
      </c>
      <c r="AQ315" t="n">
        <v>247223.5</v>
      </c>
      <c r="AR315" t="n">
        <v>5.609012317781147</v>
      </c>
      <c r="AS315" t="n">
        <v>0.7187043039667428</v>
      </c>
      <c r="BL315" t="n">
        <v>1</v>
      </c>
      <c r="BM315" t="n">
        <v>42575</v>
      </c>
      <c r="BN315" t="n">
        <v>0</v>
      </c>
      <c r="BO315" t="n">
        <v>46690</v>
      </c>
      <c r="BP315" t="inlineStr">
        <is>
          <t>G,G</t>
        </is>
      </c>
      <c r="BQ315" t="inlineStr">
        <is>
          <t>T1#</t>
        </is>
      </c>
      <c r="BS315" t="n">
        <v>6.019025249559601</v>
      </c>
      <c r="BT315" t="n">
        <v>87725</v>
      </c>
      <c r="BV315" t="n">
        <v>8.079506752789195</v>
      </c>
      <c r="BY315" t="n">
        <v>343985</v>
      </c>
      <c r="BZ315" t="n">
        <v>8.079506752789195</v>
      </c>
      <c r="CP315" t="inlineStr">
        <is>
          <t>PCG财务管理</t>
        </is>
      </c>
      <c r="CQ315" t="inlineStr">
        <is>
          <t>5,1</t>
        </is>
      </c>
      <c r="CR315" t="n">
        <v>10</v>
      </c>
      <c r="CS315" t="inlineStr">
        <is>
          <t>T1#</t>
        </is>
      </c>
      <c r="CT315" t="inlineStr">
        <is>
          <t>N</t>
        </is>
      </c>
    </row>
    <row r="316">
      <c r="A316" t="inlineStr">
        <is>
          <t>skylarLong(龙敏涵)</t>
        </is>
      </c>
      <c r="C316" t="n">
        <v>19432524</v>
      </c>
      <c r="D316" t="inlineStr">
        <is>
          <t>资金管理</t>
        </is>
      </c>
      <c r="E316" t="inlineStr">
        <is>
          <t>资金管理</t>
        </is>
      </c>
      <c r="G316" t="inlineStr">
        <is>
          <t>S2职能系统－财经线/资金管理</t>
        </is>
      </c>
      <c r="H316" s="188" t="n">
        <v>41021</v>
      </c>
      <c r="I316" t="inlineStr">
        <is>
          <t>高校招聘</t>
        </is>
      </c>
      <c r="J316" t="inlineStr">
        <is>
          <t>财经类－FN</t>
        </is>
      </c>
      <c r="K316" t="inlineStr">
        <is>
          <t>资金管理</t>
        </is>
      </c>
      <c r="L316" t="inlineStr">
        <is>
          <t>S9</t>
        </is>
      </c>
      <c r="N316" t="inlineStr">
        <is>
          <t>T2</t>
        </is>
      </c>
      <c r="Q316" t="inlineStr">
        <is>
          <t>G,O</t>
        </is>
      </c>
      <c r="U316" t="n">
        <v>56970.7</v>
      </c>
      <c r="V316" t="n">
        <v>0.083333</v>
      </c>
      <c r="W316" t="inlineStr">
        <is>
          <t>CNY</t>
        </is>
      </c>
      <c r="X316" t="n">
        <v>1</v>
      </c>
      <c r="Y316" t="n">
        <v>56342.47</v>
      </c>
      <c r="Z316" t="n">
        <v>0</v>
      </c>
      <c r="AA316" t="n">
        <v>170912.1</v>
      </c>
      <c r="AF316" t="n">
        <v>0</v>
      </c>
      <c r="AG316" t="n">
        <v>252037.1</v>
      </c>
      <c r="AH316" t="n">
        <v>4.473305838384437</v>
      </c>
      <c r="AJ316" t="n">
        <v>4.473305838384437</v>
      </c>
      <c r="AK316" t="n">
        <v>4.473305838384437</v>
      </c>
      <c r="AQ316" t="n">
        <v>252037.1</v>
      </c>
      <c r="AR316" t="n">
        <v>4.473305838384437</v>
      </c>
      <c r="AS316" t="n">
        <v>2.054426964460385</v>
      </c>
      <c r="BL316" t="n">
        <v>1</v>
      </c>
      <c r="BM316" t="n">
        <v>49315</v>
      </c>
      <c r="BN316" t="n">
        <v>0</v>
      </c>
      <c r="BO316" t="n">
        <v>52480</v>
      </c>
      <c r="BP316" t="inlineStr">
        <is>
          <t>G,U</t>
        </is>
      </c>
      <c r="BQ316" t="inlineStr">
        <is>
          <t>T2</t>
        </is>
      </c>
      <c r="BS316" t="n">
        <v>2.487681232890601</v>
      </c>
      <c r="BT316" t="n">
        <v>0</v>
      </c>
      <c r="BV316" t="n">
        <v>2.487681232890601</v>
      </c>
      <c r="BY316" t="n">
        <v>122680</v>
      </c>
      <c r="BZ316" t="n">
        <v>2.487681232890601</v>
      </c>
      <c r="CP316" t="inlineStr">
        <is>
          <t>资金管理</t>
        </is>
      </c>
      <c r="CQ316" t="inlineStr">
        <is>
          <t>5,3</t>
        </is>
      </c>
      <c r="CR316" t="n">
        <v>9</v>
      </c>
      <c r="CS316" t="inlineStr">
        <is>
          <t>T2</t>
        </is>
      </c>
      <c r="CT316" t="inlineStr">
        <is>
          <t>N</t>
        </is>
      </c>
    </row>
    <row r="317">
      <c r="A317" t="inlineStr">
        <is>
          <t>oscarHao(郝亮)</t>
        </is>
      </c>
      <c r="C317" t="n">
        <v>12721466</v>
      </c>
      <c r="D317" t="inlineStr">
        <is>
          <t>税务部</t>
        </is>
      </c>
      <c r="E317" t="inlineStr">
        <is>
          <t>印章及文档管理组</t>
        </is>
      </c>
      <c r="G317" t="inlineStr">
        <is>
          <t>S2职能系统－财经线/税务部/印章及文档管理组</t>
        </is>
      </c>
      <c r="H317" s="188" t="n">
        <v>43747</v>
      </c>
      <c r="I317" t="inlineStr">
        <is>
          <t>社会招聘</t>
        </is>
      </c>
      <c r="J317" t="inlineStr">
        <is>
          <t>财经类－FN</t>
        </is>
      </c>
      <c r="K317" t="inlineStr">
        <is>
          <t>税务</t>
        </is>
      </c>
      <c r="L317" t="inlineStr">
        <is>
          <t>S8</t>
        </is>
      </c>
      <c r="N317" t="inlineStr">
        <is>
          <t>T2</t>
        </is>
      </c>
      <c r="Q317" t="inlineStr">
        <is>
          <t>O,G</t>
        </is>
      </c>
      <c r="U317" t="n">
        <v>35466.2</v>
      </c>
      <c r="V317" t="n">
        <v>0.083333</v>
      </c>
      <c r="W317" t="inlineStr">
        <is>
          <t>CNY</t>
        </is>
      </c>
      <c r="X317" t="n">
        <v>1</v>
      </c>
      <c r="Y317" t="n">
        <v>33268.87</v>
      </c>
      <c r="Z317" t="n">
        <v>0</v>
      </c>
      <c r="AA317" t="n">
        <v>106398.6</v>
      </c>
      <c r="AF317" t="n">
        <v>0</v>
      </c>
      <c r="AG317" t="n">
        <v>146683.6</v>
      </c>
      <c r="AH317" t="n">
        <v>4.409034632074969</v>
      </c>
      <c r="AJ317" t="n">
        <v>4.409034632074969</v>
      </c>
      <c r="AK317" t="n">
        <v>4.409034632074969</v>
      </c>
      <c r="AQ317" t="n">
        <v>146683.6</v>
      </c>
      <c r="AR317" t="n">
        <v>4.409034632074969</v>
      </c>
      <c r="AS317" t="n">
        <v>1.415318409880355</v>
      </c>
      <c r="BL317" t="n">
        <v>1</v>
      </c>
      <c r="BM317" t="n">
        <v>30205</v>
      </c>
      <c r="BN317" t="n">
        <v>0</v>
      </c>
      <c r="BO317" t="n">
        <v>30720</v>
      </c>
      <c r="BP317" t="inlineStr">
        <is>
          <t>G,G</t>
        </is>
      </c>
      <c r="BQ317" t="inlineStr">
        <is>
          <t>T2</t>
        </is>
      </c>
      <c r="BS317" t="n">
        <v>3.43121999668929</v>
      </c>
      <c r="BT317" t="n">
        <v>0</v>
      </c>
      <c r="BV317" t="n">
        <v>3.43121999668929</v>
      </c>
      <c r="BY317" t="n">
        <v>103640</v>
      </c>
      <c r="BZ317" t="n">
        <v>3.43121999668929</v>
      </c>
      <c r="CP317" t="inlineStr">
        <is>
          <t>税务部</t>
        </is>
      </c>
      <c r="CQ317" t="inlineStr">
        <is>
          <t>5,3</t>
        </is>
      </c>
      <c r="CR317" t="n">
        <v>8</v>
      </c>
      <c r="CS317" t="inlineStr">
        <is>
          <t>T2</t>
        </is>
      </c>
      <c r="CT317" t="inlineStr">
        <is>
          <t>N</t>
        </is>
      </c>
    </row>
    <row r="318">
      <c r="A318" t="inlineStr">
        <is>
          <t>larryDai(戴浩)</t>
        </is>
      </c>
      <c r="C318" t="n">
        <v>33305735</v>
      </c>
      <c r="D318" t="inlineStr">
        <is>
          <t>IEG财务管理</t>
        </is>
      </c>
      <c r="E318" t="inlineStr">
        <is>
          <t>自研财务管理组</t>
        </is>
      </c>
      <c r="G318" t="inlineStr">
        <is>
          <t>S2职能系统－财经线/IEG财务管理/自研财务管理组</t>
        </is>
      </c>
      <c r="H318" s="188" t="n">
        <v>45396</v>
      </c>
      <c r="I318" t="inlineStr">
        <is>
          <t>高校招聘</t>
        </is>
      </c>
      <c r="J318" t="inlineStr">
        <is>
          <t>财经类－FN</t>
        </is>
      </c>
      <c r="K318" t="inlineStr">
        <is>
          <t>财务管理</t>
        </is>
      </c>
      <c r="L318" t="inlineStr">
        <is>
          <t>S6</t>
        </is>
      </c>
      <c r="N318" t="inlineStr">
        <is>
          <t>T1#</t>
        </is>
      </c>
      <c r="Q318" t="inlineStr">
        <is>
          <t>G,G</t>
        </is>
      </c>
      <c r="U318" t="n">
        <v>27824.45</v>
      </c>
      <c r="V318" t="n">
        <v>0.083333</v>
      </c>
      <c r="W318" t="inlineStr">
        <is>
          <t>CNY</t>
        </is>
      </c>
      <c r="X318" t="n">
        <v>0.715068</v>
      </c>
      <c r="Y318" t="n">
        <v>27024.8</v>
      </c>
      <c r="Z318" t="n">
        <v>0</v>
      </c>
      <c r="AA318" t="n">
        <v>19896.37</v>
      </c>
      <c r="AF318" t="n">
        <v>0</v>
      </c>
      <c r="AG318" t="n">
        <v>19896.37</v>
      </c>
      <c r="AH318" t="n">
        <v>0.7362263550516562</v>
      </c>
      <c r="AJ318" t="n">
        <v>0.7362263550516562</v>
      </c>
      <c r="AK318" t="n">
        <v>0.7362263550516562</v>
      </c>
      <c r="AQ318" t="n">
        <v>19896.37</v>
      </c>
      <c r="AR318" t="n">
        <v>0.7362263550516562</v>
      </c>
      <c r="BM318" t="n">
        <v>0</v>
      </c>
      <c r="BN318" t="n">
        <v>0</v>
      </c>
      <c r="BO318" t="n">
        <v>0</v>
      </c>
      <c r="BT318" t="n">
        <v>0</v>
      </c>
      <c r="BY318" t="n">
        <v>0</v>
      </c>
      <c r="CP318" t="inlineStr">
        <is>
          <t>IEG财务管理</t>
        </is>
      </c>
      <c r="CQ318" t="inlineStr">
        <is>
          <t>3,3</t>
        </is>
      </c>
      <c r="CR318" t="n">
        <v>6</v>
      </c>
      <c r="CS318" t="inlineStr">
        <is>
          <t>T1#</t>
        </is>
      </c>
      <c r="CT318" t="inlineStr">
        <is>
          <t>N</t>
        </is>
      </c>
    </row>
    <row r="319">
      <c r="A319" t="inlineStr">
        <is>
          <t>samuelFan(范嘉旭)</t>
        </is>
      </c>
      <c r="C319" t="n">
        <v>35869871</v>
      </c>
      <c r="D319" t="inlineStr">
        <is>
          <t>董事会办公室</t>
        </is>
      </c>
      <c r="E319" t="inlineStr">
        <is>
          <t>董事会办公室</t>
        </is>
      </c>
      <c r="G319" t="inlineStr">
        <is>
          <t>S2职能系统－财经线/董事会办公室</t>
        </is>
      </c>
      <c r="H319" s="188" t="n">
        <v>37699</v>
      </c>
      <c r="I319" t="inlineStr">
        <is>
          <t>社会招聘</t>
        </is>
      </c>
      <c r="J319" t="inlineStr">
        <is>
          <t>财经类－FN</t>
        </is>
      </c>
      <c r="K319" t="inlineStr">
        <is>
          <t>公司秘书</t>
        </is>
      </c>
      <c r="L319" t="inlineStr">
        <is>
          <t>S5</t>
        </is>
      </c>
      <c r="N319" t="inlineStr">
        <is>
          <t>T1</t>
        </is>
      </c>
      <c r="Q319" t="inlineStr">
        <is>
          <t>G,G</t>
        </is>
      </c>
      <c r="U319" t="n">
        <v>32468.8</v>
      </c>
      <c r="V319" t="n">
        <v>0.083333</v>
      </c>
      <c r="W319" t="inlineStr">
        <is>
          <t>CNY</t>
        </is>
      </c>
      <c r="X319" t="n">
        <v>1</v>
      </c>
      <c r="Y319" t="n">
        <v>29944.65</v>
      </c>
      <c r="Z319" t="n">
        <v>0</v>
      </c>
      <c r="AA319" t="n">
        <v>64937.6</v>
      </c>
      <c r="AF319" t="n">
        <v>0</v>
      </c>
      <c r="AG319" t="n">
        <v>199012.6</v>
      </c>
      <c r="AH319" t="n">
        <v>6.646015231435332</v>
      </c>
      <c r="AJ319" t="n">
        <v>6.646015231435332</v>
      </c>
      <c r="AK319" t="n">
        <v>4.585713975618349</v>
      </c>
      <c r="AQ319" t="n">
        <v>199012.6</v>
      </c>
      <c r="AR319" t="n">
        <v>6.646015231435332</v>
      </c>
      <c r="AS319" t="n">
        <v>1.607013888888889</v>
      </c>
      <c r="BL319" t="n">
        <v>1</v>
      </c>
      <c r="BM319" t="n">
        <v>26585</v>
      </c>
      <c r="BN319" t="n">
        <v>0</v>
      </c>
      <c r="BO319" t="n">
        <v>26700</v>
      </c>
      <c r="BP319" t="inlineStr">
        <is>
          <t>G,G</t>
        </is>
      </c>
      <c r="BQ319" t="inlineStr">
        <is>
          <t>T1</t>
        </is>
      </c>
      <c r="BS319" t="n">
        <v>3.347564416024074</v>
      </c>
      <c r="BT319" t="n">
        <v>34845</v>
      </c>
      <c r="BV319" t="n">
        <v>4.658265939439533</v>
      </c>
      <c r="BY319" t="n">
        <v>123840</v>
      </c>
      <c r="BZ319" t="n">
        <v>4.658265939439533</v>
      </c>
      <c r="CP319" t="inlineStr">
        <is>
          <t>董事会办公室</t>
        </is>
      </c>
      <c r="CQ319" t="inlineStr">
        <is>
          <t>3,3</t>
        </is>
      </c>
      <c r="CR319" t="n">
        <v>5</v>
      </c>
      <c r="CS319" t="inlineStr">
        <is>
          <t>T1</t>
        </is>
      </c>
      <c r="CT319" t="inlineStr">
        <is>
          <t>N</t>
        </is>
      </c>
    </row>
    <row r="320">
      <c r="A320" t="inlineStr">
        <is>
          <t>susanHan(韩洁)</t>
        </is>
      </c>
      <c r="C320" t="n">
        <v>39092376</v>
      </c>
      <c r="D320" t="inlineStr">
        <is>
          <t>CSIG财务管理</t>
        </is>
      </c>
      <c r="E320" t="inlineStr">
        <is>
          <t>综合财务管理中心</t>
        </is>
      </c>
      <c r="G320" t="inlineStr">
        <is>
          <t>S2职能系统－财经线/CSIG财务管理/综合财务管理中心</t>
        </is>
      </c>
      <c r="H320" s="188" t="n">
        <v>36815</v>
      </c>
      <c r="I320" t="inlineStr">
        <is>
          <t>高校招聘</t>
        </is>
      </c>
      <c r="J320" t="inlineStr">
        <is>
          <t>财经类－FN</t>
        </is>
      </c>
      <c r="K320" t="inlineStr">
        <is>
          <t>财务管理</t>
        </is>
      </c>
      <c r="L320" t="inlineStr">
        <is>
          <t>S8</t>
        </is>
      </c>
      <c r="N320" t="inlineStr">
        <is>
          <t>Others</t>
        </is>
      </c>
      <c r="Q320" t="inlineStr">
        <is>
          <t>G,G</t>
        </is>
      </c>
      <c r="U320" t="n">
        <v>29787.2</v>
      </c>
      <c r="V320" t="n">
        <v>0.083333</v>
      </c>
      <c r="W320" t="inlineStr">
        <is>
          <t>CNY</t>
        </is>
      </c>
      <c r="X320" t="n">
        <v>1</v>
      </c>
      <c r="Y320" t="n">
        <v>26815.62</v>
      </c>
      <c r="Z320" t="n">
        <v>0</v>
      </c>
      <c r="AA320" t="n">
        <v>59574.4</v>
      </c>
      <c r="AF320" t="n">
        <v>0</v>
      </c>
      <c r="AG320" t="n">
        <v>77744.39999999999</v>
      </c>
      <c r="AH320" t="n">
        <v>2.899220678097318</v>
      </c>
      <c r="AJ320" t="n">
        <v>2.899220678097318</v>
      </c>
      <c r="AK320" t="n">
        <v>2.899220678097318</v>
      </c>
      <c r="AQ320" t="n">
        <v>77744.39999999999</v>
      </c>
      <c r="AR320" t="n">
        <v>2.899220678097318</v>
      </c>
      <c r="AS320" t="n">
        <v>1.352900026102845</v>
      </c>
      <c r="BL320" t="n">
        <v>1</v>
      </c>
      <c r="BM320" t="n">
        <v>25770</v>
      </c>
      <c r="BN320" t="n">
        <v>0</v>
      </c>
      <c r="BO320" t="n">
        <v>26720</v>
      </c>
      <c r="BP320" t="inlineStr">
        <is>
          <t>U,G</t>
        </is>
      </c>
      <c r="BQ320" t="inlineStr">
        <is>
          <t>Others</t>
        </is>
      </c>
      <c r="BS320" t="n">
        <v>2.229918509895227</v>
      </c>
      <c r="BT320" t="n">
        <v>0</v>
      </c>
      <c r="BV320" t="n">
        <v>2.229918509895227</v>
      </c>
      <c r="BY320" t="n">
        <v>57465</v>
      </c>
      <c r="BZ320" t="n">
        <v>2.229918509895227</v>
      </c>
      <c r="CP320" t="inlineStr">
        <is>
          <t>CSIG财务管理</t>
        </is>
      </c>
      <c r="CQ320" t="inlineStr">
        <is>
          <t>3,3</t>
        </is>
      </c>
      <c r="CR320" t="n">
        <v>8</v>
      </c>
      <c r="CS320" t="inlineStr">
        <is>
          <t>Others</t>
        </is>
      </c>
      <c r="CT320" t="inlineStr">
        <is>
          <t>N</t>
        </is>
      </c>
    </row>
    <row r="321">
      <c r="A321" t="inlineStr">
        <is>
          <t>blakeGu(顾彪)</t>
        </is>
      </c>
      <c r="C321" t="n">
        <v>60040885</v>
      </c>
      <c r="D321" t="inlineStr">
        <is>
          <t>PCG财务管理</t>
        </is>
      </c>
      <c r="E321" t="inlineStr">
        <is>
          <t>在线视频财务管理中心</t>
        </is>
      </c>
      <c r="G321" t="inlineStr">
        <is>
          <t>S2职能系统－财经线/PCG财务管理/在线视频财务管理中心</t>
        </is>
      </c>
      <c r="H321" s="188" t="n">
        <v>37644</v>
      </c>
      <c r="I321" t="inlineStr">
        <is>
          <t>社会招聘</t>
        </is>
      </c>
      <c r="J321" t="inlineStr">
        <is>
          <t>财经类－FN</t>
        </is>
      </c>
      <c r="K321" t="inlineStr">
        <is>
          <t>财务管理</t>
        </is>
      </c>
      <c r="L321" t="inlineStr">
        <is>
          <t>S8</t>
        </is>
      </c>
      <c r="N321" t="inlineStr">
        <is>
          <t>T1</t>
        </is>
      </c>
      <c r="Q321" t="inlineStr">
        <is>
          <t>G,O</t>
        </is>
      </c>
      <c r="U321" t="n">
        <v>40054.9</v>
      </c>
      <c r="V321" t="n">
        <v>0.083333</v>
      </c>
      <c r="W321" t="inlineStr">
        <is>
          <t>CNY</t>
        </is>
      </c>
      <c r="X321" t="n">
        <v>1</v>
      </c>
      <c r="Y321" t="n">
        <v>37428.78</v>
      </c>
      <c r="Z321" t="n">
        <v>0</v>
      </c>
      <c r="AA321" t="n">
        <v>120164.7</v>
      </c>
      <c r="AF321" t="n">
        <v>0</v>
      </c>
      <c r="AG321" t="n">
        <v>292249.7</v>
      </c>
      <c r="AH321" t="n">
        <v>7.808154580512643</v>
      </c>
      <c r="AJ321" t="n">
        <v>7.808154580512643</v>
      </c>
      <c r="AK321" t="n">
        <v>5.760665990181887</v>
      </c>
      <c r="AQ321" t="n">
        <v>292249.7</v>
      </c>
      <c r="AR321" t="n">
        <v>7.808154580512643</v>
      </c>
      <c r="AS321" t="n">
        <v>1.623744756507487</v>
      </c>
      <c r="BL321" t="n">
        <v>1</v>
      </c>
      <c r="BM321" t="n">
        <v>33470</v>
      </c>
      <c r="BN321" t="n">
        <v>0</v>
      </c>
      <c r="BO321" t="n">
        <v>35490</v>
      </c>
      <c r="BP321" t="inlineStr">
        <is>
          <t>G,G</t>
        </is>
      </c>
      <c r="BQ321" t="inlineStr">
        <is>
          <t>T1</t>
        </is>
      </c>
      <c r="BS321" t="n">
        <v>3.65625933671945</v>
      </c>
      <c r="BT321" t="n">
        <v>57610</v>
      </c>
      <c r="BV321" t="n">
        <v>5.377502240812668</v>
      </c>
      <c r="BY321" t="n">
        <v>179985</v>
      </c>
      <c r="BZ321" t="n">
        <v>5.377502240812668</v>
      </c>
      <c r="CP321" t="inlineStr">
        <is>
          <t>PCG财务管理</t>
        </is>
      </c>
      <c r="CQ321" t="inlineStr">
        <is>
          <t>5,3</t>
        </is>
      </c>
      <c r="CR321" t="n">
        <v>8</v>
      </c>
      <c r="CS321" t="inlineStr">
        <is>
          <t>T1</t>
        </is>
      </c>
      <c r="CT321" t="inlineStr">
        <is>
          <t>N</t>
        </is>
      </c>
    </row>
    <row r="322">
      <c r="A322" t="inlineStr">
        <is>
          <t>markDuan(段鹏)</t>
        </is>
      </c>
      <c r="C322" t="n">
        <v>97851109</v>
      </c>
      <c r="D322" t="inlineStr">
        <is>
          <t>风险管理和内部控制</t>
        </is>
      </c>
      <c r="E322" t="inlineStr">
        <is>
          <t>WXG风控中心</t>
        </is>
      </c>
      <c r="G322" t="inlineStr">
        <is>
          <t>S2职能系统－财经线/风险管理和内部控制/WXG风控中心</t>
        </is>
      </c>
      <c r="H322" s="188" t="n">
        <v>44367</v>
      </c>
      <c r="I322" t="inlineStr">
        <is>
          <t>社会招聘</t>
        </is>
      </c>
      <c r="J322" t="inlineStr">
        <is>
          <t>财经类－FN</t>
        </is>
      </c>
      <c r="K322" t="inlineStr">
        <is>
          <t>风险管理</t>
        </is>
      </c>
      <c r="L322" t="inlineStr">
        <is>
          <t>S11</t>
        </is>
      </c>
      <c r="N322" t="inlineStr">
        <is>
          <t>T1#</t>
        </is>
      </c>
      <c r="Q322" t="inlineStr">
        <is>
          <t>G,G</t>
        </is>
      </c>
      <c r="U322" t="n">
        <v>50547.6</v>
      </c>
      <c r="V322" t="n">
        <v>0.083333</v>
      </c>
      <c r="W322" t="inlineStr">
        <is>
          <t>CNY</t>
        </is>
      </c>
      <c r="X322" t="n">
        <v>1</v>
      </c>
      <c r="Y322" t="n">
        <v>45771.13</v>
      </c>
      <c r="Z322" t="n">
        <v>0</v>
      </c>
      <c r="AA322" t="n">
        <v>101095.2</v>
      </c>
      <c r="AF322" t="n">
        <v>0</v>
      </c>
      <c r="AG322" t="n">
        <v>343515.2</v>
      </c>
      <c r="AH322" t="n">
        <v>7.50506268907934</v>
      </c>
      <c r="AJ322" t="n">
        <v>7.50506268907934</v>
      </c>
      <c r="AK322" t="n">
        <v>5.901540993198115</v>
      </c>
      <c r="AQ322" t="n">
        <v>343515.2</v>
      </c>
      <c r="AR322" t="n">
        <v>7.50506268907934</v>
      </c>
      <c r="AS322" t="n">
        <v>1.0296909565061</v>
      </c>
      <c r="BL322" t="n">
        <v>1</v>
      </c>
      <c r="BM322" t="n">
        <v>44645</v>
      </c>
      <c r="BN322" t="n">
        <v>0</v>
      </c>
      <c r="BO322" t="n">
        <v>47195</v>
      </c>
      <c r="BP322" t="inlineStr">
        <is>
          <t>G,G</t>
        </is>
      </c>
      <c r="BQ322" t="inlineStr">
        <is>
          <t>T1#</t>
        </is>
      </c>
      <c r="BS322" t="n">
        <v>5.434875125993952</v>
      </c>
      <c r="BT322" t="n">
        <v>90970</v>
      </c>
      <c r="BV322" t="n">
        <v>7.472505319744652</v>
      </c>
      <c r="BY322" t="n">
        <v>333610</v>
      </c>
      <c r="BZ322" t="n">
        <v>7.472505319744652</v>
      </c>
      <c r="CP322" t="inlineStr">
        <is>
          <t>风险管理和内部控制</t>
        </is>
      </c>
      <c r="CQ322" t="inlineStr">
        <is>
          <t>3,3</t>
        </is>
      </c>
      <c r="CR322" t="n">
        <v>11</v>
      </c>
      <c r="CS322" t="inlineStr">
        <is>
          <t>T1#</t>
        </is>
      </c>
      <c r="CT322" t="inlineStr">
        <is>
          <t>N</t>
        </is>
      </c>
    </row>
    <row r="323">
      <c r="A323" t="inlineStr">
        <is>
          <t>davidCao(曹胜轩)</t>
        </is>
      </c>
      <c r="C323" t="n">
        <v>91466340</v>
      </c>
      <c r="D323" t="inlineStr">
        <is>
          <t>基建财务管理</t>
        </is>
      </c>
      <c r="E323" t="inlineStr">
        <is>
          <t>基建财务管理</t>
        </is>
      </c>
      <c r="G323" t="inlineStr">
        <is>
          <t>S2职能系统－财经线/基建财务管理</t>
        </is>
      </c>
      <c r="H323" s="188" t="n">
        <v>43741</v>
      </c>
      <c r="I323" t="inlineStr">
        <is>
          <t>社会招聘</t>
        </is>
      </c>
      <c r="J323" t="inlineStr">
        <is>
          <t>财经类－FN</t>
        </is>
      </c>
      <c r="K323" t="inlineStr">
        <is>
          <t>财务管理</t>
        </is>
      </c>
      <c r="L323" t="inlineStr">
        <is>
          <t>S6</t>
        </is>
      </c>
      <c r="N323" t="inlineStr">
        <is>
          <t>T1</t>
        </is>
      </c>
      <c r="Q323" t="inlineStr">
        <is>
          <t>G,G</t>
        </is>
      </c>
      <c r="U323" t="n">
        <v>33531.05</v>
      </c>
      <c r="V323" t="n">
        <v>0.083333</v>
      </c>
      <c r="W323" t="inlineStr">
        <is>
          <t>CNY</t>
        </is>
      </c>
      <c r="X323" t="n">
        <v>1</v>
      </c>
      <c r="Y323" t="n">
        <v>31470.69</v>
      </c>
      <c r="Z323" t="n">
        <v>0</v>
      </c>
      <c r="AA323" t="n">
        <v>67062.10000000001</v>
      </c>
      <c r="AF323" t="n">
        <v>0</v>
      </c>
      <c r="AG323" t="n">
        <v>205762.1</v>
      </c>
      <c r="AH323" t="n">
        <v>6.538213811009546</v>
      </c>
      <c r="AJ323" t="n">
        <v>6.538213811009546</v>
      </c>
      <c r="AK323" t="n">
        <v>4.582902376782969</v>
      </c>
      <c r="AQ323" t="n">
        <v>205762.1</v>
      </c>
      <c r="AR323" t="n">
        <v>6.538213811009546</v>
      </c>
      <c r="AS323" t="n">
        <v>2.135015304798963</v>
      </c>
      <c r="BL323" t="n">
        <v>1</v>
      </c>
      <c r="BM323" t="n">
        <v>28160</v>
      </c>
      <c r="BN323" t="n">
        <v>0</v>
      </c>
      <c r="BO323" t="n">
        <v>30625</v>
      </c>
      <c r="BP323" t="inlineStr">
        <is>
          <t>G,G</t>
        </is>
      </c>
      <c r="BQ323" t="inlineStr">
        <is>
          <t>T2</t>
        </is>
      </c>
      <c r="BS323" t="n">
        <v>3.422407670454545</v>
      </c>
      <c r="BT323" t="n">
        <v>0</v>
      </c>
      <c r="BV323" t="n">
        <v>3.422407670454545</v>
      </c>
      <c r="BY323" t="n">
        <v>96375</v>
      </c>
      <c r="BZ323" t="n">
        <v>3.422407670454545</v>
      </c>
      <c r="CP323" t="inlineStr">
        <is>
          <t>基建财务管理</t>
        </is>
      </c>
      <c r="CQ323" t="inlineStr">
        <is>
          <t>3,3</t>
        </is>
      </c>
      <c r="CR323" t="n">
        <v>6</v>
      </c>
      <c r="CS323" t="inlineStr">
        <is>
          <t>T1</t>
        </is>
      </c>
      <c r="CT323" t="inlineStr">
        <is>
          <t>N</t>
        </is>
      </c>
    </row>
    <row r="324">
      <c r="A324" t="inlineStr">
        <is>
          <t>avaHan(韩姗姗)</t>
        </is>
      </c>
      <c r="C324" t="n">
        <v>4260493</v>
      </c>
      <c r="D324" t="inlineStr">
        <is>
          <t>FiT财务管理</t>
        </is>
      </c>
      <c r="E324" t="inlineStr">
        <is>
          <t>业务支持与分析中心</t>
        </is>
      </c>
      <c r="G324" t="inlineStr">
        <is>
          <t>S2职能系统－财经线/FiT财务管理/业务支持与分析中心</t>
        </is>
      </c>
      <c r="H324" s="188" t="n">
        <v>43914</v>
      </c>
      <c r="I324" t="inlineStr">
        <is>
          <t>社会招聘</t>
        </is>
      </c>
      <c r="J324" t="inlineStr">
        <is>
          <t>财经类－FN</t>
        </is>
      </c>
      <c r="K324" t="inlineStr">
        <is>
          <t>财务管理</t>
        </is>
      </c>
      <c r="L324" t="inlineStr">
        <is>
          <t>S5</t>
        </is>
      </c>
      <c r="N324" t="inlineStr">
        <is>
          <t>T1</t>
        </is>
      </c>
      <c r="Q324" t="inlineStr">
        <is>
          <t>O,G</t>
        </is>
      </c>
      <c r="U324" t="n">
        <v>24763.55</v>
      </c>
      <c r="V324" t="n">
        <v>0.083333</v>
      </c>
      <c r="W324" t="inlineStr">
        <is>
          <t>CNY</t>
        </is>
      </c>
      <c r="X324" t="n">
        <v>1</v>
      </c>
      <c r="Y324" t="n">
        <v>23317.64</v>
      </c>
      <c r="Z324" t="n">
        <v>0</v>
      </c>
      <c r="AA324" t="n">
        <v>74290.64999999999</v>
      </c>
      <c r="AF324" t="n">
        <v>0</v>
      </c>
      <c r="AG324" t="n">
        <v>151840.65</v>
      </c>
      <c r="AH324" t="n">
        <v>6.51183610348217</v>
      </c>
      <c r="AJ324" t="n">
        <v>6.51183610348217</v>
      </c>
      <c r="AK324" t="n">
        <v>5.311671764380958</v>
      </c>
      <c r="AQ324" t="n">
        <v>151840.65</v>
      </c>
      <c r="AR324" t="n">
        <v>6.51183610348217</v>
      </c>
      <c r="AS324" t="n">
        <v>1.300061218374074</v>
      </c>
      <c r="BL324" t="n">
        <v>1</v>
      </c>
      <c r="BM324" t="n">
        <v>22225</v>
      </c>
      <c r="BN324" t="n">
        <v>0</v>
      </c>
      <c r="BO324" t="n">
        <v>23320</v>
      </c>
      <c r="BP324" t="inlineStr">
        <is>
          <t>G,G</t>
        </is>
      </c>
      <c r="BQ324" t="inlineStr">
        <is>
          <t>T1</t>
        </is>
      </c>
      <c r="BS324" t="n">
        <v>3.226096737907762</v>
      </c>
      <c r="BT324" t="n">
        <v>45095</v>
      </c>
      <c r="BV324" t="n">
        <v>5.255118110236221</v>
      </c>
      <c r="BY324" t="n">
        <v>116795</v>
      </c>
      <c r="BZ324" t="n">
        <v>5.255118110236221</v>
      </c>
      <c r="CP324" t="inlineStr">
        <is>
          <t>FiT财务管理</t>
        </is>
      </c>
      <c r="CQ324" t="inlineStr">
        <is>
          <t>5,3</t>
        </is>
      </c>
      <c r="CR324" t="n">
        <v>5</v>
      </c>
      <c r="CS324" t="inlineStr">
        <is>
          <t>T1</t>
        </is>
      </c>
      <c r="CT324" t="inlineStr">
        <is>
          <t>N</t>
        </is>
      </c>
    </row>
    <row r="325">
      <c r="A325" t="inlineStr">
        <is>
          <t>oliviaYan(阎艳)</t>
        </is>
      </c>
      <c r="C325" t="n">
        <v>93041506</v>
      </c>
      <c r="D325" t="inlineStr">
        <is>
          <t>CSIG财务管理</t>
        </is>
      </c>
      <c r="E325" t="inlineStr">
        <is>
          <t>行业财务管理1中心</t>
        </is>
      </c>
      <c r="G325" t="inlineStr">
        <is>
          <t>S2职能系统－财经线/CSIG财务管理/行业财务管理1中心</t>
        </is>
      </c>
      <c r="H325" s="188" t="n">
        <v>36898</v>
      </c>
      <c r="I325" t="inlineStr">
        <is>
          <t>社会招聘</t>
        </is>
      </c>
      <c r="J325" t="inlineStr">
        <is>
          <t>财经类－FN</t>
        </is>
      </c>
      <c r="K325" t="inlineStr">
        <is>
          <t>财务管理</t>
        </is>
      </c>
      <c r="L325" t="inlineStr">
        <is>
          <t>S11</t>
        </is>
      </c>
      <c r="N325" t="inlineStr">
        <is>
          <t>T1#</t>
        </is>
      </c>
      <c r="Q325" t="inlineStr">
        <is>
          <t>O,G</t>
        </is>
      </c>
      <c r="U325" t="n">
        <v>68673.45</v>
      </c>
      <c r="V325" t="n">
        <v>0.083333</v>
      </c>
      <c r="W325" t="inlineStr">
        <is>
          <t>CNY</t>
        </is>
      </c>
      <c r="X325" t="n">
        <v>1</v>
      </c>
      <c r="Y325" t="n">
        <v>63810.8</v>
      </c>
      <c r="Z325" t="n">
        <v>0</v>
      </c>
      <c r="AA325" t="n">
        <v>206020.35</v>
      </c>
      <c r="AF325" t="n">
        <v>0</v>
      </c>
      <c r="AG325" t="n">
        <v>548720.35</v>
      </c>
      <c r="AH325" t="n">
        <v>8.599176785121013</v>
      </c>
      <c r="AJ325" t="n">
        <v>8.599176785121013</v>
      </c>
      <c r="AK325" t="n">
        <v>6.814760980899784</v>
      </c>
      <c r="AQ325" t="n">
        <v>548720.35</v>
      </c>
      <c r="AR325" t="n">
        <v>8.599176785121013</v>
      </c>
      <c r="AS325" t="n">
        <v>1.378209549404732</v>
      </c>
      <c r="BL325" t="n">
        <v>1</v>
      </c>
      <c r="BM325" t="n">
        <v>56870</v>
      </c>
      <c r="BN325" t="n">
        <v>0</v>
      </c>
      <c r="BO325" t="n">
        <v>60225</v>
      </c>
      <c r="BP325" t="inlineStr">
        <is>
          <t>G,G</t>
        </is>
      </c>
      <c r="BQ325" t="inlineStr">
        <is>
          <t>T1#</t>
        </is>
      </c>
      <c r="BS325" t="n">
        <v>5.334446984350272</v>
      </c>
      <c r="BT325" t="n">
        <v>94770</v>
      </c>
      <c r="BV325" t="n">
        <v>7.000879198171268</v>
      </c>
      <c r="BY325" t="n">
        <v>398140</v>
      </c>
      <c r="BZ325" t="n">
        <v>7.000879198171268</v>
      </c>
      <c r="CP325" t="inlineStr">
        <is>
          <t>CSIG财务管理</t>
        </is>
      </c>
      <c r="CQ325" t="inlineStr">
        <is>
          <t>5,3</t>
        </is>
      </c>
      <c r="CR325" t="n">
        <v>11</v>
      </c>
      <c r="CS325" t="inlineStr">
        <is>
          <t>T1#</t>
        </is>
      </c>
      <c r="CT325" t="inlineStr">
        <is>
          <t>N</t>
        </is>
      </c>
    </row>
    <row r="326">
      <c r="A326" t="inlineStr">
        <is>
          <t>nancyYuan(袁冰)</t>
        </is>
      </c>
      <c r="C326" t="n">
        <v>45195110</v>
      </c>
      <c r="D326" t="inlineStr">
        <is>
          <t>风险管理和内部控制</t>
        </is>
      </c>
      <c r="E326" t="inlineStr">
        <is>
          <t>CDG-AMS风控组</t>
        </is>
      </c>
      <c r="G326" t="inlineStr">
        <is>
          <t>S2职能系统－财经线/风险管理和内部控制/CDG-AMS风控组</t>
        </is>
      </c>
      <c r="H326" s="188" t="n">
        <v>38365</v>
      </c>
      <c r="I326" t="inlineStr">
        <is>
          <t>社会招聘</t>
        </is>
      </c>
      <c r="J326" t="inlineStr">
        <is>
          <t>财经类－FN</t>
        </is>
      </c>
      <c r="K326" t="inlineStr">
        <is>
          <t>风险管理</t>
        </is>
      </c>
      <c r="L326" t="inlineStr">
        <is>
          <t>S8</t>
        </is>
      </c>
      <c r="N326" t="inlineStr">
        <is>
          <t>T2</t>
        </is>
      </c>
      <c r="Q326" t="inlineStr">
        <is>
          <t>O,O</t>
        </is>
      </c>
      <c r="U326" t="n">
        <v>40860.45</v>
      </c>
      <c r="V326" t="n">
        <v>0.083333</v>
      </c>
      <c r="W326" t="inlineStr">
        <is>
          <t>CNY</t>
        </is>
      </c>
      <c r="X326" t="n">
        <v>1</v>
      </c>
      <c r="Y326" t="n">
        <v>37175.87</v>
      </c>
      <c r="Z326" t="n">
        <v>0</v>
      </c>
      <c r="AA326" t="n">
        <v>163441.8</v>
      </c>
      <c r="AF326" t="n">
        <v>0</v>
      </c>
      <c r="AG326" t="n">
        <v>205716.8</v>
      </c>
      <c r="AH326" t="n">
        <v>5.533610914821899</v>
      </c>
      <c r="AJ326" t="n">
        <v>5.533610914821899</v>
      </c>
      <c r="AK326" t="n">
        <v>5.533610914821899</v>
      </c>
      <c r="AQ326" t="n">
        <v>205716.8</v>
      </c>
      <c r="AR326" t="n">
        <v>5.533610914821899</v>
      </c>
      <c r="AS326" t="n">
        <v>1.696423535232755</v>
      </c>
      <c r="BL326" t="n">
        <v>1</v>
      </c>
      <c r="BM326" t="n">
        <v>35865</v>
      </c>
      <c r="BN326" t="n">
        <v>0</v>
      </c>
      <c r="BO326" t="n">
        <v>38240</v>
      </c>
      <c r="BP326" t="inlineStr">
        <is>
          <t>G,G</t>
        </is>
      </c>
      <c r="BQ326" t="inlineStr">
        <is>
          <t>T2</t>
        </is>
      </c>
      <c r="BS326" t="n">
        <v>3.381151540499094</v>
      </c>
      <c r="BT326" t="n">
        <v>0</v>
      </c>
      <c r="BV326" t="n">
        <v>3.381151540499094</v>
      </c>
      <c r="BY326" t="n">
        <v>121265</v>
      </c>
      <c r="BZ326" t="n">
        <v>3.381151540499094</v>
      </c>
      <c r="CP326" t="inlineStr">
        <is>
          <t>风险管理和内部控制</t>
        </is>
      </c>
      <c r="CQ326" t="inlineStr">
        <is>
          <t>5,5</t>
        </is>
      </c>
      <c r="CR326" t="n">
        <v>8</v>
      </c>
      <c r="CS326" t="inlineStr">
        <is>
          <t>T2</t>
        </is>
      </c>
      <c r="CT326" t="inlineStr">
        <is>
          <t>N</t>
        </is>
      </c>
    </row>
    <row r="327">
      <c r="A327" t="inlineStr">
        <is>
          <t>marcusHuang(黄哲翔)</t>
        </is>
      </c>
      <c r="C327" t="n">
        <v>75773032</v>
      </c>
      <c r="D327" t="inlineStr">
        <is>
          <t>资金管理</t>
        </is>
      </c>
      <c r="E327" t="inlineStr">
        <is>
          <t>资金管理</t>
        </is>
      </c>
      <c r="G327" t="inlineStr">
        <is>
          <t>S2职能系统－财经线/资金管理</t>
        </is>
      </c>
      <c r="H327" s="188" t="n">
        <v>41264</v>
      </c>
      <c r="I327" t="inlineStr">
        <is>
          <t>社会招聘</t>
        </is>
      </c>
      <c r="J327" t="inlineStr">
        <is>
          <t>财经类－FN</t>
        </is>
      </c>
      <c r="K327" t="inlineStr">
        <is>
          <t>资金管理</t>
        </is>
      </c>
      <c r="L327" t="inlineStr">
        <is>
          <t>S5</t>
        </is>
      </c>
      <c r="N327" t="inlineStr">
        <is>
          <t>T1</t>
        </is>
      </c>
      <c r="Q327" t="inlineStr">
        <is>
          <t>O,U</t>
        </is>
      </c>
      <c r="U327" t="n">
        <v>20901.4</v>
      </c>
      <c r="V327" t="n">
        <v>0.083333</v>
      </c>
      <c r="W327" t="inlineStr">
        <is>
          <t>CNY</t>
        </is>
      </c>
      <c r="X327" t="n">
        <v>1</v>
      </c>
      <c r="Y327" t="n">
        <v>20188.2</v>
      </c>
      <c r="Z327" t="n">
        <v>0</v>
      </c>
      <c r="AA327" t="n">
        <v>41802.8</v>
      </c>
      <c r="AF327" t="n">
        <v>0</v>
      </c>
      <c r="AG327" t="n">
        <v>92907.8</v>
      </c>
      <c r="AH327" t="n">
        <v>4.602084385928413</v>
      </c>
      <c r="AJ327" t="n">
        <v>4.602084385928413</v>
      </c>
      <c r="AK327" t="n">
        <v>4.602084385928413</v>
      </c>
      <c r="AQ327" t="n">
        <v>92907.8</v>
      </c>
      <c r="AR327" t="n">
        <v>4.602084385928413</v>
      </c>
      <c r="AS327" t="n">
        <v>1.946732320586695</v>
      </c>
      <c r="BL327" t="n">
        <v>1</v>
      </c>
      <c r="BM327" t="n">
        <v>18120</v>
      </c>
      <c r="BN327" t="n">
        <v>0</v>
      </c>
      <c r="BO327" t="n">
        <v>19840</v>
      </c>
      <c r="BP327" t="inlineStr">
        <is>
          <t>G,U</t>
        </is>
      </c>
      <c r="BQ327" t="inlineStr">
        <is>
          <t>T1</t>
        </is>
      </c>
      <c r="BS327" t="n">
        <v>2.633830022075055</v>
      </c>
      <c r="BT327" t="n">
        <v>0</v>
      </c>
      <c r="BV327" t="n">
        <v>2.633830022075055</v>
      </c>
      <c r="BY327" t="n">
        <v>47725</v>
      </c>
      <c r="BZ327" t="n">
        <v>2.633830022075055</v>
      </c>
      <c r="CP327" t="inlineStr">
        <is>
          <t>资金管理</t>
        </is>
      </c>
      <c r="CQ327" t="inlineStr">
        <is>
          <t>5,1</t>
        </is>
      </c>
      <c r="CR327" t="n">
        <v>5</v>
      </c>
      <c r="CS327" t="inlineStr">
        <is>
          <t>T1</t>
        </is>
      </c>
      <c r="CT327" t="inlineStr">
        <is>
          <t>N</t>
        </is>
      </c>
    </row>
    <row r="328">
      <c r="A328" t="inlineStr">
        <is>
          <t>laylaXie(谢洁婧)</t>
        </is>
      </c>
      <c r="C328" t="n">
        <v>27686556</v>
      </c>
      <c r="D328" t="inlineStr">
        <is>
          <t>税务部</t>
        </is>
      </c>
      <c r="E328" t="inlineStr">
        <is>
          <t>BG税务组</t>
        </is>
      </c>
      <c r="G328" t="inlineStr">
        <is>
          <t>S2职能系统－财经线/税务部/BG税务组</t>
        </is>
      </c>
      <c r="H328" s="188" t="n">
        <v>44229</v>
      </c>
      <c r="I328" t="inlineStr">
        <is>
          <t>社会招聘</t>
        </is>
      </c>
      <c r="J328" t="inlineStr">
        <is>
          <t>财经类－FN</t>
        </is>
      </c>
      <c r="K328" t="inlineStr">
        <is>
          <t>税务</t>
        </is>
      </c>
      <c r="L328" t="inlineStr">
        <is>
          <t>S8</t>
        </is>
      </c>
      <c r="N328" t="inlineStr">
        <is>
          <t>T1</t>
        </is>
      </c>
      <c r="Q328" t="inlineStr">
        <is>
          <t>G,G</t>
        </is>
      </c>
      <c r="U328" t="n">
        <v>49978.15</v>
      </c>
      <c r="V328" t="n">
        <v>0.083333</v>
      </c>
      <c r="W328" t="inlineStr">
        <is>
          <t>CNY</t>
        </is>
      </c>
      <c r="X328" t="n">
        <v>1</v>
      </c>
      <c r="Y328" t="n">
        <v>48654.68</v>
      </c>
      <c r="Z328" t="n">
        <v>0</v>
      </c>
      <c r="AA328" t="n">
        <v>99956.3</v>
      </c>
      <c r="AF328" t="n">
        <v>0</v>
      </c>
      <c r="AG328" t="n">
        <v>278861.3</v>
      </c>
      <c r="AH328" t="n">
        <v>5.731438373451433</v>
      </c>
      <c r="AJ328" t="n">
        <v>5.731438373451433</v>
      </c>
      <c r="AK328" t="n">
        <v>4.252443958114615</v>
      </c>
      <c r="AQ328" t="n">
        <v>278861.3</v>
      </c>
      <c r="AR328" t="n">
        <v>5.731438373451433</v>
      </c>
      <c r="AS328" t="n">
        <v>2.054832363127256</v>
      </c>
      <c r="BL328" t="n">
        <v>1</v>
      </c>
      <c r="BM328" t="n">
        <v>41915</v>
      </c>
      <c r="BN328" t="n">
        <v>0</v>
      </c>
      <c r="BO328" t="n">
        <v>43520</v>
      </c>
      <c r="BP328" t="inlineStr">
        <is>
          <t>U,O</t>
        </is>
      </c>
      <c r="BQ328" t="inlineStr">
        <is>
          <t>T1</t>
        </is>
      </c>
      <c r="BS328" t="n">
        <v>3.237743051413575</v>
      </c>
      <c r="BT328" t="n">
        <v>0</v>
      </c>
      <c r="BV328" t="n">
        <v>3.237743051413575</v>
      </c>
      <c r="BY328" t="n">
        <v>135710</v>
      </c>
      <c r="BZ328" t="n">
        <v>3.237743051413575</v>
      </c>
      <c r="CP328" t="inlineStr">
        <is>
          <t>税务部</t>
        </is>
      </c>
      <c r="CQ328" t="inlineStr">
        <is>
          <t>3,3</t>
        </is>
      </c>
      <c r="CR328" t="n">
        <v>8</v>
      </c>
      <c r="CS328" t="inlineStr">
        <is>
          <t>T1</t>
        </is>
      </c>
      <c r="CT328" t="inlineStr">
        <is>
          <t>N</t>
        </is>
      </c>
    </row>
    <row r="329">
      <c r="A329" t="inlineStr">
        <is>
          <t>mayaXu(徐婷)</t>
        </is>
      </c>
      <c r="C329" t="n">
        <v>5272002</v>
      </c>
      <c r="D329" t="inlineStr">
        <is>
          <t>CDG财务管理</t>
        </is>
      </c>
      <c r="E329" t="inlineStr">
        <is>
          <t>CDG财务管理</t>
        </is>
      </c>
      <c r="G329" t="inlineStr">
        <is>
          <t>S2职能系统－财经线/CDG财务管理</t>
        </is>
      </c>
      <c r="H329" s="188" t="n">
        <v>44605</v>
      </c>
      <c r="I329" t="inlineStr">
        <is>
          <t>社会招聘</t>
        </is>
      </c>
      <c r="J329" t="inlineStr">
        <is>
          <t>财经类－FN</t>
        </is>
      </c>
      <c r="K329" t="inlineStr">
        <is>
          <t>财务管理</t>
        </is>
      </c>
      <c r="L329" t="inlineStr">
        <is>
          <t>S12</t>
        </is>
      </c>
      <c r="M329" t="inlineStr">
        <is>
          <t>L1-1</t>
        </is>
      </c>
      <c r="N329" t="inlineStr">
        <is>
          <t>T2</t>
        </is>
      </c>
      <c r="Q329" t="inlineStr">
        <is>
          <t>G,G</t>
        </is>
      </c>
      <c r="U329" t="n">
        <v>64706.45</v>
      </c>
      <c r="V329" t="n">
        <v>0.083333</v>
      </c>
      <c r="W329" t="inlineStr">
        <is>
          <t>CNY</t>
        </is>
      </c>
      <c r="X329" t="n">
        <v>1</v>
      </c>
      <c r="Y329" t="n">
        <v>61614.83</v>
      </c>
      <c r="Z329" t="n">
        <v>0</v>
      </c>
      <c r="AA329" t="n">
        <v>129412.9</v>
      </c>
      <c r="AF329" t="n">
        <v>29875</v>
      </c>
      <c r="AG329" t="n">
        <v>218042.9</v>
      </c>
      <c r="AH329" t="n">
        <v>3.538805511595179</v>
      </c>
      <c r="AJ329" t="n">
        <v>4.023672547664256</v>
      </c>
      <c r="AK329" t="n">
        <v>4.023672547664256</v>
      </c>
      <c r="AQ329" t="n">
        <v>247917.9</v>
      </c>
      <c r="AR329" t="n">
        <v>4.023672547664256</v>
      </c>
      <c r="AS329" t="n">
        <v>1.096763476298967</v>
      </c>
      <c r="BL329" t="n">
        <v>1</v>
      </c>
      <c r="BM329" t="n">
        <v>51910</v>
      </c>
      <c r="BN329" t="n">
        <v>0</v>
      </c>
      <c r="BO329" t="n">
        <v>52885</v>
      </c>
      <c r="BP329" t="inlineStr">
        <is>
          <t>G,O</t>
        </is>
      </c>
      <c r="BQ329" t="inlineStr">
        <is>
          <t>T2</t>
        </is>
      </c>
      <c r="BS329" t="n">
        <v>4.354555962242342</v>
      </c>
      <c r="BT329" t="n">
        <v>0</v>
      </c>
      <c r="BV329" t="n">
        <v>4.354555962242342</v>
      </c>
      <c r="BY329" t="n">
        <v>226045</v>
      </c>
      <c r="BZ329" t="n">
        <v>4.354555962242342</v>
      </c>
      <c r="CP329" t="inlineStr">
        <is>
          <t>CDG财务管理</t>
        </is>
      </c>
      <c r="CQ329" t="inlineStr">
        <is>
          <t>3,3</t>
        </is>
      </c>
      <c r="CR329" t="n">
        <v>12</v>
      </c>
      <c r="CS329" t="inlineStr">
        <is>
          <t>T2</t>
        </is>
      </c>
      <c r="CT329" t="inlineStr">
        <is>
          <t>N</t>
        </is>
      </c>
    </row>
    <row r="330">
      <c r="A330" t="inlineStr">
        <is>
          <t>alexanderZhong(钟轩)</t>
        </is>
      </c>
      <c r="C330" t="n">
        <v>85328137</v>
      </c>
      <c r="D330" t="inlineStr">
        <is>
          <t>行政支持中心</t>
        </is>
      </c>
      <c r="E330" t="inlineStr">
        <is>
          <t>组织建设组</t>
        </is>
      </c>
      <c r="G330" t="inlineStr">
        <is>
          <t>S2职能系统－财经线/行政支持中心/组织建设组</t>
        </is>
      </c>
      <c r="H330" s="188" t="n">
        <v>42847</v>
      </c>
      <c r="I330" t="inlineStr">
        <is>
          <t>社会招聘</t>
        </is>
      </c>
      <c r="J330" t="inlineStr">
        <is>
          <t>财经类－FN</t>
        </is>
      </c>
      <c r="K330" t="inlineStr">
        <is>
          <t>公司秘书</t>
        </is>
      </c>
      <c r="L330" t="inlineStr">
        <is>
          <t>S11</t>
        </is>
      </c>
      <c r="N330" t="inlineStr">
        <is>
          <t>T2</t>
        </is>
      </c>
      <c r="Q330" t="inlineStr">
        <is>
          <t>G,G</t>
        </is>
      </c>
      <c r="U330" t="n">
        <v>51967.95</v>
      </c>
      <c r="V330" t="n">
        <v>0.083333</v>
      </c>
      <c r="W330" t="inlineStr">
        <is>
          <t>CNY</t>
        </is>
      </c>
      <c r="X330" t="n">
        <v>1</v>
      </c>
      <c r="Y330" t="n">
        <v>51225.07</v>
      </c>
      <c r="Z330" t="n">
        <v>0</v>
      </c>
      <c r="AA330" t="n">
        <v>103935.9</v>
      </c>
      <c r="AF330" t="n">
        <v>0</v>
      </c>
      <c r="AG330" t="n">
        <v>157115.9</v>
      </c>
      <c r="AH330" t="n">
        <v>3.067168087813252</v>
      </c>
      <c r="AJ330" t="n">
        <v>3.067168087813252</v>
      </c>
      <c r="AK330" t="n">
        <v>3.067168087813252</v>
      </c>
      <c r="AQ330" t="n">
        <v>157115.9</v>
      </c>
      <c r="AR330" t="n">
        <v>3.067168087813252</v>
      </c>
      <c r="AS330" t="n">
        <v>0.9405603280553144</v>
      </c>
      <c r="BL330" t="n">
        <v>1</v>
      </c>
      <c r="BM330" t="n">
        <v>44935</v>
      </c>
      <c r="BN330" t="n">
        <v>0</v>
      </c>
      <c r="BO330" t="n">
        <v>48490</v>
      </c>
      <c r="BP330" t="inlineStr">
        <is>
          <t>G,G</t>
        </is>
      </c>
      <c r="BQ330" t="inlineStr">
        <is>
          <t>T2</t>
        </is>
      </c>
      <c r="BS330" t="n">
        <v>3.717480805608101</v>
      </c>
      <c r="BT330" t="n">
        <v>0</v>
      </c>
      <c r="BV330" t="n">
        <v>3.717480805608101</v>
      </c>
      <c r="BY330" t="n">
        <v>167045</v>
      </c>
      <c r="BZ330" t="n">
        <v>3.717480805608101</v>
      </c>
      <c r="CP330" t="inlineStr">
        <is>
          <t>行政支持中心</t>
        </is>
      </c>
      <c r="CQ330" t="inlineStr">
        <is>
          <t>3,3</t>
        </is>
      </c>
      <c r="CR330" t="n">
        <v>11</v>
      </c>
      <c r="CS330" t="inlineStr">
        <is>
          <t>T2</t>
        </is>
      </c>
      <c r="CT330" t="inlineStr">
        <is>
          <t>N</t>
        </is>
      </c>
    </row>
    <row r="331">
      <c r="A331" t="inlineStr">
        <is>
          <t>lawrenceYan(严松安)</t>
        </is>
      </c>
      <c r="C331" t="n">
        <v>8495966</v>
      </c>
      <c r="D331" t="inlineStr">
        <is>
          <t>税务部</t>
        </is>
      </c>
      <c r="E331" t="inlineStr">
        <is>
          <t>国内主体税务中心</t>
        </is>
      </c>
      <c r="G331" t="inlineStr">
        <is>
          <t>S2职能系统－财经线/税务部/国内主体税务中心</t>
        </is>
      </c>
      <c r="H331" s="188" t="n">
        <v>42925</v>
      </c>
      <c r="I331" t="inlineStr">
        <is>
          <t>社会招聘</t>
        </is>
      </c>
      <c r="J331" t="inlineStr">
        <is>
          <t>财经类－FN</t>
        </is>
      </c>
      <c r="K331" t="inlineStr">
        <is>
          <t>税务</t>
        </is>
      </c>
      <c r="L331" t="inlineStr">
        <is>
          <t>S6</t>
        </is>
      </c>
      <c r="N331" t="inlineStr">
        <is>
          <t>T2</t>
        </is>
      </c>
      <c r="Q331" t="inlineStr">
        <is>
          <t>G,O</t>
        </is>
      </c>
      <c r="U331" t="n">
        <v>33884.95</v>
      </c>
      <c r="V331" t="n">
        <v>0.083333</v>
      </c>
      <c r="W331" t="inlineStr">
        <is>
          <t>CNY</t>
        </is>
      </c>
      <c r="X331" t="n">
        <v>1</v>
      </c>
      <c r="Y331" t="n">
        <v>32354.43</v>
      </c>
      <c r="Z331" t="n">
        <v>0</v>
      </c>
      <c r="AA331" t="n">
        <v>101654.85</v>
      </c>
      <c r="AF331" t="n">
        <v>0</v>
      </c>
      <c r="AG331" t="n">
        <v>139504.85</v>
      </c>
      <c r="AH331" t="n">
        <v>4.311769671108408</v>
      </c>
      <c r="AJ331" t="n">
        <v>4.311769671108408</v>
      </c>
      <c r="AK331" t="n">
        <v>4.311769671108408</v>
      </c>
      <c r="AQ331" t="n">
        <v>139504.85</v>
      </c>
      <c r="AR331" t="n">
        <v>4.311769671108408</v>
      </c>
      <c r="AS331" t="n">
        <v>1.423373635343332</v>
      </c>
      <c r="BL331" t="n">
        <v>1</v>
      </c>
      <c r="BM331" t="n">
        <v>29245</v>
      </c>
      <c r="BN331" t="n">
        <v>0</v>
      </c>
      <c r="BO331" t="n">
        <v>31930</v>
      </c>
      <c r="BP331" t="inlineStr">
        <is>
          <t>G,G</t>
        </is>
      </c>
      <c r="BQ331" t="inlineStr">
        <is>
          <t>T2</t>
        </is>
      </c>
      <c r="BS331" t="n">
        <v>3.351342109762352</v>
      </c>
      <c r="BT331" t="n">
        <v>0</v>
      </c>
      <c r="BV331" t="n">
        <v>3.351342109762352</v>
      </c>
      <c r="BY331" t="n">
        <v>98010</v>
      </c>
      <c r="BZ331" t="n">
        <v>3.351342109762352</v>
      </c>
      <c r="CP331" t="inlineStr">
        <is>
          <t>税务部</t>
        </is>
      </c>
      <c r="CQ331" t="inlineStr">
        <is>
          <t>5,3</t>
        </is>
      </c>
      <c r="CR331" t="n">
        <v>6</v>
      </c>
      <c r="CS331" t="inlineStr">
        <is>
          <t>T2</t>
        </is>
      </c>
      <c r="CT331" t="inlineStr">
        <is>
          <t>N</t>
        </is>
      </c>
    </row>
    <row r="332">
      <c r="A332" t="inlineStr">
        <is>
          <t>barbaraKang(康月沁)</t>
        </is>
      </c>
      <c r="C332" t="n">
        <v>71190349</v>
      </c>
      <c r="D332" t="inlineStr">
        <is>
          <t>财经投资并购及管理部</t>
        </is>
      </c>
      <c r="E332" t="inlineStr">
        <is>
          <t>运营支持中心</t>
        </is>
      </c>
      <c r="G332" t="inlineStr">
        <is>
          <t>S2职能系统－财经线/财经投资并购及管理部/运营支持中心</t>
        </is>
      </c>
      <c r="H332" s="188" t="n">
        <v>39302</v>
      </c>
      <c r="I332" t="inlineStr">
        <is>
          <t>社会招聘</t>
        </is>
      </c>
      <c r="J332" t="inlineStr">
        <is>
          <t>财经类－FN</t>
        </is>
      </c>
      <c r="K332" t="inlineStr">
        <is>
          <t>投资并购</t>
        </is>
      </c>
      <c r="L332" t="inlineStr">
        <is>
          <t>S9</t>
        </is>
      </c>
      <c r="N332" t="inlineStr">
        <is>
          <t>T2</t>
        </is>
      </c>
      <c r="Q332" t="inlineStr">
        <is>
          <t>G,U</t>
        </is>
      </c>
      <c r="U332" t="n">
        <v>42673.55</v>
      </c>
      <c r="V332" t="n">
        <v>0.083333</v>
      </c>
      <c r="W332" t="inlineStr">
        <is>
          <t>CNY</t>
        </is>
      </c>
      <c r="X332" t="n">
        <v>1</v>
      </c>
      <c r="Y332" t="n">
        <v>40454.84</v>
      </c>
      <c r="Z332" t="n">
        <v>0</v>
      </c>
      <c r="AA332" t="n">
        <v>42673.55</v>
      </c>
      <c r="AF332" t="n">
        <v>0</v>
      </c>
      <c r="AG332" t="n">
        <v>101778.55</v>
      </c>
      <c r="AH332" t="n">
        <v>2.515855951970148</v>
      </c>
      <c r="AJ332" t="n">
        <v>2.515855951970148</v>
      </c>
      <c r="AK332" t="n">
        <v>2.515855951970148</v>
      </c>
      <c r="AQ332" t="n">
        <v>101778.55</v>
      </c>
      <c r="AR332" t="n">
        <v>2.515855951970148</v>
      </c>
      <c r="AS332" t="n">
        <v>0.6742757295703733</v>
      </c>
      <c r="BL332" t="n">
        <v>1</v>
      </c>
      <c r="BM332" t="n">
        <v>34250</v>
      </c>
      <c r="BN332" t="n">
        <v>0</v>
      </c>
      <c r="BO332" t="n">
        <v>34925</v>
      </c>
      <c r="BP332" t="inlineStr">
        <is>
          <t>U,G</t>
        </is>
      </c>
      <c r="BQ332" t="inlineStr">
        <is>
          <t>T1#</t>
        </is>
      </c>
      <c r="BS332" t="n">
        <v>4.407153284671533</v>
      </c>
      <c r="BT332" t="n">
        <v>0</v>
      </c>
      <c r="BV332" t="n">
        <v>4.407153284671533</v>
      </c>
      <c r="BY332" t="n">
        <v>150945</v>
      </c>
      <c r="BZ332" t="n">
        <v>4.407153284671533</v>
      </c>
      <c r="CP332" t="inlineStr">
        <is>
          <t>财经投资并购及管理部</t>
        </is>
      </c>
      <c r="CQ332" t="inlineStr">
        <is>
          <t>3,1</t>
        </is>
      </c>
      <c r="CR332" t="n">
        <v>9</v>
      </c>
      <c r="CS332" t="inlineStr">
        <is>
          <t>T2</t>
        </is>
      </c>
      <c r="CT332" t="inlineStr">
        <is>
          <t>N</t>
        </is>
      </c>
    </row>
    <row r="333">
      <c r="A333" t="inlineStr">
        <is>
          <t>bobbyRen(任宇毅)</t>
        </is>
      </c>
      <c r="C333" t="n">
        <v>84632919</v>
      </c>
      <c r="D333" t="inlineStr">
        <is>
          <t>财会及报告管理部</t>
        </is>
      </c>
      <c r="E333" t="inlineStr">
        <is>
          <t>应收管理中心</t>
        </is>
      </c>
      <c r="G333" t="inlineStr">
        <is>
          <t>S2职能系统－财经线/财会及报告管理部/应收管理中心</t>
        </is>
      </c>
      <c r="H333" s="188" t="n">
        <v>42523</v>
      </c>
      <c r="I333" t="inlineStr">
        <is>
          <t>社会招聘</t>
        </is>
      </c>
      <c r="J333" t="inlineStr">
        <is>
          <t>财经类－FN</t>
        </is>
      </c>
      <c r="K333" t="inlineStr">
        <is>
          <t>会计</t>
        </is>
      </c>
      <c r="L333" t="inlineStr">
        <is>
          <t>S7</t>
        </is>
      </c>
      <c r="N333" t="inlineStr">
        <is>
          <t>T1#</t>
        </is>
      </c>
      <c r="Q333" t="inlineStr">
        <is>
          <t>G,G</t>
        </is>
      </c>
      <c r="U333" t="n">
        <v>26189.25</v>
      </c>
      <c r="V333" t="n">
        <v>0.083333</v>
      </c>
      <c r="W333" t="inlineStr">
        <is>
          <t>CNY</t>
        </is>
      </c>
      <c r="X333" t="n">
        <v>1</v>
      </c>
      <c r="Y333" t="n">
        <v>25086.67</v>
      </c>
      <c r="Z333" t="n">
        <v>0</v>
      </c>
      <c r="AA333" t="n">
        <v>52378.5</v>
      </c>
      <c r="AF333" t="n">
        <v>0</v>
      </c>
      <c r="AG333" t="n">
        <v>181148.5</v>
      </c>
      <c r="AH333" t="n">
        <v>7.220906561133861</v>
      </c>
      <c r="AJ333" t="n">
        <v>7.220906561133861</v>
      </c>
      <c r="AK333" t="n">
        <v>5.511233655164276</v>
      </c>
      <c r="AQ333" t="n">
        <v>181148.5</v>
      </c>
      <c r="AR333" t="n">
        <v>7.220906561133861</v>
      </c>
      <c r="AS333" t="n">
        <v>1.032861989337743</v>
      </c>
      <c r="BL333" t="n">
        <v>1</v>
      </c>
      <c r="BM333" t="n">
        <v>22975</v>
      </c>
      <c r="BN333" t="n">
        <v>0</v>
      </c>
      <c r="BO333" t="n">
        <v>23060</v>
      </c>
      <c r="BP333" t="inlineStr">
        <is>
          <t>O,G</t>
        </is>
      </c>
      <c r="BQ333" t="inlineStr">
        <is>
          <t>T1#</t>
        </is>
      </c>
      <c r="BS333" t="n">
        <v>6.426550598476605</v>
      </c>
      <c r="BT333" t="n">
        <v>27735</v>
      </c>
      <c r="BV333" t="n">
        <v>7.63373231773667</v>
      </c>
      <c r="BY333" t="n">
        <v>175385</v>
      </c>
      <c r="BZ333" t="n">
        <v>7.63373231773667</v>
      </c>
      <c r="CP333" t="inlineStr">
        <is>
          <t>财会及报告管理部</t>
        </is>
      </c>
      <c r="CQ333" t="inlineStr">
        <is>
          <t>3,3</t>
        </is>
      </c>
      <c r="CR333" t="n">
        <v>7</v>
      </c>
      <c r="CS333" t="inlineStr">
        <is>
          <t>T1#</t>
        </is>
      </c>
      <c r="CT333" t="inlineStr">
        <is>
          <t>N</t>
        </is>
      </c>
    </row>
    <row r="334">
      <c r="A334" t="inlineStr">
        <is>
          <t>russellCai(蔡涛)</t>
        </is>
      </c>
      <c r="C334" t="n">
        <v>52114387</v>
      </c>
      <c r="D334" t="inlineStr">
        <is>
          <t>财会及报告管理部</t>
        </is>
      </c>
      <c r="E334" t="inlineStr">
        <is>
          <t>专业支持中心</t>
        </is>
      </c>
      <c r="G334" t="inlineStr">
        <is>
          <t>S2职能系统－财经线/财会及报告管理部/专业支持中心</t>
        </is>
      </c>
      <c r="H334" s="188" t="n">
        <v>43291</v>
      </c>
      <c r="I334" t="inlineStr">
        <is>
          <t>高校招聘</t>
        </is>
      </c>
      <c r="J334" t="inlineStr">
        <is>
          <t>财经类－FN</t>
        </is>
      </c>
      <c r="K334" t="inlineStr">
        <is>
          <t>会计</t>
        </is>
      </c>
      <c r="L334" t="inlineStr">
        <is>
          <t>S8</t>
        </is>
      </c>
      <c r="N334" t="inlineStr">
        <is>
          <t>T2</t>
        </is>
      </c>
      <c r="Q334" t="inlineStr">
        <is>
          <t>G,G</t>
        </is>
      </c>
      <c r="U334" t="n">
        <v>44270.85</v>
      </c>
      <c r="V334" t="n">
        <v>0.083333</v>
      </c>
      <c r="W334" t="inlineStr">
        <is>
          <t>CNY</t>
        </is>
      </c>
      <c r="X334" t="n">
        <v>1</v>
      </c>
      <c r="Y334" t="n">
        <v>40759.93</v>
      </c>
      <c r="Z334" t="n">
        <v>0</v>
      </c>
      <c r="AA334" t="n">
        <v>88541.7</v>
      </c>
      <c r="AF334" t="n">
        <v>0</v>
      </c>
      <c r="AG334" t="n">
        <v>154571.7</v>
      </c>
      <c r="AH334" t="n">
        <v>3.792246453808925</v>
      </c>
      <c r="AJ334" t="n">
        <v>3.792246453808925</v>
      </c>
      <c r="AK334" t="n">
        <v>3.792246453808925</v>
      </c>
      <c r="AQ334" t="n">
        <v>154571.7</v>
      </c>
      <c r="AR334" t="n">
        <v>3.792246453808925</v>
      </c>
      <c r="AS334" t="n">
        <v>1.225300832342449</v>
      </c>
      <c r="BL334" t="n">
        <v>1</v>
      </c>
      <c r="BM334" t="n">
        <v>38330</v>
      </c>
      <c r="BN334" t="n">
        <v>0</v>
      </c>
      <c r="BO334" t="n">
        <v>41560</v>
      </c>
      <c r="BP334" t="inlineStr">
        <is>
          <t>U,O</t>
        </is>
      </c>
      <c r="BQ334" t="inlineStr">
        <is>
          <t>T2</t>
        </is>
      </c>
      <c r="BS334" t="n">
        <v>3.291155752674146</v>
      </c>
      <c r="BT334" t="n">
        <v>0</v>
      </c>
      <c r="BV334" t="n">
        <v>3.291155752674146</v>
      </c>
      <c r="BY334" t="n">
        <v>126150</v>
      </c>
      <c r="BZ334" t="n">
        <v>3.291155752674146</v>
      </c>
      <c r="CP334" t="inlineStr">
        <is>
          <t>财会及报告管理部</t>
        </is>
      </c>
      <c r="CQ334" t="inlineStr">
        <is>
          <t>3,3</t>
        </is>
      </c>
      <c r="CR334" t="n">
        <v>8</v>
      </c>
      <c r="CS334" t="inlineStr">
        <is>
          <t>T2</t>
        </is>
      </c>
      <c r="CT334" t="inlineStr">
        <is>
          <t>N</t>
        </is>
      </c>
    </row>
    <row r="335">
      <c r="A335" t="inlineStr">
        <is>
          <t>graceLu(卢玲)</t>
        </is>
      </c>
      <c r="C335" t="n">
        <v>78127468</v>
      </c>
      <c r="D335" t="inlineStr">
        <is>
          <t>财会及报告管理部</t>
        </is>
      </c>
      <c r="E335" t="inlineStr">
        <is>
          <t>数据分析组</t>
        </is>
      </c>
      <c r="G335" t="inlineStr">
        <is>
          <t>S2职能系统－财经线/财会及报告管理部/数据分析组</t>
        </is>
      </c>
      <c r="H335" s="188" t="n">
        <v>40426</v>
      </c>
      <c r="I335" t="inlineStr">
        <is>
          <t>高校招聘</t>
        </is>
      </c>
      <c r="J335" t="inlineStr">
        <is>
          <t>财经类－FN</t>
        </is>
      </c>
      <c r="K335" t="inlineStr">
        <is>
          <t>会计</t>
        </is>
      </c>
      <c r="L335" t="inlineStr">
        <is>
          <t>S8</t>
        </is>
      </c>
      <c r="N335" t="inlineStr">
        <is>
          <t>T1</t>
        </is>
      </c>
      <c r="Q335" t="inlineStr">
        <is>
          <t>U,G</t>
        </is>
      </c>
      <c r="U335" t="n">
        <v>39984</v>
      </c>
      <c r="V335" t="n">
        <v>0.083333</v>
      </c>
      <c r="W335" t="inlineStr">
        <is>
          <t>CNY</t>
        </is>
      </c>
      <c r="X335" t="n">
        <v>1</v>
      </c>
      <c r="Y335" t="n">
        <v>38588.49</v>
      </c>
      <c r="Z335" t="n">
        <v>0</v>
      </c>
      <c r="AA335" t="n">
        <v>39984</v>
      </c>
      <c r="AF335" t="n">
        <v>0</v>
      </c>
      <c r="AG335" t="n">
        <v>127189</v>
      </c>
      <c r="AH335" t="n">
        <v>3.29603464660058</v>
      </c>
      <c r="AJ335" t="n">
        <v>3.29603464660058</v>
      </c>
      <c r="AK335" t="n">
        <v>3.29603464660058</v>
      </c>
      <c r="AQ335" t="n">
        <v>127189</v>
      </c>
      <c r="AR335" t="n">
        <v>3.29603464660058</v>
      </c>
      <c r="AS335" t="n">
        <v>0.698744677928856</v>
      </c>
      <c r="BL335" t="n">
        <v>1</v>
      </c>
      <c r="BM335" t="n">
        <v>32405</v>
      </c>
      <c r="BN335" t="n">
        <v>0</v>
      </c>
      <c r="BO335" t="n">
        <v>34500</v>
      </c>
      <c r="BP335" t="inlineStr">
        <is>
          <t>O,G</t>
        </is>
      </c>
      <c r="BQ335" t="inlineStr">
        <is>
          <t>T1</t>
        </is>
      </c>
      <c r="BS335" t="n">
        <v>4.376485110322481</v>
      </c>
      <c r="BT335" t="n">
        <v>40205</v>
      </c>
      <c r="BV335" t="n">
        <v>5.61718870544669</v>
      </c>
      <c r="BY335" t="n">
        <v>182025</v>
      </c>
      <c r="BZ335" t="n">
        <v>5.61718870544669</v>
      </c>
      <c r="CP335" t="inlineStr">
        <is>
          <t>财会及报告管理部</t>
        </is>
      </c>
      <c r="CQ335" t="inlineStr">
        <is>
          <t>3,1</t>
        </is>
      </c>
      <c r="CR335" t="n">
        <v>8</v>
      </c>
      <c r="CS335" t="inlineStr">
        <is>
          <t>T1</t>
        </is>
      </c>
      <c r="CT335" t="inlineStr">
        <is>
          <t>N</t>
        </is>
      </c>
    </row>
    <row r="336">
      <c r="A336" t="inlineStr">
        <is>
          <t>annaHuang(黄娇)</t>
        </is>
      </c>
      <c r="C336" t="n">
        <v>72050316</v>
      </c>
      <c r="D336" t="inlineStr">
        <is>
          <t>财经IT管理部</t>
        </is>
      </c>
      <c r="E336" t="inlineStr">
        <is>
          <t>公共支持中心</t>
        </is>
      </c>
      <c r="G336" t="inlineStr">
        <is>
          <t>S2职能系统－财经线/财经IT管理部/公共支持中心</t>
        </is>
      </c>
      <c r="H336" s="188" t="n">
        <v>43252</v>
      </c>
      <c r="I336" t="inlineStr">
        <is>
          <t>社会招聘</t>
        </is>
      </c>
      <c r="J336" t="inlineStr">
        <is>
          <t>技术研发类－TRD</t>
        </is>
      </c>
      <c r="K336" t="inlineStr">
        <is>
          <t>应用开发</t>
        </is>
      </c>
      <c r="L336" t="inlineStr">
        <is>
          <t>T7</t>
        </is>
      </c>
      <c r="N336" t="inlineStr">
        <is>
          <t>T1</t>
        </is>
      </c>
      <c r="Q336" t="inlineStr">
        <is>
          <t>G,O</t>
        </is>
      </c>
      <c r="U336" t="n">
        <v>29396.3</v>
      </c>
      <c r="V336" t="n">
        <v>0.083333</v>
      </c>
      <c r="W336" t="inlineStr">
        <is>
          <t>CNY</t>
        </is>
      </c>
      <c r="X336" t="n">
        <v>1</v>
      </c>
      <c r="Y336" t="n">
        <v>28098.73</v>
      </c>
      <c r="Z336" t="n">
        <v>0</v>
      </c>
      <c r="AA336" t="n">
        <v>88188.89999999999</v>
      </c>
      <c r="AF336" t="n">
        <v>0</v>
      </c>
      <c r="AG336" t="n">
        <v>213163.9</v>
      </c>
      <c r="AH336" t="n">
        <v>7.586246780548445</v>
      </c>
      <c r="AJ336" t="n">
        <v>7.586246780548445</v>
      </c>
      <c r="AK336" t="n">
        <v>5.647369115970721</v>
      </c>
      <c r="AQ336" t="n">
        <v>213163.9</v>
      </c>
      <c r="AR336" t="n">
        <v>7.586246780548445</v>
      </c>
      <c r="AS336" t="n">
        <v>1.273646819824934</v>
      </c>
      <c r="BL336" t="n">
        <v>1</v>
      </c>
      <c r="BM336" t="n">
        <v>24085</v>
      </c>
      <c r="BN336" t="n">
        <v>0</v>
      </c>
      <c r="BO336" t="n">
        <v>25705</v>
      </c>
      <c r="BP336" t="inlineStr">
        <is>
          <t>G,G</t>
        </is>
      </c>
      <c r="BQ336" t="inlineStr">
        <is>
          <t>T1#</t>
        </is>
      </c>
      <c r="BS336" t="n">
        <v>5.502802574216317</v>
      </c>
      <c r="BT336" t="n">
        <v>34830</v>
      </c>
      <c r="BV336" t="n">
        <v>6.948930869835998</v>
      </c>
      <c r="BY336" t="n">
        <v>167365</v>
      </c>
      <c r="BZ336" t="n">
        <v>6.948930869835998</v>
      </c>
      <c r="CP336" t="inlineStr">
        <is>
          <t>财经IT管理部</t>
        </is>
      </c>
      <c r="CQ336" t="inlineStr">
        <is>
          <t>5,3</t>
        </is>
      </c>
      <c r="CR336" t="n">
        <v>7</v>
      </c>
      <c r="CS336" t="inlineStr">
        <is>
          <t>T1</t>
        </is>
      </c>
      <c r="CT336" t="inlineStr">
        <is>
          <t>N</t>
        </is>
      </c>
    </row>
    <row r="337">
      <c r="A337" t="inlineStr">
        <is>
          <t>royFang(方博磊)</t>
        </is>
      </c>
      <c r="C337" t="n">
        <v>54299800</v>
      </c>
      <c r="D337" t="inlineStr">
        <is>
          <t>FiT财务管理</t>
        </is>
      </c>
      <c r="E337" t="inlineStr">
        <is>
          <t>结算支持中心</t>
        </is>
      </c>
      <c r="G337" t="inlineStr">
        <is>
          <t>S2职能系统－财经线/FiT财务管理/结算支持中心</t>
        </is>
      </c>
      <c r="H337" s="188" t="n">
        <v>42453</v>
      </c>
      <c r="I337" t="inlineStr">
        <is>
          <t>高校招聘</t>
        </is>
      </c>
      <c r="J337" t="inlineStr">
        <is>
          <t>财经类－FN</t>
        </is>
      </c>
      <c r="K337" t="inlineStr">
        <is>
          <t>财务管理</t>
        </is>
      </c>
      <c r="L337" t="inlineStr">
        <is>
          <t>S11</t>
        </is>
      </c>
      <c r="N337" t="inlineStr">
        <is>
          <t>T1</t>
        </is>
      </c>
      <c r="Q337" t="inlineStr">
        <is>
          <t>U,G</t>
        </is>
      </c>
      <c r="U337" t="n">
        <v>63043.8</v>
      </c>
      <c r="V337" t="n">
        <v>0.083333</v>
      </c>
      <c r="W337" t="inlineStr">
        <is>
          <t>CNY</t>
        </is>
      </c>
      <c r="X337" t="n">
        <v>1</v>
      </c>
      <c r="Y337" t="n">
        <v>61478.19</v>
      </c>
      <c r="Z337" t="n">
        <v>0</v>
      </c>
      <c r="AA337" t="n">
        <v>63043.8</v>
      </c>
      <c r="AF337" t="n">
        <v>0</v>
      </c>
      <c r="AG337" t="n">
        <v>194283.8</v>
      </c>
      <c r="AH337" t="n">
        <v>3.160206896136662</v>
      </c>
      <c r="AJ337" t="n">
        <v>3.160206896136662</v>
      </c>
      <c r="AK337" t="n">
        <v>3.160206896136662</v>
      </c>
      <c r="AQ337" t="n">
        <v>194283.8</v>
      </c>
      <c r="AR337" t="n">
        <v>3.160206896136662</v>
      </c>
      <c r="AS337" t="n">
        <v>0.6397227527164965</v>
      </c>
      <c r="BL337" t="n">
        <v>1</v>
      </c>
      <c r="BM337" t="n">
        <v>56170</v>
      </c>
      <c r="BN337" t="n">
        <v>0</v>
      </c>
      <c r="BO337" t="n">
        <v>58280</v>
      </c>
      <c r="BP337" t="inlineStr">
        <is>
          <t>G,G</t>
        </is>
      </c>
      <c r="BQ337" t="inlineStr">
        <is>
          <t>T1</t>
        </is>
      </c>
      <c r="BS337" t="n">
        <v>3.534270963147588</v>
      </c>
      <c r="BT337" t="n">
        <v>105180</v>
      </c>
      <c r="BV337" t="n">
        <v>5.4068007833363</v>
      </c>
      <c r="BY337" t="n">
        <v>303700</v>
      </c>
      <c r="BZ337" t="n">
        <v>5.4068007833363</v>
      </c>
      <c r="CP337" t="inlineStr">
        <is>
          <t>FiT财务管理</t>
        </is>
      </c>
      <c r="CQ337" t="inlineStr">
        <is>
          <t>3,1</t>
        </is>
      </c>
      <c r="CR337" t="n">
        <v>11</v>
      </c>
      <c r="CS337" t="inlineStr">
        <is>
          <t>T1</t>
        </is>
      </c>
      <c r="CT337" t="inlineStr">
        <is>
          <t>N</t>
        </is>
      </c>
    </row>
    <row r="338">
      <c r="A338" t="inlineStr">
        <is>
          <t>lindaZhou(周丹)</t>
        </is>
      </c>
      <c r="C338" t="n">
        <v>66957252</v>
      </c>
      <c r="D338" t="inlineStr">
        <is>
          <t>PCG财务管理</t>
        </is>
      </c>
      <c r="E338" t="inlineStr">
        <is>
          <t>财务规划及分析组</t>
        </is>
      </c>
      <c r="G338" t="inlineStr">
        <is>
          <t>S2职能系统－财经线/PCG财务管理/财务规划及分析组</t>
        </is>
      </c>
      <c r="H338" s="188" t="n">
        <v>38639</v>
      </c>
      <c r="I338" t="inlineStr">
        <is>
          <t>社会招聘</t>
        </is>
      </c>
      <c r="J338" t="inlineStr">
        <is>
          <t>财经类－FN</t>
        </is>
      </c>
      <c r="K338" t="inlineStr">
        <is>
          <t>财务管理</t>
        </is>
      </c>
      <c r="L338" t="inlineStr">
        <is>
          <t>S7</t>
        </is>
      </c>
      <c r="N338" t="inlineStr">
        <is>
          <t>T1</t>
        </is>
      </c>
      <c r="Q338" t="inlineStr">
        <is>
          <t>G,G</t>
        </is>
      </c>
      <c r="U338" t="n">
        <v>42707.8</v>
      </c>
      <c r="V338" t="n">
        <v>0.083333</v>
      </c>
      <c r="W338" t="inlineStr">
        <is>
          <t>CNY</t>
        </is>
      </c>
      <c r="X338" t="n">
        <v>1</v>
      </c>
      <c r="Y338" t="n">
        <v>39410.23</v>
      </c>
      <c r="Z338" t="n">
        <v>0</v>
      </c>
      <c r="AA338" t="n">
        <v>85415.60000000001</v>
      </c>
      <c r="AF338" t="n">
        <v>0</v>
      </c>
      <c r="AG338" t="n">
        <v>225775.6</v>
      </c>
      <c r="AH338" t="n">
        <v>5.728857710295017</v>
      </c>
      <c r="AJ338" t="n">
        <v>5.728857710295017</v>
      </c>
      <c r="AK338" t="n">
        <v>4.604910958398365</v>
      </c>
      <c r="AQ338" t="n">
        <v>225775.6</v>
      </c>
      <c r="AR338" t="n">
        <v>5.728857710295017</v>
      </c>
      <c r="AS338" t="n">
        <v>1.707381555563958</v>
      </c>
      <c r="BL338" t="n">
        <v>1</v>
      </c>
      <c r="BM338" t="n">
        <v>36230</v>
      </c>
      <c r="BN338" t="n">
        <v>0</v>
      </c>
      <c r="BO338" t="n">
        <v>39100</v>
      </c>
      <c r="BP338" t="inlineStr">
        <is>
          <t>O,U</t>
        </is>
      </c>
      <c r="BQ338" t="inlineStr">
        <is>
          <t>Others</t>
        </is>
      </c>
      <c r="BS338" t="n">
        <v>3.649875793541264</v>
      </c>
      <c r="BT338" t="n">
        <v>0</v>
      </c>
      <c r="BV338" t="n">
        <v>3.649875793541264</v>
      </c>
      <c r="BY338" t="n">
        <v>132235</v>
      </c>
      <c r="BZ338" t="n">
        <v>3.649875793541264</v>
      </c>
      <c r="CP338" t="inlineStr">
        <is>
          <t>PCG财务管理</t>
        </is>
      </c>
      <c r="CQ338" t="inlineStr">
        <is>
          <t>3,3</t>
        </is>
      </c>
      <c r="CR338" t="n">
        <v>7</v>
      </c>
      <c r="CS338" t="inlineStr">
        <is>
          <t>T1</t>
        </is>
      </c>
      <c r="CT338" t="inlineStr">
        <is>
          <t>N</t>
        </is>
      </c>
    </row>
    <row r="339">
      <c r="A339" t="inlineStr">
        <is>
          <t>zacharyLong(龙炜)</t>
        </is>
      </c>
      <c r="C339" t="n">
        <v>25364324</v>
      </c>
      <c r="D339" t="inlineStr">
        <is>
          <t>风险管理和内部控制</t>
        </is>
      </c>
      <c r="E339" t="inlineStr">
        <is>
          <t>CSIG风控中心</t>
        </is>
      </c>
      <c r="G339" t="inlineStr">
        <is>
          <t>S2职能系统－财经线/风险管理和内部控制/CSIG风控中心</t>
        </is>
      </c>
      <c r="H339" s="188" t="n">
        <v>38783</v>
      </c>
      <c r="I339" t="inlineStr">
        <is>
          <t>高校招聘</t>
        </is>
      </c>
      <c r="J339" t="inlineStr">
        <is>
          <t>财经类－FN</t>
        </is>
      </c>
      <c r="K339" t="inlineStr">
        <is>
          <t>风险管理</t>
        </is>
      </c>
      <c r="L339" t="inlineStr">
        <is>
          <t>S9</t>
        </is>
      </c>
      <c r="N339" t="inlineStr">
        <is>
          <t>T1</t>
        </is>
      </c>
      <c r="Q339" t="inlineStr">
        <is>
          <t>G,G</t>
        </is>
      </c>
      <c r="U339" t="n">
        <v>42645.35</v>
      </c>
      <c r="V339" t="n">
        <v>0.083333</v>
      </c>
      <c r="W339" t="inlineStr">
        <is>
          <t>CNY</t>
        </is>
      </c>
      <c r="X339" t="n">
        <v>1</v>
      </c>
      <c r="Y339" t="n">
        <v>38525.72</v>
      </c>
      <c r="Z339" t="n">
        <v>0</v>
      </c>
      <c r="AA339" t="n">
        <v>85290.7</v>
      </c>
      <c r="AF339" t="n">
        <v>0</v>
      </c>
      <c r="AG339" t="n">
        <v>245885.7</v>
      </c>
      <c r="AH339" t="n">
        <v>6.382377798520054</v>
      </c>
      <c r="AJ339" t="n">
        <v>6.382377798520054</v>
      </c>
      <c r="AK339" t="n">
        <v>4.969685186934858</v>
      </c>
      <c r="AQ339" t="n">
        <v>245885.7</v>
      </c>
      <c r="AR339" t="n">
        <v>6.382377798520054</v>
      </c>
      <c r="AS339" t="n">
        <v>2.850022602144306</v>
      </c>
      <c r="BL339" t="n">
        <v>1</v>
      </c>
      <c r="BM339" t="n">
        <v>35775</v>
      </c>
      <c r="BN339" t="n">
        <v>0</v>
      </c>
      <c r="BO339" t="n">
        <v>38155</v>
      </c>
      <c r="BP339" t="inlineStr">
        <is>
          <t>G,U</t>
        </is>
      </c>
      <c r="BQ339" t="inlineStr">
        <is>
          <t>T1</t>
        </is>
      </c>
      <c r="BS339" t="n">
        <v>2.411600279524808</v>
      </c>
      <c r="BT339" t="n">
        <v>0</v>
      </c>
      <c r="BV339" t="n">
        <v>2.411600279524808</v>
      </c>
      <c r="BY339" t="n">
        <v>86275</v>
      </c>
      <c r="BZ339" t="n">
        <v>2.411600279524808</v>
      </c>
      <c r="CP339" t="inlineStr">
        <is>
          <t>风险管理和内部控制</t>
        </is>
      </c>
      <c r="CQ339" t="inlineStr">
        <is>
          <t>3,3</t>
        </is>
      </c>
      <c r="CR339" t="n">
        <v>9</v>
      </c>
      <c r="CS339" t="inlineStr">
        <is>
          <t>T1</t>
        </is>
      </c>
      <c r="CT339" t="inlineStr">
        <is>
          <t>N</t>
        </is>
      </c>
    </row>
    <row r="340">
      <c r="A340" t="inlineStr">
        <is>
          <t>keithZou(邹旭)</t>
        </is>
      </c>
      <c r="C340" t="n">
        <v>63873289</v>
      </c>
      <c r="D340" t="inlineStr">
        <is>
          <t>CFO办公室</t>
        </is>
      </c>
      <c r="E340" t="inlineStr">
        <is>
          <t>集团个税及综合项目组</t>
        </is>
      </c>
      <c r="G340" t="inlineStr">
        <is>
          <t>S2职能系统－财经线/CFO办公室/集团个税及综合项目组</t>
        </is>
      </c>
      <c r="H340" s="188" t="n">
        <v>45273</v>
      </c>
      <c r="I340" t="inlineStr">
        <is>
          <t>社会招聘</t>
        </is>
      </c>
      <c r="J340" t="inlineStr">
        <is>
          <t>财经类－FN</t>
        </is>
      </c>
      <c r="K340" t="inlineStr">
        <is>
          <t>投资者关系</t>
        </is>
      </c>
      <c r="L340" t="inlineStr">
        <is>
          <t>S9</t>
        </is>
      </c>
      <c r="N340" t="inlineStr">
        <is>
          <t>T1</t>
        </is>
      </c>
      <c r="Q340" t="inlineStr">
        <is>
          <t>U,U</t>
        </is>
      </c>
      <c r="U340" t="n">
        <v>43205.75</v>
      </c>
      <c r="V340" t="n">
        <v>0.083333</v>
      </c>
      <c r="W340" t="inlineStr">
        <is>
          <t>CNY</t>
        </is>
      </c>
      <c r="X340" t="n">
        <v>1</v>
      </c>
      <c r="Y340" t="n">
        <v>38951.36</v>
      </c>
      <c r="Z340" t="n">
        <v>0</v>
      </c>
      <c r="AA340" t="n">
        <v>0</v>
      </c>
      <c r="AF340" t="n">
        <v>0</v>
      </c>
      <c r="AG340" t="n">
        <v>107165</v>
      </c>
      <c r="AH340" t="n">
        <v>2.751251817651553</v>
      </c>
      <c r="AJ340" t="n">
        <v>2.751251817651553</v>
      </c>
      <c r="AK340" t="n">
        <v>2.751251817651553</v>
      </c>
      <c r="AQ340" t="n">
        <v>107165</v>
      </c>
      <c r="AR340" t="n">
        <v>2.751251817651553</v>
      </c>
      <c r="AS340" t="n">
        <v>56.55145118733509</v>
      </c>
      <c r="BL340" t="n">
        <v>0.0493150684931506</v>
      </c>
      <c r="BM340" t="n">
        <v>38465</v>
      </c>
      <c r="BN340" t="n">
        <v>0</v>
      </c>
      <c r="BO340" t="n">
        <v>38465</v>
      </c>
      <c r="BP340" t="inlineStr">
        <is>
          <t>N,N</t>
        </is>
      </c>
      <c r="BQ340" t="inlineStr">
        <is>
          <t>T1</t>
        </is>
      </c>
      <c r="BS340" t="n">
        <v>0.04926556609905108</v>
      </c>
      <c r="BT340" t="n">
        <v>0</v>
      </c>
      <c r="BV340" t="n">
        <v>0.04926556609905108</v>
      </c>
      <c r="BY340" t="n">
        <v>1895</v>
      </c>
      <c r="BZ340" t="n">
        <v>0.04926556609905108</v>
      </c>
      <c r="CP340" t="inlineStr">
        <is>
          <t>CFO办公室</t>
        </is>
      </c>
      <c r="CQ340" t="inlineStr">
        <is>
          <t>1,1</t>
        </is>
      </c>
      <c r="CR340" t="n">
        <v>9</v>
      </c>
      <c r="CS340" t="inlineStr">
        <is>
          <t>T1</t>
        </is>
      </c>
      <c r="CT340" t="inlineStr">
        <is>
          <t>N</t>
        </is>
      </c>
    </row>
    <row r="341">
      <c r="A341" t="inlineStr">
        <is>
          <t>oscarXiao(萧杰)</t>
        </is>
      </c>
      <c r="C341" t="n">
        <v>30290151</v>
      </c>
      <c r="D341" t="inlineStr">
        <is>
          <t>WXG财务管理</t>
        </is>
      </c>
      <c r="E341" t="inlineStr">
        <is>
          <t>微信支付财务管理中心</t>
        </is>
      </c>
      <c r="G341" t="inlineStr">
        <is>
          <t>S2职能系统－财经线/WXG财务管理/微信支付财务管理中心</t>
        </is>
      </c>
      <c r="H341" s="188" t="n">
        <v>41727</v>
      </c>
      <c r="I341" t="inlineStr">
        <is>
          <t>高校招聘</t>
        </is>
      </c>
      <c r="J341" t="inlineStr">
        <is>
          <t>财经类－FN</t>
        </is>
      </c>
      <c r="K341" t="inlineStr">
        <is>
          <t>财务管理</t>
        </is>
      </c>
      <c r="L341" t="inlineStr">
        <is>
          <t>S8</t>
        </is>
      </c>
      <c r="N341" t="inlineStr">
        <is>
          <t>T1#</t>
        </is>
      </c>
      <c r="Q341" t="inlineStr">
        <is>
          <t>G,O</t>
        </is>
      </c>
      <c r="U341" t="n">
        <v>34550.5</v>
      </c>
      <c r="V341" t="n">
        <v>0.083333</v>
      </c>
      <c r="W341" t="inlineStr">
        <is>
          <t>CNY</t>
        </is>
      </c>
      <c r="X341" t="n">
        <v>1</v>
      </c>
      <c r="Y341" t="n">
        <v>31875.69</v>
      </c>
      <c r="Z341" t="n">
        <v>0</v>
      </c>
      <c r="AA341" t="n">
        <v>103651.5</v>
      </c>
      <c r="AF341" t="n">
        <v>0</v>
      </c>
      <c r="AG341" t="n">
        <v>265941.5</v>
      </c>
      <c r="AH341" t="n">
        <v>8.343082141908145</v>
      </c>
      <c r="AJ341" t="n">
        <v>8.343082141908145</v>
      </c>
      <c r="AK341" t="n">
        <v>6.967425646315421</v>
      </c>
      <c r="AQ341" t="n">
        <v>265941.5</v>
      </c>
      <c r="AR341" t="n">
        <v>8.343082141908145</v>
      </c>
      <c r="AS341" t="n">
        <v>1.896263681414667</v>
      </c>
      <c r="BL341" t="n">
        <v>1</v>
      </c>
      <c r="BM341" t="n">
        <v>30445</v>
      </c>
      <c r="BN341" t="n">
        <v>0</v>
      </c>
      <c r="BO341" t="n">
        <v>33215</v>
      </c>
      <c r="BP341" t="inlineStr">
        <is>
          <t>G,U</t>
        </is>
      </c>
      <c r="BQ341" t="inlineStr">
        <is>
          <t>T1#</t>
        </is>
      </c>
      <c r="BS341" t="n">
        <v>4.606503530957465</v>
      </c>
      <c r="BT341" t="n">
        <v>0</v>
      </c>
      <c r="BV341" t="n">
        <v>4.606503530957465</v>
      </c>
      <c r="BY341" t="n">
        <v>140245</v>
      </c>
      <c r="BZ341" t="n">
        <v>4.606503530957465</v>
      </c>
      <c r="CP341" t="inlineStr">
        <is>
          <t>WXG财务管理</t>
        </is>
      </c>
      <c r="CQ341" t="inlineStr">
        <is>
          <t>5,3</t>
        </is>
      </c>
      <c r="CR341" t="n">
        <v>8</v>
      </c>
      <c r="CS341" t="inlineStr">
        <is>
          <t>T1#</t>
        </is>
      </c>
      <c r="CT341" t="inlineStr">
        <is>
          <t>N</t>
        </is>
      </c>
    </row>
    <row r="342">
      <c r="A342" t="inlineStr">
        <is>
          <t>jamesShi(石锋勋)</t>
        </is>
      </c>
      <c r="C342" t="n">
        <v>50969882</v>
      </c>
      <c r="D342" t="inlineStr">
        <is>
          <t>CSIG财务管理</t>
        </is>
      </c>
      <c r="E342" t="inlineStr">
        <is>
          <t>产品财务管理中心</t>
        </is>
      </c>
      <c r="G342" t="inlineStr">
        <is>
          <t>S2职能系统－财经线/CSIG财务管理/产品财务管理中心</t>
        </is>
      </c>
      <c r="H342" s="188" t="n">
        <v>44461</v>
      </c>
      <c r="I342" t="inlineStr">
        <is>
          <t>高校招聘</t>
        </is>
      </c>
      <c r="J342" t="inlineStr">
        <is>
          <t>财经类－FN</t>
        </is>
      </c>
      <c r="K342" t="inlineStr">
        <is>
          <t>财务管理</t>
        </is>
      </c>
      <c r="L342" t="inlineStr">
        <is>
          <t>S5</t>
        </is>
      </c>
      <c r="N342" t="inlineStr">
        <is>
          <t>T2</t>
        </is>
      </c>
      <c r="Q342" t="inlineStr">
        <is>
          <t>G,G</t>
        </is>
      </c>
      <c r="U342" t="n">
        <v>31883.75</v>
      </c>
      <c r="V342" t="n">
        <v>0.083333</v>
      </c>
      <c r="W342" t="inlineStr">
        <is>
          <t>CNY</t>
        </is>
      </c>
      <c r="X342" t="n">
        <v>1</v>
      </c>
      <c r="Y342" t="n">
        <v>29489.49</v>
      </c>
      <c r="Z342" t="n">
        <v>0</v>
      </c>
      <c r="AA342" t="n">
        <v>63767.5</v>
      </c>
      <c r="AF342" t="n">
        <v>0</v>
      </c>
      <c r="AG342" t="n">
        <v>100607.5</v>
      </c>
      <c r="AH342" t="n">
        <v>3.411639197558181</v>
      </c>
      <c r="AJ342" t="n">
        <v>3.411639197558181</v>
      </c>
      <c r="AK342" t="n">
        <v>3.411639197558181</v>
      </c>
      <c r="AQ342" t="n">
        <v>100607.5</v>
      </c>
      <c r="AR342" t="n">
        <v>3.411639197558181</v>
      </c>
      <c r="AS342" t="n">
        <v>0.7914683554261889</v>
      </c>
      <c r="BL342" t="n">
        <v>1</v>
      </c>
      <c r="BM342" t="n">
        <v>28535</v>
      </c>
      <c r="BN342" t="n">
        <v>0</v>
      </c>
      <c r="BO342" t="n">
        <v>29975</v>
      </c>
      <c r="BP342" t="inlineStr">
        <is>
          <t>O,G</t>
        </is>
      </c>
      <c r="BQ342" t="inlineStr">
        <is>
          <t>T2</t>
        </is>
      </c>
      <c r="BS342" t="n">
        <v>4.454704748554406</v>
      </c>
      <c r="BT342" t="n">
        <v>0</v>
      </c>
      <c r="BV342" t="n">
        <v>4.454704748554406</v>
      </c>
      <c r="BY342" t="n">
        <v>127115</v>
      </c>
      <c r="BZ342" t="n">
        <v>4.454704748554406</v>
      </c>
      <c r="CP342" t="inlineStr">
        <is>
          <t>CSIG财务管理</t>
        </is>
      </c>
      <c r="CQ342" t="inlineStr">
        <is>
          <t>3,3</t>
        </is>
      </c>
      <c r="CR342" t="n">
        <v>5</v>
      </c>
      <c r="CS342" t="inlineStr">
        <is>
          <t>T2</t>
        </is>
      </c>
      <c r="CT342" t="inlineStr">
        <is>
          <t>N</t>
        </is>
      </c>
    </row>
    <row r="343">
      <c r="A343" t="inlineStr">
        <is>
          <t>andrewWei(魏勇)</t>
        </is>
      </c>
      <c r="C343" t="n">
        <v>16555014</v>
      </c>
      <c r="D343" t="inlineStr">
        <is>
          <t>WXG财务管理</t>
        </is>
      </c>
      <c r="E343" t="inlineStr">
        <is>
          <t>微信支付财务管理中心</t>
        </is>
      </c>
      <c r="G343" t="inlineStr">
        <is>
          <t>S2职能系统－财经线/WXG财务管理/微信支付财务管理中心</t>
        </is>
      </c>
      <c r="H343" s="188" t="n">
        <v>42935</v>
      </c>
      <c r="I343" t="inlineStr">
        <is>
          <t>社会招聘</t>
        </is>
      </c>
      <c r="J343" t="inlineStr">
        <is>
          <t>财经类－FN</t>
        </is>
      </c>
      <c r="K343" t="inlineStr">
        <is>
          <t>财务管理</t>
        </is>
      </c>
      <c r="L343" t="inlineStr">
        <is>
          <t>S9</t>
        </is>
      </c>
      <c r="N343" t="inlineStr">
        <is>
          <t>T2</t>
        </is>
      </c>
      <c r="Q343" t="inlineStr">
        <is>
          <t>G,G</t>
        </is>
      </c>
      <c r="U343" t="n">
        <v>48179.95</v>
      </c>
      <c r="V343" t="n">
        <v>0.083333</v>
      </c>
      <c r="W343" t="inlineStr">
        <is>
          <t>CNY</t>
        </is>
      </c>
      <c r="X343" t="n">
        <v>1</v>
      </c>
      <c r="Y343" t="n">
        <v>45803.05</v>
      </c>
      <c r="Z343" t="n">
        <v>0</v>
      </c>
      <c r="AA343" t="n">
        <v>96359.89999999999</v>
      </c>
      <c r="AF343" t="n">
        <v>0</v>
      </c>
      <c r="AG343" t="n">
        <v>144614.9</v>
      </c>
      <c r="AH343" t="n">
        <v>3.157320309455375</v>
      </c>
      <c r="AJ343" t="n">
        <v>3.157320309455375</v>
      </c>
      <c r="AK343" t="n">
        <v>3.157320309455375</v>
      </c>
      <c r="AQ343" t="n">
        <v>144614.9</v>
      </c>
      <c r="AR343" t="n">
        <v>3.157320309455375</v>
      </c>
      <c r="AS343" t="n">
        <v>0.9989286454375906</v>
      </c>
      <c r="BL343" t="n">
        <v>1</v>
      </c>
      <c r="BM343" t="n">
        <v>40930</v>
      </c>
      <c r="BN343" t="n">
        <v>0</v>
      </c>
      <c r="BO343" t="n">
        <v>45005</v>
      </c>
      <c r="BP343" t="inlineStr">
        <is>
          <t>G,G</t>
        </is>
      </c>
      <c r="BQ343" t="inlineStr">
        <is>
          <t>T2</t>
        </is>
      </c>
      <c r="BS343" t="n">
        <v>3.53701441485463</v>
      </c>
      <c r="BT343" t="n">
        <v>0</v>
      </c>
      <c r="BV343" t="n">
        <v>3.53701441485463</v>
      </c>
      <c r="BY343" t="n">
        <v>144770</v>
      </c>
      <c r="BZ343" t="n">
        <v>3.53701441485463</v>
      </c>
      <c r="CP343" t="inlineStr">
        <is>
          <t>WXG财务管理</t>
        </is>
      </c>
      <c r="CQ343" t="inlineStr">
        <is>
          <t>3,3</t>
        </is>
      </c>
      <c r="CR343" t="n">
        <v>9</v>
      </c>
      <c r="CS343" t="inlineStr">
        <is>
          <t>T2</t>
        </is>
      </c>
      <c r="CT343" t="inlineStr">
        <is>
          <t>N</t>
        </is>
      </c>
    </row>
    <row r="344">
      <c r="A344" t="inlineStr">
        <is>
          <t>harryXiong(熊健)</t>
        </is>
      </c>
      <c r="C344" t="n">
        <v>44383</v>
      </c>
      <c r="D344" t="inlineStr">
        <is>
          <t>财会及报告管理部</t>
        </is>
      </c>
      <c r="E344" t="inlineStr">
        <is>
          <t>应收管理中心</t>
        </is>
      </c>
      <c r="G344" t="inlineStr">
        <is>
          <t>S2职能系统－财经线/财会及报告管理部/应收管理中心</t>
        </is>
      </c>
      <c r="H344" s="188" t="n">
        <v>36521</v>
      </c>
      <c r="I344" t="inlineStr">
        <is>
          <t>社会招聘</t>
        </is>
      </c>
      <c r="J344" t="inlineStr">
        <is>
          <t>财经类－FN</t>
        </is>
      </c>
      <c r="K344" t="inlineStr">
        <is>
          <t>会计</t>
        </is>
      </c>
      <c r="L344" t="inlineStr">
        <is>
          <t>S8</t>
        </is>
      </c>
      <c r="N344" t="inlineStr">
        <is>
          <t>T1</t>
        </is>
      </c>
      <c r="Q344" t="inlineStr">
        <is>
          <t>G,G</t>
        </is>
      </c>
      <c r="U344" t="n">
        <v>34159.95</v>
      </c>
      <c r="V344" t="n">
        <v>0.083333</v>
      </c>
      <c r="W344" t="inlineStr">
        <is>
          <t>CNY</t>
        </is>
      </c>
      <c r="X344" t="n">
        <v>1</v>
      </c>
      <c r="Y344" t="n">
        <v>33663.79</v>
      </c>
      <c r="Z344" t="n">
        <v>0</v>
      </c>
      <c r="AA344" t="n">
        <v>68319.89999999999</v>
      </c>
      <c r="AF344" t="n">
        <v>0</v>
      </c>
      <c r="AG344" t="n">
        <v>198639.9</v>
      </c>
      <c r="AH344" t="n">
        <v>5.90069923796459</v>
      </c>
      <c r="AJ344" t="n">
        <v>5.90069923796459</v>
      </c>
      <c r="AK344" t="n">
        <v>4.46384379180122</v>
      </c>
      <c r="AQ344" t="n">
        <v>198639.9</v>
      </c>
      <c r="AR344" t="n">
        <v>5.90069923796459</v>
      </c>
      <c r="AS344" t="n">
        <v>1.454757772163023</v>
      </c>
      <c r="BL344" t="n">
        <v>1</v>
      </c>
      <c r="BM344" t="n">
        <v>29715</v>
      </c>
      <c r="BN344" t="n">
        <v>0</v>
      </c>
      <c r="BO344" t="n">
        <v>30010</v>
      </c>
      <c r="BP344" t="inlineStr">
        <is>
          <t>G,G</t>
        </is>
      </c>
      <c r="BQ344" t="inlineStr">
        <is>
          <t>T1</t>
        </is>
      </c>
      <c r="BS344" t="n">
        <v>3.487969039205788</v>
      </c>
      <c r="BT344" t="n">
        <v>32900</v>
      </c>
      <c r="BV344" t="n">
        <v>4.595153962645129</v>
      </c>
      <c r="BY344" t="n">
        <v>136545</v>
      </c>
      <c r="BZ344" t="n">
        <v>4.595153962645129</v>
      </c>
      <c r="CP344" t="inlineStr">
        <is>
          <t>财会及报告管理部</t>
        </is>
      </c>
      <c r="CQ344" t="inlineStr">
        <is>
          <t>3,3</t>
        </is>
      </c>
      <c r="CR344" t="n">
        <v>8</v>
      </c>
      <c r="CS344" t="inlineStr">
        <is>
          <t>T1</t>
        </is>
      </c>
      <c r="CT344" t="inlineStr">
        <is>
          <t>N</t>
        </is>
      </c>
    </row>
    <row r="345">
      <c r="A345" t="inlineStr">
        <is>
          <t>geraldLu(卢锋)</t>
        </is>
      </c>
      <c r="C345" t="n">
        <v>25627231</v>
      </c>
      <c r="D345" t="inlineStr">
        <is>
          <t>IEG财务管理</t>
        </is>
      </c>
      <c r="E345" t="inlineStr">
        <is>
          <t>自研财务管理组</t>
        </is>
      </c>
      <c r="G345" t="inlineStr">
        <is>
          <t>S2职能系统－财经线/IEG财务管理/自研财务管理组</t>
        </is>
      </c>
      <c r="H345" s="188" t="n">
        <v>40900</v>
      </c>
      <c r="I345" t="inlineStr">
        <is>
          <t>社会招聘</t>
        </is>
      </c>
      <c r="J345" t="inlineStr">
        <is>
          <t>财经类－FN</t>
        </is>
      </c>
      <c r="K345" t="inlineStr">
        <is>
          <t>财务管理</t>
        </is>
      </c>
      <c r="L345" t="inlineStr">
        <is>
          <t>S9</t>
        </is>
      </c>
      <c r="N345" t="inlineStr">
        <is>
          <t>T1#</t>
        </is>
      </c>
      <c r="Q345" t="inlineStr">
        <is>
          <t>G,G</t>
        </is>
      </c>
      <c r="U345" t="n">
        <v>46606.15</v>
      </c>
      <c r="V345" t="n">
        <v>0.083333</v>
      </c>
      <c r="W345" t="inlineStr">
        <is>
          <t>CNY</t>
        </is>
      </c>
      <c r="X345" t="n">
        <v>1</v>
      </c>
      <c r="Y345" t="n">
        <v>44988.75</v>
      </c>
      <c r="Z345" t="n">
        <v>0</v>
      </c>
      <c r="AA345" t="n">
        <v>93212.3</v>
      </c>
      <c r="AF345" t="n">
        <v>0</v>
      </c>
      <c r="AG345" t="n">
        <v>315387.3</v>
      </c>
      <c r="AH345" t="n">
        <v>7.010359256480786</v>
      </c>
      <c r="AJ345" t="n">
        <v>7.010359256480786</v>
      </c>
      <c r="AK345" t="n">
        <v>5.254031285599178</v>
      </c>
      <c r="AQ345" t="n">
        <v>315387.3</v>
      </c>
      <c r="AR345" t="n">
        <v>7.010359256480786</v>
      </c>
      <c r="AS345" t="n">
        <v>0.997098686394461</v>
      </c>
      <c r="BL345" t="n">
        <v>1</v>
      </c>
      <c r="BM345" t="n">
        <v>38045</v>
      </c>
      <c r="BN345" t="n">
        <v>0</v>
      </c>
      <c r="BO345" t="n">
        <v>40425</v>
      </c>
      <c r="BP345" t="inlineStr">
        <is>
          <t>O,G</t>
        </is>
      </c>
      <c r="BQ345" t="inlineStr">
        <is>
          <t>T1#</t>
        </is>
      </c>
      <c r="BS345" t="n">
        <v>6.742410303587857</v>
      </c>
      <c r="BT345" t="n">
        <v>59790</v>
      </c>
      <c r="BV345" t="n">
        <v>8.313970298330924</v>
      </c>
      <c r="BY345" t="n">
        <v>316305</v>
      </c>
      <c r="BZ345" t="n">
        <v>8.313970298330924</v>
      </c>
      <c r="CP345" t="inlineStr">
        <is>
          <t>IEG财务管理</t>
        </is>
      </c>
      <c r="CQ345" t="inlineStr">
        <is>
          <t>3,3</t>
        </is>
      </c>
      <c r="CR345" t="n">
        <v>9</v>
      </c>
      <c r="CS345" t="inlineStr">
        <is>
          <t>T1#</t>
        </is>
      </c>
      <c r="CT345" t="inlineStr">
        <is>
          <t>N</t>
        </is>
      </c>
    </row>
    <row r="346">
      <c r="A346" t="inlineStr">
        <is>
          <t>jerrySong(宋睿)</t>
        </is>
      </c>
      <c r="C346" t="n">
        <v>6124988</v>
      </c>
      <c r="D346" t="inlineStr">
        <is>
          <t>财经IT管理部</t>
        </is>
      </c>
      <c r="E346" t="inlineStr">
        <is>
          <t>平台建设中心</t>
        </is>
      </c>
      <c r="G346" t="inlineStr">
        <is>
          <t>S2职能系统－财经线/财经IT管理部/平台建设中心</t>
        </is>
      </c>
      <c r="H346" s="188" t="n">
        <v>38219</v>
      </c>
      <c r="I346" t="inlineStr">
        <is>
          <t>社会招聘</t>
        </is>
      </c>
      <c r="J346" t="inlineStr">
        <is>
          <t>技术研发类－TRD</t>
        </is>
      </c>
      <c r="K346" t="inlineStr">
        <is>
          <t>应用开发</t>
        </is>
      </c>
      <c r="L346" t="inlineStr">
        <is>
          <t>T8</t>
        </is>
      </c>
      <c r="N346" t="inlineStr">
        <is>
          <t>T1</t>
        </is>
      </c>
      <c r="Q346" t="inlineStr">
        <is>
          <t>G,G</t>
        </is>
      </c>
      <c r="U346" t="n">
        <v>40797.5</v>
      </c>
      <c r="V346" t="n">
        <v>0.083333</v>
      </c>
      <c r="W346" t="inlineStr">
        <is>
          <t>CNY</t>
        </is>
      </c>
      <c r="X346" t="n">
        <v>1</v>
      </c>
      <c r="Y346" t="n">
        <v>39955.5</v>
      </c>
      <c r="Z346" t="n">
        <v>0</v>
      </c>
      <c r="AA346" t="n">
        <v>81595</v>
      </c>
      <c r="AF346" t="n">
        <v>0</v>
      </c>
      <c r="AG346" t="n">
        <v>242635</v>
      </c>
      <c r="AH346" t="n">
        <v>6.072630801766966</v>
      </c>
      <c r="AJ346" t="n">
        <v>6.072630801766966</v>
      </c>
      <c r="AK346" t="n">
        <v>4.187408491947291</v>
      </c>
      <c r="AQ346" t="n">
        <v>242635</v>
      </c>
      <c r="AR346" t="n">
        <v>6.072630801766966</v>
      </c>
      <c r="AS346" t="n">
        <v>1.29956348249913</v>
      </c>
      <c r="BL346" t="n">
        <v>1</v>
      </c>
      <c r="BM346" t="n">
        <v>35630</v>
      </c>
      <c r="BN346" t="n">
        <v>0</v>
      </c>
      <c r="BO346" t="n">
        <v>36585</v>
      </c>
      <c r="BP346" t="inlineStr">
        <is>
          <t>G,G</t>
        </is>
      </c>
      <c r="BQ346" t="inlineStr">
        <is>
          <t>T1</t>
        </is>
      </c>
      <c r="BS346" t="n">
        <v>3.564131349985967</v>
      </c>
      <c r="BT346" t="n">
        <v>59715</v>
      </c>
      <c r="BV346" t="n">
        <v>5.240106651698007</v>
      </c>
      <c r="BY346" t="n">
        <v>186705</v>
      </c>
      <c r="BZ346" t="n">
        <v>5.240106651698007</v>
      </c>
      <c r="CP346" t="inlineStr">
        <is>
          <t>财经IT管理部</t>
        </is>
      </c>
      <c r="CQ346" t="inlineStr">
        <is>
          <t>3,3</t>
        </is>
      </c>
      <c r="CR346" t="n">
        <v>8</v>
      </c>
      <c r="CS346" t="inlineStr">
        <is>
          <t>T1</t>
        </is>
      </c>
      <c r="CT346" t="inlineStr">
        <is>
          <t>N</t>
        </is>
      </c>
    </row>
    <row r="347">
      <c r="A347" t="inlineStr">
        <is>
          <t>thomasLin(林鹏)</t>
        </is>
      </c>
      <c r="C347" t="n">
        <v>39112547</v>
      </c>
      <c r="D347" t="inlineStr">
        <is>
          <t>CSIG财务管理</t>
        </is>
      </c>
      <c r="E347" t="inlineStr">
        <is>
          <t>行业财务管理3中心</t>
        </is>
      </c>
      <c r="G347" t="inlineStr">
        <is>
          <t>S2职能系统－财经线/CSIG财务管理/行业财务管理3中心</t>
        </is>
      </c>
      <c r="H347" s="188" t="n">
        <v>39521</v>
      </c>
      <c r="I347" t="inlineStr">
        <is>
          <t>社会招聘</t>
        </is>
      </c>
      <c r="J347" t="inlineStr">
        <is>
          <t>财经类－FN</t>
        </is>
      </c>
      <c r="K347" t="inlineStr">
        <is>
          <t>财务管理</t>
        </is>
      </c>
      <c r="L347" t="inlineStr">
        <is>
          <t>S8</t>
        </is>
      </c>
      <c r="N347" t="inlineStr">
        <is>
          <t>T1</t>
        </is>
      </c>
      <c r="Q347" t="inlineStr">
        <is>
          <t>G,O</t>
        </is>
      </c>
      <c r="U347" t="n">
        <v>44710.7</v>
      </c>
      <c r="V347" t="n">
        <v>0.083333</v>
      </c>
      <c r="W347" t="inlineStr">
        <is>
          <t>CNY</t>
        </is>
      </c>
      <c r="X347" t="n">
        <v>1</v>
      </c>
      <c r="Y347" t="n">
        <v>40576.98</v>
      </c>
      <c r="Z347" t="n">
        <v>0</v>
      </c>
      <c r="AA347" t="n">
        <v>134132.1</v>
      </c>
      <c r="AF347" t="n">
        <v>0</v>
      </c>
      <c r="AG347" t="n">
        <v>294867.1</v>
      </c>
      <c r="AH347" t="n">
        <v>7.266856725167815</v>
      </c>
      <c r="AJ347" t="n">
        <v>7.266856725167815</v>
      </c>
      <c r="AK347" t="n">
        <v>5.961559978095955</v>
      </c>
      <c r="AQ347" t="n">
        <v>294867.1</v>
      </c>
      <c r="AR347" t="n">
        <v>7.266856725167815</v>
      </c>
      <c r="AS347" t="n">
        <v>0.9523054564244997</v>
      </c>
      <c r="BL347" t="n">
        <v>1</v>
      </c>
      <c r="BM347" t="n">
        <v>39465</v>
      </c>
      <c r="BN347" t="n">
        <v>0</v>
      </c>
      <c r="BO347" t="n">
        <v>42405</v>
      </c>
      <c r="BP347" t="inlineStr">
        <is>
          <t>O,O</t>
        </is>
      </c>
      <c r="BQ347" t="inlineStr">
        <is>
          <t>T1</t>
        </is>
      </c>
      <c r="BS347" t="n">
        <v>5.83491701507665</v>
      </c>
      <c r="BT347" t="n">
        <v>79360</v>
      </c>
      <c r="BV347" t="n">
        <v>7.845812745470671</v>
      </c>
      <c r="BY347" t="n">
        <v>309635</v>
      </c>
      <c r="BZ347" t="n">
        <v>7.845812745470671</v>
      </c>
      <c r="CP347" t="inlineStr">
        <is>
          <t>CSIG财务管理</t>
        </is>
      </c>
      <c r="CQ347" t="inlineStr">
        <is>
          <t>5,3</t>
        </is>
      </c>
      <c r="CR347" t="n">
        <v>8</v>
      </c>
      <c r="CS347" t="inlineStr">
        <is>
          <t>T1</t>
        </is>
      </c>
      <c r="CT347" t="inlineStr">
        <is>
          <t>N</t>
        </is>
      </c>
    </row>
    <row r="348">
      <c r="A348" t="inlineStr">
        <is>
          <t>ernestFu(傅睿磊)</t>
        </is>
      </c>
      <c r="C348" t="n">
        <v>89633809</v>
      </c>
      <c r="D348" t="inlineStr">
        <is>
          <t>风险管理和内部控制</t>
        </is>
      </c>
      <c r="E348" t="inlineStr">
        <is>
          <t>风险管理和内部控制</t>
        </is>
      </c>
      <c r="G348" t="inlineStr">
        <is>
          <t>S2职能系统－财经线/风险管理和内部控制</t>
        </is>
      </c>
      <c r="H348" s="188" t="n">
        <v>43238</v>
      </c>
      <c r="I348" t="inlineStr">
        <is>
          <t>社会招聘</t>
        </is>
      </c>
      <c r="J348" t="inlineStr">
        <is>
          <t>财经类－FN</t>
        </is>
      </c>
      <c r="K348" t="inlineStr">
        <is>
          <t>风险管理</t>
        </is>
      </c>
      <c r="L348" t="inlineStr">
        <is>
          <t>S6</t>
        </is>
      </c>
      <c r="N348" t="inlineStr">
        <is>
          <t>T1#</t>
        </is>
      </c>
      <c r="Q348" t="inlineStr">
        <is>
          <t>G,O</t>
        </is>
      </c>
      <c r="U348" t="n">
        <v>32730</v>
      </c>
      <c r="V348" t="n">
        <v>0.083333</v>
      </c>
      <c r="W348" t="inlineStr">
        <is>
          <t>CNY</t>
        </is>
      </c>
      <c r="X348" t="n">
        <v>1</v>
      </c>
      <c r="Y348" t="n">
        <v>29689.11</v>
      </c>
      <c r="Z348" t="n">
        <v>0</v>
      </c>
      <c r="AA348" t="n">
        <v>98190</v>
      </c>
      <c r="AF348" t="n">
        <v>0</v>
      </c>
      <c r="AG348" t="n">
        <v>247665</v>
      </c>
      <c r="AH348" t="n">
        <v>8.341947603009993</v>
      </c>
      <c r="AJ348" t="n">
        <v>8.341947603009993</v>
      </c>
      <c r="AK348" t="n">
        <v>6.921224651058924</v>
      </c>
      <c r="AQ348" t="n">
        <v>247665</v>
      </c>
      <c r="AR348" t="n">
        <v>8.341947603009993</v>
      </c>
      <c r="AS348" t="n">
        <v>1.253873025516403</v>
      </c>
      <c r="BL348" t="n">
        <v>1</v>
      </c>
      <c r="BM348" t="n">
        <v>27850</v>
      </c>
      <c r="BN348" t="n">
        <v>0</v>
      </c>
      <c r="BO348" t="n">
        <v>30195</v>
      </c>
      <c r="BP348" t="inlineStr">
        <is>
          <t>G,G</t>
        </is>
      </c>
      <c r="BQ348" t="inlineStr">
        <is>
          <t>T1#</t>
        </is>
      </c>
      <c r="BS348" t="n">
        <v>5.648114901256733</v>
      </c>
      <c r="BT348" t="n">
        <v>40220</v>
      </c>
      <c r="BV348" t="n">
        <v>7.092280071813286</v>
      </c>
      <c r="BY348" t="n">
        <v>197520</v>
      </c>
      <c r="BZ348" t="n">
        <v>7.092280071813286</v>
      </c>
      <c r="CP348" t="inlineStr">
        <is>
          <t>风险管理和内部控制</t>
        </is>
      </c>
      <c r="CQ348" t="inlineStr">
        <is>
          <t>5,3</t>
        </is>
      </c>
      <c r="CR348" t="n">
        <v>6</v>
      </c>
      <c r="CS348" t="inlineStr">
        <is>
          <t>T1#</t>
        </is>
      </c>
      <c r="CT348" t="inlineStr">
        <is>
          <t>N</t>
        </is>
      </c>
    </row>
    <row r="349">
      <c r="A349" t="inlineStr">
        <is>
          <t>christinaCai(蔡澜曼)</t>
        </is>
      </c>
      <c r="C349" t="n">
        <v>59143297</v>
      </c>
      <c r="D349" t="inlineStr">
        <is>
          <t>行政支持中心</t>
        </is>
      </c>
      <c r="E349" t="inlineStr">
        <is>
          <t>行政支持中心</t>
        </is>
      </c>
      <c r="G349" t="inlineStr">
        <is>
          <t>S2职能系统－财经线/行政支持中心</t>
        </is>
      </c>
      <c r="H349" s="188" t="n">
        <v>41141</v>
      </c>
      <c r="I349" t="inlineStr">
        <is>
          <t>高校招聘</t>
        </is>
      </c>
      <c r="J349" t="inlineStr">
        <is>
          <t>财经类－FN</t>
        </is>
      </c>
      <c r="K349" t="inlineStr">
        <is>
          <t>公司秘书</t>
        </is>
      </c>
      <c r="L349" t="inlineStr">
        <is>
          <t>S8</t>
        </is>
      </c>
      <c r="N349" t="inlineStr">
        <is>
          <t>T2</t>
        </is>
      </c>
      <c r="Q349" t="inlineStr">
        <is>
          <t>G,G</t>
        </is>
      </c>
      <c r="U349" t="n">
        <v>46016.35</v>
      </c>
      <c r="V349" t="n">
        <v>0.083333</v>
      </c>
      <c r="W349" t="inlineStr">
        <is>
          <t>CNY</t>
        </is>
      </c>
      <c r="X349" t="n">
        <v>1</v>
      </c>
      <c r="Y349" t="n">
        <v>43405.09</v>
      </c>
      <c r="Z349" t="n">
        <v>0</v>
      </c>
      <c r="AA349" t="n">
        <v>92032.7</v>
      </c>
      <c r="AF349" t="n">
        <v>0</v>
      </c>
      <c r="AG349" t="n">
        <v>159182.7</v>
      </c>
      <c r="AH349" t="n">
        <v>3.667374033782675</v>
      </c>
      <c r="AJ349" t="n">
        <v>3.667374033782675</v>
      </c>
      <c r="AK349" t="n">
        <v>3.667374033782675</v>
      </c>
      <c r="AQ349" t="n">
        <v>159182.7</v>
      </c>
      <c r="AR349" t="n">
        <v>3.667374033782675</v>
      </c>
      <c r="AS349" t="n">
        <v>1.122863189080521</v>
      </c>
      <c r="BL349" t="n">
        <v>1</v>
      </c>
      <c r="BM349" t="n">
        <v>38035</v>
      </c>
      <c r="BN349" t="n">
        <v>0</v>
      </c>
      <c r="BO349" t="n">
        <v>41720</v>
      </c>
      <c r="BP349" t="inlineStr">
        <is>
          <t>G,G</t>
        </is>
      </c>
      <c r="BQ349" t="inlineStr">
        <is>
          <t>T2</t>
        </is>
      </c>
      <c r="BS349" t="n">
        <v>3.727224924411726</v>
      </c>
      <c r="BT349" t="n">
        <v>0</v>
      </c>
      <c r="BV349" t="n">
        <v>3.727224924411726</v>
      </c>
      <c r="BY349" t="n">
        <v>141765</v>
      </c>
      <c r="BZ349" t="n">
        <v>3.727224924411726</v>
      </c>
      <c r="CP349" t="inlineStr">
        <is>
          <t>行政支持中心</t>
        </is>
      </c>
      <c r="CQ349" t="inlineStr">
        <is>
          <t>3,3</t>
        </is>
      </c>
      <c r="CR349" t="n">
        <v>8</v>
      </c>
      <c r="CS349" t="inlineStr">
        <is>
          <t>T2</t>
        </is>
      </c>
      <c r="CT349" t="inlineStr">
        <is>
          <t>N</t>
        </is>
      </c>
    </row>
    <row r="350">
      <c r="A350" t="inlineStr">
        <is>
          <t>judyFan(范秀)</t>
        </is>
      </c>
      <c r="C350" t="n">
        <v>6771604</v>
      </c>
      <c r="D350" t="inlineStr">
        <is>
          <t>财经投资并购及管理部</t>
        </is>
      </c>
      <c r="E350" t="inlineStr">
        <is>
          <t>财经投资并购及管理部</t>
        </is>
      </c>
      <c r="G350" t="inlineStr">
        <is>
          <t>S2职能系统－财经线/财经投资并购及管理部</t>
        </is>
      </c>
      <c r="H350" s="188" t="n">
        <v>43274</v>
      </c>
      <c r="I350" t="inlineStr">
        <is>
          <t>高校招聘</t>
        </is>
      </c>
      <c r="J350" t="inlineStr">
        <is>
          <t>财经类－FN</t>
        </is>
      </c>
      <c r="K350" t="inlineStr">
        <is>
          <t>投资并购</t>
        </is>
      </c>
      <c r="L350" t="inlineStr">
        <is>
          <t>S9</t>
        </is>
      </c>
      <c r="N350" t="inlineStr">
        <is>
          <t>T1#</t>
        </is>
      </c>
      <c r="Q350" t="inlineStr">
        <is>
          <t>O,O</t>
        </is>
      </c>
      <c r="U350" t="n">
        <v>55636.55</v>
      </c>
      <c r="V350" t="n">
        <v>0.083333</v>
      </c>
      <c r="W350" t="inlineStr">
        <is>
          <t>CNY</t>
        </is>
      </c>
      <c r="X350" t="n">
        <v>1</v>
      </c>
      <c r="Y350" t="n">
        <v>53602.43</v>
      </c>
      <c r="Z350" t="n">
        <v>0</v>
      </c>
      <c r="AA350" t="n">
        <v>222546.2</v>
      </c>
      <c r="AF350" t="n">
        <v>0</v>
      </c>
      <c r="AG350" t="n">
        <v>468121.2</v>
      </c>
      <c r="AH350" t="n">
        <v>8.733208550433254</v>
      </c>
      <c r="AJ350" t="n">
        <v>8.733208550433254</v>
      </c>
      <c r="AK350" t="n">
        <v>7.302396551798118</v>
      </c>
      <c r="AQ350" t="n">
        <v>468121.2</v>
      </c>
      <c r="AR350" t="n">
        <v>8.733208550433254</v>
      </c>
      <c r="AS350" t="n">
        <v>1.20825738510976</v>
      </c>
      <c r="BL350" t="n">
        <v>1</v>
      </c>
      <c r="BM350" t="n">
        <v>45935</v>
      </c>
      <c r="BN350" t="n">
        <v>0</v>
      </c>
      <c r="BO350" t="n">
        <v>47385</v>
      </c>
      <c r="BP350" t="inlineStr">
        <is>
          <t>G,O</t>
        </is>
      </c>
      <c r="BQ350" t="inlineStr">
        <is>
          <t>T1#</t>
        </is>
      </c>
      <c r="BS350" t="n">
        <v>6.609992380537716</v>
      </c>
      <c r="BT350" t="n">
        <v>83805</v>
      </c>
      <c r="BV350" t="n">
        <v>8.434418199629912</v>
      </c>
      <c r="BY350" t="n">
        <v>387435</v>
      </c>
      <c r="BZ350" t="n">
        <v>8.434418199629912</v>
      </c>
      <c r="CP350" t="inlineStr">
        <is>
          <t>财经投资并购及管理部</t>
        </is>
      </c>
      <c r="CQ350" t="inlineStr">
        <is>
          <t>5,5</t>
        </is>
      </c>
      <c r="CR350" t="n">
        <v>9</v>
      </c>
      <c r="CS350" t="inlineStr">
        <is>
          <t>T1#</t>
        </is>
      </c>
      <c r="CT350" t="inlineStr">
        <is>
          <t>N</t>
        </is>
      </c>
    </row>
    <row r="351">
      <c r="A351" t="inlineStr">
        <is>
          <t>oscarWang(汪波文)</t>
        </is>
      </c>
      <c r="C351" t="n">
        <v>21775494</v>
      </c>
      <c r="D351" t="inlineStr">
        <is>
          <t>WXG财务管理</t>
        </is>
      </c>
      <c r="E351" t="inlineStr">
        <is>
          <t>微信支付财务管理中心</t>
        </is>
      </c>
      <c r="G351" t="inlineStr">
        <is>
          <t>S2职能系统－财经线/WXG财务管理/微信支付财务管理中心</t>
        </is>
      </c>
      <c r="H351" s="188" t="n">
        <v>43552</v>
      </c>
      <c r="I351" t="inlineStr">
        <is>
          <t>社会招聘</t>
        </is>
      </c>
      <c r="J351" t="inlineStr">
        <is>
          <t>财经类－FN</t>
        </is>
      </c>
      <c r="K351" t="inlineStr">
        <is>
          <t>财务管理</t>
        </is>
      </c>
      <c r="L351" t="inlineStr">
        <is>
          <t>S7</t>
        </is>
      </c>
      <c r="N351" t="inlineStr">
        <is>
          <t>T2</t>
        </is>
      </c>
      <c r="Q351" t="inlineStr">
        <is>
          <t>O,G</t>
        </is>
      </c>
      <c r="U351" t="n">
        <v>24965.05</v>
      </c>
      <c r="V351" t="n">
        <v>0.083333</v>
      </c>
      <c r="W351" t="inlineStr">
        <is>
          <t>CNY</t>
        </is>
      </c>
      <c r="X351" t="n">
        <v>1</v>
      </c>
      <c r="Y351" t="n">
        <v>22913.96</v>
      </c>
      <c r="Z351" t="n">
        <v>0</v>
      </c>
      <c r="AA351" t="n">
        <v>74895.14999999999</v>
      </c>
      <c r="AF351" t="n">
        <v>0</v>
      </c>
      <c r="AG351" t="n">
        <v>100255.15</v>
      </c>
      <c r="AH351" t="n">
        <v>4.375286942981484</v>
      </c>
      <c r="AJ351" t="n">
        <v>4.375286942981484</v>
      </c>
      <c r="AK351" t="n">
        <v>4.375286942981484</v>
      </c>
      <c r="AQ351" t="n">
        <v>100255.15</v>
      </c>
      <c r="AR351" t="n">
        <v>4.375286942981484</v>
      </c>
      <c r="AS351" t="n">
        <v>2.049997955219303</v>
      </c>
      <c r="BL351" t="n">
        <v>1</v>
      </c>
      <c r="BM351" t="n">
        <v>20385</v>
      </c>
      <c r="BN351" t="n">
        <v>0</v>
      </c>
      <c r="BO351" t="n">
        <v>22085</v>
      </c>
      <c r="BP351" t="inlineStr">
        <is>
          <t>G,U</t>
        </is>
      </c>
      <c r="BQ351" t="inlineStr">
        <is>
          <t>Others</t>
        </is>
      </c>
      <c r="BS351" t="n">
        <v>2.3990679421143</v>
      </c>
      <c r="BT351" t="n">
        <v>0</v>
      </c>
      <c r="BV351" t="n">
        <v>2.3990679421143</v>
      </c>
      <c r="BY351" t="n">
        <v>48905</v>
      </c>
      <c r="BZ351" t="n">
        <v>2.3990679421143</v>
      </c>
      <c r="CP351" t="inlineStr">
        <is>
          <t>WXG财务管理</t>
        </is>
      </c>
      <c r="CQ351" t="inlineStr">
        <is>
          <t>5,3</t>
        </is>
      </c>
      <c r="CR351" t="n">
        <v>7</v>
      </c>
      <c r="CS351" t="inlineStr">
        <is>
          <t>T2</t>
        </is>
      </c>
      <c r="CT351" t="inlineStr">
        <is>
          <t>N</t>
        </is>
      </c>
    </row>
    <row r="352">
      <c r="A352" t="inlineStr">
        <is>
          <t>fredRen(任嘉阳)</t>
        </is>
      </c>
      <c r="C352" t="n">
        <v>75056287</v>
      </c>
      <c r="D352" t="inlineStr">
        <is>
          <t>WXG财务管理</t>
        </is>
      </c>
      <c r="E352" t="inlineStr">
        <is>
          <t>WXG财务管理</t>
        </is>
      </c>
      <c r="G352" t="inlineStr">
        <is>
          <t>S2职能系统－财经线/WXG财务管理</t>
        </is>
      </c>
      <c r="H352" s="188" t="n">
        <v>42298</v>
      </c>
      <c r="I352" t="inlineStr">
        <is>
          <t>社会招聘</t>
        </is>
      </c>
      <c r="J352" t="inlineStr">
        <is>
          <t>财经类－FN</t>
        </is>
      </c>
      <c r="K352" t="inlineStr">
        <is>
          <t>财务管理</t>
        </is>
      </c>
      <c r="M352" t="inlineStr">
        <is>
          <t>L2-1</t>
        </is>
      </c>
      <c r="N352" t="inlineStr">
        <is>
          <t>T1</t>
        </is>
      </c>
      <c r="Q352" t="inlineStr">
        <is>
          <t>U,O</t>
        </is>
      </c>
      <c r="U352" t="n">
        <v>82191.05</v>
      </c>
      <c r="V352" t="n">
        <v>0.083333</v>
      </c>
      <c r="W352" t="inlineStr">
        <is>
          <t>CNY</t>
        </is>
      </c>
      <c r="X352" t="n">
        <v>1</v>
      </c>
      <c r="Y352" t="n">
        <v>75073.05</v>
      </c>
      <c r="Z352" t="n">
        <v>0</v>
      </c>
      <c r="AA352" t="n">
        <v>164382.1</v>
      </c>
      <c r="AF352" t="n">
        <v>81205</v>
      </c>
      <c r="AG352" t="n">
        <v>341332.1</v>
      </c>
      <c r="AH352" t="n">
        <v>4.54666621377445</v>
      </c>
      <c r="AJ352" t="n">
        <v>5.62834599100476</v>
      </c>
      <c r="AK352" t="n">
        <v>5.62834599100476</v>
      </c>
      <c r="AQ352" t="n">
        <v>422537.1</v>
      </c>
      <c r="AR352" t="n">
        <v>5.62834599100476</v>
      </c>
      <c r="AS352" t="n">
        <v>1.155404219247754</v>
      </c>
      <c r="BL352" t="n">
        <v>1</v>
      </c>
      <c r="BM352" t="n">
        <v>67960</v>
      </c>
      <c r="BN352" t="n">
        <v>0</v>
      </c>
      <c r="BO352" t="n">
        <v>73300</v>
      </c>
      <c r="BP352" t="inlineStr">
        <is>
          <t>G,G</t>
        </is>
      </c>
      <c r="BQ352" t="inlineStr">
        <is>
          <t>T1</t>
        </is>
      </c>
      <c r="BS352" t="n">
        <v>3.583210712183638</v>
      </c>
      <c r="BT352" t="n">
        <v>122190</v>
      </c>
      <c r="BV352" t="n">
        <v>5.381180105944673</v>
      </c>
      <c r="BY352" t="n">
        <v>365705</v>
      </c>
      <c r="BZ352" t="n">
        <v>5.381180105944673</v>
      </c>
      <c r="CP352" t="inlineStr">
        <is>
          <t>WXG财务管理</t>
        </is>
      </c>
      <c r="CQ352" t="inlineStr">
        <is>
          <t>5,1</t>
        </is>
      </c>
      <c r="CR352" t="inlineStr">
        <is>
          <t>L2-1</t>
        </is>
      </c>
      <c r="CS352" t="inlineStr">
        <is>
          <t>T1</t>
        </is>
      </c>
      <c r="CT352" t="inlineStr">
        <is>
          <t>N</t>
        </is>
      </c>
    </row>
    <row r="353">
      <c r="A353" t="inlineStr">
        <is>
          <t>marthaSu(苏倩)</t>
        </is>
      </c>
      <c r="C353" t="n">
        <v>59686490</v>
      </c>
      <c r="D353" t="inlineStr">
        <is>
          <t>财会及报告管理部</t>
        </is>
      </c>
      <c r="E353" t="inlineStr">
        <is>
          <t>供应商支付管理中心</t>
        </is>
      </c>
      <c r="G353" t="inlineStr">
        <is>
          <t>S2职能系统－财经线/财会及报告管理部/供应商支付管理中心</t>
        </is>
      </c>
      <c r="H353" s="188" t="n">
        <v>42414</v>
      </c>
      <c r="I353" t="inlineStr">
        <is>
          <t>社会招聘</t>
        </is>
      </c>
      <c r="J353" t="inlineStr">
        <is>
          <t>财经类－FN</t>
        </is>
      </c>
      <c r="K353" t="inlineStr">
        <is>
          <t>会计</t>
        </is>
      </c>
      <c r="L353" t="inlineStr">
        <is>
          <t>S5</t>
        </is>
      </c>
      <c r="N353" t="inlineStr">
        <is>
          <t>T1</t>
        </is>
      </c>
      <c r="Q353" t="inlineStr">
        <is>
          <t>O,G</t>
        </is>
      </c>
      <c r="U353" t="n">
        <v>29998.65</v>
      </c>
      <c r="V353" t="n">
        <v>0.083333</v>
      </c>
      <c r="W353" t="inlineStr">
        <is>
          <t>CNY</t>
        </is>
      </c>
      <c r="X353" t="n">
        <v>1</v>
      </c>
      <c r="Y353" t="n">
        <v>28171.86</v>
      </c>
      <c r="Z353" t="n">
        <v>0</v>
      </c>
      <c r="AA353" t="n">
        <v>89995.95</v>
      </c>
      <c r="AF353" t="n">
        <v>0</v>
      </c>
      <c r="AG353" t="n">
        <v>207345.95</v>
      </c>
      <c r="AH353" t="n">
        <v>7.360037640397191</v>
      </c>
      <c r="AJ353" t="n">
        <v>7.360037640397191</v>
      </c>
      <c r="AK353" t="n">
        <v>5.74033627882575</v>
      </c>
      <c r="AQ353" t="n">
        <v>207345.95</v>
      </c>
      <c r="AR353" t="n">
        <v>7.360037640397191</v>
      </c>
      <c r="AS353" t="n">
        <v>1.459206516766952</v>
      </c>
      <c r="BL353" t="n">
        <v>1</v>
      </c>
      <c r="BM353" t="n">
        <v>24845</v>
      </c>
      <c r="BN353" t="n">
        <v>0</v>
      </c>
      <c r="BO353" t="n">
        <v>27085</v>
      </c>
      <c r="BP353" t="inlineStr">
        <is>
          <t>G,G</t>
        </is>
      </c>
      <c r="BQ353" t="inlineStr">
        <is>
          <t>T1</t>
        </is>
      </c>
      <c r="BS353" t="n">
        <v>3.649627691688468</v>
      </c>
      <c r="BT353" t="n">
        <v>51420</v>
      </c>
      <c r="BV353" t="n">
        <v>5.719259408331657</v>
      </c>
      <c r="BY353" t="n">
        <v>142095</v>
      </c>
      <c r="BZ353" t="n">
        <v>5.719259408331657</v>
      </c>
      <c r="CP353" t="inlineStr">
        <is>
          <t>财会及报告管理部</t>
        </is>
      </c>
      <c r="CQ353" t="inlineStr">
        <is>
          <t>5,3</t>
        </is>
      </c>
      <c r="CR353" t="n">
        <v>5</v>
      </c>
      <c r="CS353" t="inlineStr">
        <is>
          <t>T1</t>
        </is>
      </c>
      <c r="CT353" t="inlineStr">
        <is>
          <t>N</t>
        </is>
      </c>
    </row>
    <row r="354">
      <c r="A354" t="inlineStr">
        <is>
          <t>maryWang(王婷婷)</t>
        </is>
      </c>
      <c r="C354" t="n">
        <v>18023183</v>
      </c>
      <c r="D354" t="inlineStr">
        <is>
          <t>CDG财务管理</t>
        </is>
      </c>
      <c r="E354" t="inlineStr">
        <is>
          <t>AMS收入支持中心</t>
        </is>
      </c>
      <c r="G354" t="inlineStr">
        <is>
          <t>S2职能系统－财经线/CDG财务管理/AMS收入支持中心</t>
        </is>
      </c>
      <c r="H354" s="188" t="n">
        <v>43514</v>
      </c>
      <c r="I354" t="inlineStr">
        <is>
          <t>社会招聘</t>
        </is>
      </c>
      <c r="J354" t="inlineStr">
        <is>
          <t>财经类－FN</t>
        </is>
      </c>
      <c r="K354" t="inlineStr">
        <is>
          <t>财务管理</t>
        </is>
      </c>
      <c r="L354" t="inlineStr">
        <is>
          <t>S5</t>
        </is>
      </c>
      <c r="N354" t="inlineStr">
        <is>
          <t>T2</t>
        </is>
      </c>
      <c r="Q354" t="inlineStr">
        <is>
          <t>G,O</t>
        </is>
      </c>
      <c r="U354" t="n">
        <v>27778.7</v>
      </c>
      <c r="V354" t="n">
        <v>0.083333</v>
      </c>
      <c r="W354" t="inlineStr">
        <is>
          <t>CNY</t>
        </is>
      </c>
      <c r="X354" t="n">
        <v>1</v>
      </c>
      <c r="Y354" t="n">
        <v>26953.64</v>
      </c>
      <c r="Z354" t="n">
        <v>0</v>
      </c>
      <c r="AA354" t="n">
        <v>83336.10000000001</v>
      </c>
      <c r="AF354" t="n">
        <v>0</v>
      </c>
      <c r="AG354" t="n">
        <v>121991.1</v>
      </c>
      <c r="AH354" t="n">
        <v>4.525960130060356</v>
      </c>
      <c r="AJ354" t="n">
        <v>4.525960130060356</v>
      </c>
      <c r="AK354" t="n">
        <v>4.525960130060356</v>
      </c>
      <c r="AQ354" t="n">
        <v>121991.1</v>
      </c>
      <c r="AR354" t="n">
        <v>4.525960130060356</v>
      </c>
      <c r="AS354" t="n">
        <v>2.147352578771343</v>
      </c>
      <c r="BL354" t="n">
        <v>1</v>
      </c>
      <c r="BM354" t="n">
        <v>24070</v>
      </c>
      <c r="BN354" t="n">
        <v>0</v>
      </c>
      <c r="BO354" t="n">
        <v>26060</v>
      </c>
      <c r="BP354" t="inlineStr">
        <is>
          <t>G,U</t>
        </is>
      </c>
      <c r="BQ354" t="inlineStr">
        <is>
          <t>T2</t>
        </is>
      </c>
      <c r="BS354" t="n">
        <v>2.360199418363107</v>
      </c>
      <c r="BT354" t="n">
        <v>0</v>
      </c>
      <c r="BV354" t="n">
        <v>2.360199418363107</v>
      </c>
      <c r="BY354" t="n">
        <v>56810</v>
      </c>
      <c r="BZ354" t="n">
        <v>2.360199418363107</v>
      </c>
      <c r="CP354" t="inlineStr">
        <is>
          <t>CDG财务管理</t>
        </is>
      </c>
      <c r="CQ354" t="inlineStr">
        <is>
          <t>5,3</t>
        </is>
      </c>
      <c r="CR354" t="n">
        <v>5</v>
      </c>
      <c r="CS354" t="inlineStr">
        <is>
          <t>T2</t>
        </is>
      </c>
      <c r="CT354" t="inlineStr">
        <is>
          <t>N</t>
        </is>
      </c>
    </row>
    <row r="355">
      <c r="A355" t="inlineStr">
        <is>
          <t>aaliyahLin(林欣曦)</t>
        </is>
      </c>
      <c r="C355" t="n">
        <v>37617097</v>
      </c>
      <c r="D355" t="inlineStr">
        <is>
          <t>财会及报告管理部</t>
        </is>
      </c>
      <c r="E355" t="inlineStr">
        <is>
          <t>海外财会管理中心</t>
        </is>
      </c>
      <c r="G355" t="inlineStr">
        <is>
          <t>S2职能系统－财经线/财会及报告管理部/海外财会管理中心</t>
        </is>
      </c>
      <c r="H355" s="188" t="n">
        <v>45561</v>
      </c>
      <c r="I355" t="inlineStr">
        <is>
          <t>社会招聘</t>
        </is>
      </c>
      <c r="J355" t="inlineStr">
        <is>
          <t>财经类－FN</t>
        </is>
      </c>
      <c r="K355" t="inlineStr">
        <is>
          <t>会计</t>
        </is>
      </c>
      <c r="L355" t="inlineStr">
        <is>
          <t>S13</t>
        </is>
      </c>
      <c r="N355" t="inlineStr">
        <is>
          <t>T1</t>
        </is>
      </c>
      <c r="Q355" t="inlineStr">
        <is>
          <t>N,O</t>
        </is>
      </c>
      <c r="U355" t="n">
        <v>47069.2</v>
      </c>
      <c r="V355" t="n">
        <v>0.083333</v>
      </c>
      <c r="W355" t="inlineStr">
        <is>
          <t>CNY</t>
        </is>
      </c>
      <c r="X355" t="n">
        <v>0.263014</v>
      </c>
      <c r="Y355" t="n">
        <v>47069.2</v>
      </c>
      <c r="Z355" t="n">
        <v>0</v>
      </c>
      <c r="AA355" t="n">
        <v>12379.86</v>
      </c>
      <c r="AF355" t="n">
        <v>0</v>
      </c>
      <c r="AG355" t="n">
        <v>12379.86</v>
      </c>
      <c r="AH355" t="n">
        <v>0.2630140304062955</v>
      </c>
      <c r="AJ355" t="n">
        <v>0.2630140304062955</v>
      </c>
      <c r="AK355" t="n">
        <v>0.2630140304062955</v>
      </c>
      <c r="AQ355" t="n">
        <v>12379.86</v>
      </c>
      <c r="AR355" t="n">
        <v>0.2630140304062955</v>
      </c>
      <c r="BM355" t="n">
        <v>0</v>
      </c>
      <c r="BN355" t="n">
        <v>0</v>
      </c>
      <c r="BO355" t="n">
        <v>0</v>
      </c>
      <c r="BT355" t="n">
        <v>0</v>
      </c>
      <c r="BY355" t="n">
        <v>0</v>
      </c>
      <c r="CP355" t="inlineStr">
        <is>
          <t>财会及报告管理部</t>
        </is>
      </c>
      <c r="CQ355" t="n">
        <v>5</v>
      </c>
      <c r="CR355" t="n">
        <v>13</v>
      </c>
      <c r="CS355" t="inlineStr">
        <is>
          <t>T1</t>
        </is>
      </c>
      <c r="CT355" t="inlineStr">
        <is>
          <t>N</t>
        </is>
      </c>
    </row>
    <row r="356">
      <c r="A356" t="inlineStr">
        <is>
          <t>billyDong(董川毅)</t>
        </is>
      </c>
      <c r="C356" t="n">
        <v>73986007</v>
      </c>
      <c r="D356" t="inlineStr">
        <is>
          <t>财会及报告管理部</t>
        </is>
      </c>
      <c r="E356" t="inlineStr">
        <is>
          <t>应收管理中心</t>
        </is>
      </c>
      <c r="G356" t="inlineStr">
        <is>
          <t>S2职能系统－财经线/财会及报告管理部/应收管理中心</t>
        </is>
      </c>
      <c r="H356" s="188" t="n">
        <v>45300</v>
      </c>
      <c r="I356" t="inlineStr">
        <is>
          <t>高校招聘</t>
        </is>
      </c>
      <c r="J356" t="inlineStr">
        <is>
          <t>财经类－FN</t>
        </is>
      </c>
      <c r="K356" t="inlineStr">
        <is>
          <t>会计</t>
        </is>
      </c>
      <c r="L356" t="inlineStr">
        <is>
          <t>S6</t>
        </is>
      </c>
      <c r="N356" t="inlineStr">
        <is>
          <t>T1</t>
        </is>
      </c>
      <c r="Q356" t="inlineStr">
        <is>
          <t>G,G</t>
        </is>
      </c>
      <c r="U356" t="n">
        <v>29174.15</v>
      </c>
      <c r="V356" t="n">
        <v>0.083333</v>
      </c>
      <c r="W356" t="inlineStr">
        <is>
          <t>CNY</t>
        </is>
      </c>
      <c r="X356" t="n">
        <v>0.978082</v>
      </c>
      <c r="Y356" t="n">
        <v>27523.59</v>
      </c>
      <c r="Z356" t="n">
        <v>0</v>
      </c>
      <c r="AA356" t="n">
        <v>28534.71</v>
      </c>
      <c r="AF356" t="n">
        <v>0</v>
      </c>
      <c r="AG356" t="n">
        <v>28534.71</v>
      </c>
      <c r="AH356" t="n">
        <v>1.036736486773709</v>
      </c>
      <c r="AJ356" t="n">
        <v>1.036736486773709</v>
      </c>
      <c r="AK356" t="n">
        <v>1.036736486773709</v>
      </c>
      <c r="AQ356" t="n">
        <v>28534.71</v>
      </c>
      <c r="AR356" t="n">
        <v>1.036736486773709</v>
      </c>
      <c r="BM356" t="n">
        <v>0</v>
      </c>
      <c r="BN356" t="n">
        <v>0</v>
      </c>
      <c r="BO356" t="n">
        <v>0</v>
      </c>
      <c r="BT356" t="n">
        <v>0</v>
      </c>
      <c r="BY356" t="n">
        <v>0</v>
      </c>
      <c r="CP356" t="inlineStr">
        <is>
          <t>财会及报告管理部</t>
        </is>
      </c>
      <c r="CQ356" t="inlineStr">
        <is>
          <t>3,3</t>
        </is>
      </c>
      <c r="CR356" t="n">
        <v>6</v>
      </c>
      <c r="CS356" t="inlineStr">
        <is>
          <t>T1</t>
        </is>
      </c>
      <c r="CT356" t="inlineStr">
        <is>
          <t>N</t>
        </is>
      </c>
    </row>
    <row r="357">
      <c r="A357" t="inlineStr">
        <is>
          <t>haroldShi(施哲伟)</t>
        </is>
      </c>
      <c r="C357" t="n">
        <v>58820447</v>
      </c>
      <c r="D357" t="inlineStr">
        <is>
          <t>税务部</t>
        </is>
      </c>
      <c r="E357" t="inlineStr">
        <is>
          <t>税务部</t>
        </is>
      </c>
      <c r="G357" t="inlineStr">
        <is>
          <t>S2职能系统－财经线/税务部</t>
        </is>
      </c>
      <c r="H357" s="188" t="n">
        <v>42930</v>
      </c>
      <c r="I357" t="inlineStr">
        <is>
          <t>高校招聘</t>
        </is>
      </c>
      <c r="J357" t="inlineStr">
        <is>
          <t>财经类－FN</t>
        </is>
      </c>
      <c r="K357" t="inlineStr">
        <is>
          <t>税务</t>
        </is>
      </c>
      <c r="L357" t="inlineStr">
        <is>
          <t>S10</t>
        </is>
      </c>
      <c r="N357" t="inlineStr">
        <is>
          <t>T1#</t>
        </is>
      </c>
      <c r="Q357" t="inlineStr">
        <is>
          <t>O,G</t>
        </is>
      </c>
      <c r="U357" t="n">
        <v>36540.55</v>
      </c>
      <c r="V357" t="n">
        <v>0.083333</v>
      </c>
      <c r="W357" t="inlineStr">
        <is>
          <t>CNY</t>
        </is>
      </c>
      <c r="X357" t="n">
        <v>1</v>
      </c>
      <c r="Y357" t="n">
        <v>34980.47</v>
      </c>
      <c r="Z357" t="n">
        <v>0</v>
      </c>
      <c r="AA357" t="n">
        <v>109621.65</v>
      </c>
      <c r="AF357" t="n">
        <v>0</v>
      </c>
      <c r="AG357" t="n">
        <v>271411.65</v>
      </c>
      <c r="AH357" t="n">
        <v>7.758948064448534</v>
      </c>
      <c r="AJ357" t="n">
        <v>7.758948064448534</v>
      </c>
      <c r="AK357" t="n">
        <v>6.380178711149393</v>
      </c>
      <c r="AQ357" t="n">
        <v>271411.65</v>
      </c>
      <c r="AR357" t="n">
        <v>7.758948064448534</v>
      </c>
      <c r="AS357" t="n">
        <v>1.195804071022602</v>
      </c>
      <c r="BL357" t="n">
        <v>1</v>
      </c>
      <c r="BM357" t="n">
        <v>32810</v>
      </c>
      <c r="BN357" t="n">
        <v>0</v>
      </c>
      <c r="BO357" t="n">
        <v>34195</v>
      </c>
      <c r="BP357" t="inlineStr">
        <is>
          <t>G,G</t>
        </is>
      </c>
      <c r="BQ357" t="inlineStr">
        <is>
          <t>T1#</t>
        </is>
      </c>
      <c r="BS357" t="n">
        <v>5.461444681499543</v>
      </c>
      <c r="BT357" t="n">
        <v>47780</v>
      </c>
      <c r="BV357" t="n">
        <v>6.917708015848826</v>
      </c>
      <c r="BY357" t="n">
        <v>226970</v>
      </c>
      <c r="BZ357" t="n">
        <v>6.917708015848826</v>
      </c>
      <c r="CP357" t="inlineStr">
        <is>
          <t>税务部</t>
        </is>
      </c>
      <c r="CQ357" t="inlineStr">
        <is>
          <t>5,3</t>
        </is>
      </c>
      <c r="CR357" t="n">
        <v>10</v>
      </c>
      <c r="CS357" t="inlineStr">
        <is>
          <t>T1#</t>
        </is>
      </c>
      <c r="CT357" t="inlineStr">
        <is>
          <t>N</t>
        </is>
      </c>
    </row>
    <row r="358">
      <c r="A358" t="inlineStr">
        <is>
          <t>mariaFang(方玲)</t>
        </is>
      </c>
      <c r="C358" t="n">
        <v>42891834</v>
      </c>
      <c r="D358" t="inlineStr">
        <is>
          <t>税务部</t>
        </is>
      </c>
      <c r="E358" t="inlineStr">
        <is>
          <t>投并税务组</t>
        </is>
      </c>
      <c r="G358" t="inlineStr">
        <is>
          <t>S2职能系统－财经线/税务部/投并税务组</t>
        </is>
      </c>
      <c r="H358" s="188" t="n">
        <v>39682</v>
      </c>
      <c r="I358" t="inlineStr">
        <is>
          <t>社会招聘</t>
        </is>
      </c>
      <c r="J358" t="inlineStr">
        <is>
          <t>财经类－FN</t>
        </is>
      </c>
      <c r="K358" t="inlineStr">
        <is>
          <t>税务</t>
        </is>
      </c>
      <c r="L358" t="inlineStr">
        <is>
          <t>S9</t>
        </is>
      </c>
      <c r="N358" t="inlineStr">
        <is>
          <t>T2</t>
        </is>
      </c>
      <c r="Q358" t="inlineStr">
        <is>
          <t>G,U</t>
        </is>
      </c>
      <c r="U358" t="n">
        <v>35967.3</v>
      </c>
      <c r="V358" t="n">
        <v>0.083333</v>
      </c>
      <c r="W358" t="inlineStr">
        <is>
          <t>CNY</t>
        </is>
      </c>
      <c r="X358" t="n">
        <v>1</v>
      </c>
      <c r="Y358" t="n">
        <v>34794.4</v>
      </c>
      <c r="Z358" t="n">
        <v>0</v>
      </c>
      <c r="AA358" t="n">
        <v>35967.3</v>
      </c>
      <c r="AF358" t="n">
        <v>0</v>
      </c>
      <c r="AG358" t="n">
        <v>88172.3</v>
      </c>
      <c r="AH358" t="n">
        <v>2.534094566941807</v>
      </c>
      <c r="AJ358" t="n">
        <v>2.534094566941807</v>
      </c>
      <c r="AK358" t="n">
        <v>2.534094566941807</v>
      </c>
      <c r="AQ358" t="n">
        <v>88172.3</v>
      </c>
      <c r="AR358" t="n">
        <v>2.534094566941807</v>
      </c>
      <c r="AS358" t="n">
        <v>0.8573319072390491</v>
      </c>
      <c r="BL358" t="n">
        <v>1</v>
      </c>
      <c r="BM358" t="n">
        <v>31115</v>
      </c>
      <c r="BN358" t="n">
        <v>0</v>
      </c>
      <c r="BO358" t="n">
        <v>32480</v>
      </c>
      <c r="BP358" t="inlineStr">
        <is>
          <t>G,G</t>
        </is>
      </c>
      <c r="BQ358" t="inlineStr">
        <is>
          <t>T2</t>
        </is>
      </c>
      <c r="BS358" t="n">
        <v>3.305318977984895</v>
      </c>
      <c r="BT358" t="n">
        <v>0</v>
      </c>
      <c r="BV358" t="n">
        <v>3.305318977984895</v>
      </c>
      <c r="BY358" t="n">
        <v>102845</v>
      </c>
      <c r="BZ358" t="n">
        <v>3.305318977984895</v>
      </c>
      <c r="CP358" t="inlineStr">
        <is>
          <t>税务部</t>
        </is>
      </c>
      <c r="CQ358" t="inlineStr">
        <is>
          <t>3,1</t>
        </is>
      </c>
      <c r="CR358" t="n">
        <v>9</v>
      </c>
      <c r="CS358" t="inlineStr">
        <is>
          <t>T2</t>
        </is>
      </c>
      <c r="CT358" t="inlineStr">
        <is>
          <t>N</t>
        </is>
      </c>
    </row>
    <row r="359">
      <c r="A359" t="inlineStr">
        <is>
          <t>mayaTan(谭静莹)</t>
        </is>
      </c>
      <c r="C359" t="n">
        <v>89217787</v>
      </c>
      <c r="D359" t="inlineStr">
        <is>
          <t>FiT财务管理</t>
        </is>
      </c>
      <c r="E359" t="inlineStr">
        <is>
          <t>结算支持中心</t>
        </is>
      </c>
      <c r="G359" t="inlineStr">
        <is>
          <t>S2职能系统－财经线/FiT财务管理/结算支持中心</t>
        </is>
      </c>
      <c r="H359" s="188" t="n">
        <v>38371</v>
      </c>
      <c r="I359" t="inlineStr">
        <is>
          <t>高校招聘</t>
        </is>
      </c>
      <c r="J359" t="inlineStr">
        <is>
          <t>财经类－FN</t>
        </is>
      </c>
      <c r="K359" t="inlineStr">
        <is>
          <t>财务管理</t>
        </is>
      </c>
      <c r="L359" t="inlineStr">
        <is>
          <t>S8</t>
        </is>
      </c>
      <c r="N359" t="inlineStr">
        <is>
          <t>T1#</t>
        </is>
      </c>
      <c r="Q359" t="inlineStr">
        <is>
          <t>G,G</t>
        </is>
      </c>
      <c r="U359" t="n">
        <v>49806.65</v>
      </c>
      <c r="V359" t="n">
        <v>0.083333</v>
      </c>
      <c r="W359" t="inlineStr">
        <is>
          <t>CNY</t>
        </is>
      </c>
      <c r="X359" t="n">
        <v>1</v>
      </c>
      <c r="Y359" t="n">
        <v>46240.32</v>
      </c>
      <c r="Z359" t="n">
        <v>0</v>
      </c>
      <c r="AA359" t="n">
        <v>99613.3</v>
      </c>
      <c r="AF359" t="n">
        <v>0</v>
      </c>
      <c r="AG359" t="n">
        <v>356593.3</v>
      </c>
      <c r="AH359" t="n">
        <v>7.711739451630092</v>
      </c>
      <c r="AJ359" t="n">
        <v>7.711739451630092</v>
      </c>
      <c r="AK359" t="n">
        <v>5.913525252420398</v>
      </c>
      <c r="AQ359" t="n">
        <v>356593.3</v>
      </c>
      <c r="AR359" t="n">
        <v>7.711739451630092</v>
      </c>
      <c r="AS359" t="n">
        <v>1.938691929214124</v>
      </c>
      <c r="BL359" t="n">
        <v>1</v>
      </c>
      <c r="BM359" t="n">
        <v>41525</v>
      </c>
      <c r="BN359" t="n">
        <v>0</v>
      </c>
      <c r="BO359" t="n">
        <v>45485</v>
      </c>
      <c r="BP359" t="inlineStr">
        <is>
          <t>O,G</t>
        </is>
      </c>
      <c r="BQ359" t="inlineStr">
        <is>
          <t>Others</t>
        </is>
      </c>
      <c r="BS359" t="n">
        <v>4.42950030102348</v>
      </c>
      <c r="BT359" t="n">
        <v>0</v>
      </c>
      <c r="BV359" t="n">
        <v>4.42950030102348</v>
      </c>
      <c r="BY359" t="n">
        <v>183935</v>
      </c>
      <c r="BZ359" t="n">
        <v>4.42950030102348</v>
      </c>
      <c r="CP359" t="inlineStr">
        <is>
          <t>FiT财务管理</t>
        </is>
      </c>
      <c r="CQ359" t="inlineStr">
        <is>
          <t>3,3</t>
        </is>
      </c>
      <c r="CR359" t="n">
        <v>8</v>
      </c>
      <c r="CS359" t="inlineStr">
        <is>
          <t>T1#</t>
        </is>
      </c>
      <c r="CT359" t="inlineStr">
        <is>
          <t>N</t>
        </is>
      </c>
    </row>
    <row r="360">
      <c r="A360" t="inlineStr">
        <is>
          <t>kateXu(徐素媛)</t>
        </is>
      </c>
      <c r="C360" t="n">
        <v>99176166</v>
      </c>
      <c r="D360" t="inlineStr">
        <is>
          <t>财经IT管理部</t>
        </is>
      </c>
      <c r="E360" t="inlineStr">
        <is>
          <t>业务开发中心</t>
        </is>
      </c>
      <c r="G360" t="inlineStr">
        <is>
          <t>S2职能系统－财经线/财经IT管理部/业务开发中心</t>
        </is>
      </c>
      <c r="H360" s="188" t="n">
        <v>37541</v>
      </c>
      <c r="I360" t="inlineStr">
        <is>
          <t>社会招聘</t>
        </is>
      </c>
      <c r="J360" t="inlineStr">
        <is>
          <t>技术研发类－TRD</t>
        </is>
      </c>
      <c r="K360" t="inlineStr">
        <is>
          <t>应用开发</t>
        </is>
      </c>
      <c r="L360" t="inlineStr">
        <is>
          <t>T9</t>
        </is>
      </c>
      <c r="N360" t="inlineStr">
        <is>
          <t>T1</t>
        </is>
      </c>
      <c r="Q360" t="inlineStr">
        <is>
          <t>G,G</t>
        </is>
      </c>
      <c r="U360" t="n">
        <v>41784.5</v>
      </c>
      <c r="V360" t="n">
        <v>0.083333</v>
      </c>
      <c r="W360" t="inlineStr">
        <is>
          <t>CNY</t>
        </is>
      </c>
      <c r="X360" t="n">
        <v>1</v>
      </c>
      <c r="Y360" t="n">
        <v>40214.84</v>
      </c>
      <c r="Z360" t="n">
        <v>0</v>
      </c>
      <c r="AA360" t="n">
        <v>83569</v>
      </c>
      <c r="AF360" t="n">
        <v>0</v>
      </c>
      <c r="AG360" t="n">
        <v>233134</v>
      </c>
      <c r="AH360" t="n">
        <v>5.797213168074274</v>
      </c>
      <c r="AJ360" t="n">
        <v>5.797213168074274</v>
      </c>
      <c r="AK360" t="n">
        <v>4.180521419456102</v>
      </c>
      <c r="AQ360" t="n">
        <v>233134</v>
      </c>
      <c r="AR360" t="n">
        <v>5.797213168074274</v>
      </c>
      <c r="AS360" t="n">
        <v>1.304793619700574</v>
      </c>
      <c r="BL360" t="n">
        <v>1</v>
      </c>
      <c r="BM360" t="n">
        <v>33645</v>
      </c>
      <c r="BN360" t="n">
        <v>0</v>
      </c>
      <c r="BO360" t="n">
        <v>36505</v>
      </c>
      <c r="BP360" t="inlineStr">
        <is>
          <t>G,G</t>
        </is>
      </c>
      <c r="BQ360" t="inlineStr">
        <is>
          <t>T1</t>
        </is>
      </c>
      <c r="BS360" t="n">
        <v>3.785257839203448</v>
      </c>
      <c r="BT360" t="n">
        <v>51320</v>
      </c>
      <c r="BV360" t="n">
        <v>5.310595928072522</v>
      </c>
      <c r="BY360" t="n">
        <v>178675</v>
      </c>
      <c r="BZ360" t="n">
        <v>5.310595928072522</v>
      </c>
      <c r="CP360" t="inlineStr">
        <is>
          <t>财经IT管理部</t>
        </is>
      </c>
      <c r="CQ360" t="inlineStr">
        <is>
          <t>3,3</t>
        </is>
      </c>
      <c r="CR360" t="n">
        <v>9</v>
      </c>
      <c r="CS360" t="inlineStr">
        <is>
          <t>T1</t>
        </is>
      </c>
      <c r="CT360" t="inlineStr">
        <is>
          <t>N</t>
        </is>
      </c>
    </row>
    <row r="361">
      <c r="A361" t="inlineStr">
        <is>
          <t>lindaZhong(钟琪)</t>
        </is>
      </c>
      <c r="C361" t="n">
        <v>43539006</v>
      </c>
      <c r="D361" t="inlineStr">
        <is>
          <t>WXG财务管理</t>
        </is>
      </c>
      <c r="E361" t="inlineStr">
        <is>
          <t>微信平台财务管理中心</t>
        </is>
      </c>
      <c r="G361" t="inlineStr">
        <is>
          <t>S2职能系统－财经线/WXG财务管理/微信平台财务管理中心</t>
        </is>
      </c>
      <c r="H361" s="188" t="n">
        <v>40142</v>
      </c>
      <c r="I361" t="inlineStr">
        <is>
          <t>高校招聘</t>
        </is>
      </c>
      <c r="J361" t="inlineStr">
        <is>
          <t>财经类－FN</t>
        </is>
      </c>
      <c r="K361" t="inlineStr">
        <is>
          <t>财务管理</t>
        </is>
      </c>
      <c r="L361" t="inlineStr">
        <is>
          <t>S7</t>
        </is>
      </c>
      <c r="N361" t="inlineStr">
        <is>
          <t>T1#</t>
        </is>
      </c>
      <c r="Q361" t="inlineStr">
        <is>
          <t>O,G</t>
        </is>
      </c>
      <c r="U361" t="n">
        <v>39136.95</v>
      </c>
      <c r="V361" t="n">
        <v>0.083333</v>
      </c>
      <c r="W361" t="inlineStr">
        <is>
          <t>CNY</t>
        </is>
      </c>
      <c r="X361" t="n">
        <v>1</v>
      </c>
      <c r="Y361" t="n">
        <v>37496.37</v>
      </c>
      <c r="Z361" t="n">
        <v>0</v>
      </c>
      <c r="AA361" t="n">
        <v>117410.85</v>
      </c>
      <c r="AF361" t="n">
        <v>0</v>
      </c>
      <c r="AG361" t="n">
        <v>311255.85</v>
      </c>
      <c r="AH361" t="n">
        <v>8.300959532882782</v>
      </c>
      <c r="AJ361" t="n">
        <v>8.300959532882782</v>
      </c>
      <c r="AK361" t="n">
        <v>6.37824008030644</v>
      </c>
      <c r="AQ361" t="n">
        <v>311255.85</v>
      </c>
      <c r="AR361" t="n">
        <v>8.300959532882782</v>
      </c>
      <c r="AS361" t="n">
        <v>1.328676897464356</v>
      </c>
      <c r="BL361" t="n">
        <v>1</v>
      </c>
      <c r="BM361" t="n">
        <v>31550</v>
      </c>
      <c r="BN361" t="n">
        <v>0</v>
      </c>
      <c r="BO361" t="n">
        <v>32510</v>
      </c>
      <c r="BP361" t="inlineStr">
        <is>
          <t>G,G</t>
        </is>
      </c>
      <c r="BQ361" t="inlineStr">
        <is>
          <t>T1#</t>
        </is>
      </c>
      <c r="BS361" t="n">
        <v>5.512519809825673</v>
      </c>
      <c r="BT361" t="n">
        <v>60340</v>
      </c>
      <c r="BV361" t="n">
        <v>7.425039619651347</v>
      </c>
      <c r="BY361" t="n">
        <v>234260</v>
      </c>
      <c r="BZ361" t="n">
        <v>7.425039619651347</v>
      </c>
      <c r="CP361" t="inlineStr">
        <is>
          <t>WXG财务管理</t>
        </is>
      </c>
      <c r="CQ361" t="inlineStr">
        <is>
          <t>5,3</t>
        </is>
      </c>
      <c r="CR361" t="n">
        <v>7</v>
      </c>
      <c r="CS361" t="inlineStr">
        <is>
          <t>T1#</t>
        </is>
      </c>
      <c r="CT361" t="inlineStr">
        <is>
          <t>N</t>
        </is>
      </c>
    </row>
    <row r="362">
      <c r="A362" t="inlineStr">
        <is>
          <t>joshuaWu(吴荣华)</t>
        </is>
      </c>
      <c r="C362" t="n">
        <v>87794346</v>
      </c>
      <c r="D362" t="inlineStr">
        <is>
          <t>FiT财务管理</t>
        </is>
      </c>
      <c r="E362" t="inlineStr">
        <is>
          <t>结算支持中心</t>
        </is>
      </c>
      <c r="G362" t="inlineStr">
        <is>
          <t>S2职能系统－财经线/FiT财务管理/结算支持中心</t>
        </is>
      </c>
      <c r="H362" s="188" t="n">
        <v>45118</v>
      </c>
      <c r="I362" t="inlineStr">
        <is>
          <t>社会招聘</t>
        </is>
      </c>
      <c r="J362" t="inlineStr">
        <is>
          <t>财经类－FN</t>
        </is>
      </c>
      <c r="K362" t="inlineStr">
        <is>
          <t>财务管理</t>
        </is>
      </c>
      <c r="L362" t="inlineStr">
        <is>
          <t>S9</t>
        </is>
      </c>
      <c r="N362" t="inlineStr">
        <is>
          <t>T1</t>
        </is>
      </c>
      <c r="Q362" t="inlineStr">
        <is>
          <t>G,G</t>
        </is>
      </c>
      <c r="U362" t="n">
        <v>49790.75</v>
      </c>
      <c r="V362" t="n">
        <v>0.083333</v>
      </c>
      <c r="W362" t="inlineStr">
        <is>
          <t>CNY</t>
        </is>
      </c>
      <c r="X362" t="n">
        <v>1</v>
      </c>
      <c r="Y362" t="n">
        <v>45529.19</v>
      </c>
      <c r="Z362" t="n">
        <v>0</v>
      </c>
      <c r="AA362" t="n">
        <v>99581.5</v>
      </c>
      <c r="AF362" t="n">
        <v>0</v>
      </c>
      <c r="AG362" t="n">
        <v>276316.5</v>
      </c>
      <c r="AH362" t="n">
        <v>6.068996615138551</v>
      </c>
      <c r="AJ362" t="n">
        <v>6.068996615138551</v>
      </c>
      <c r="AK362" t="n">
        <v>4.739410035627692</v>
      </c>
      <c r="AQ362" t="n">
        <v>276316.5</v>
      </c>
      <c r="AR362" t="n">
        <v>6.068996615138551</v>
      </c>
      <c r="AS362" t="n">
        <v>13.94833417465926</v>
      </c>
      <c r="BL362" t="n">
        <v>0.473972602739726</v>
      </c>
      <c r="BM362" t="n">
        <v>41805</v>
      </c>
      <c r="BN362" t="n">
        <v>0</v>
      </c>
      <c r="BO362" t="n">
        <v>41805</v>
      </c>
      <c r="BP362" t="inlineStr">
        <is>
          <t>N,O</t>
        </is>
      </c>
      <c r="BQ362" t="inlineStr">
        <is>
          <t>T1</t>
        </is>
      </c>
      <c r="BS362" t="n">
        <v>0.4738667623490013</v>
      </c>
      <c r="BT362" t="n">
        <v>0</v>
      </c>
      <c r="BV362" t="n">
        <v>0.4738667623490013</v>
      </c>
      <c r="BY362" t="n">
        <v>19810</v>
      </c>
      <c r="BZ362" t="n">
        <v>0.4738667623490013</v>
      </c>
      <c r="CP362" t="inlineStr">
        <is>
          <t>FiT财务管理</t>
        </is>
      </c>
      <c r="CQ362" t="inlineStr">
        <is>
          <t>3,3</t>
        </is>
      </c>
      <c r="CR362" t="n">
        <v>9</v>
      </c>
      <c r="CS362" t="inlineStr">
        <is>
          <t>T1</t>
        </is>
      </c>
      <c r="CT362" t="inlineStr">
        <is>
          <t>N</t>
        </is>
      </c>
    </row>
    <row r="363">
      <c r="A363" t="inlineStr">
        <is>
          <t>karenTan(谭涵琪)</t>
        </is>
      </c>
      <c r="C363" t="n">
        <v>45713991</v>
      </c>
      <c r="D363" t="inlineStr">
        <is>
          <t>税务部</t>
        </is>
      </c>
      <c r="E363" t="inlineStr">
        <is>
          <t>印章及文档管理组</t>
        </is>
      </c>
      <c r="G363" t="inlineStr">
        <is>
          <t>S2职能系统－财经线/税务部/印章及文档管理组</t>
        </is>
      </c>
      <c r="H363" s="188" t="n">
        <v>37249</v>
      </c>
      <c r="I363" t="inlineStr">
        <is>
          <t>社会招聘</t>
        </is>
      </c>
      <c r="J363" t="inlineStr">
        <is>
          <t>财经类－FN</t>
        </is>
      </c>
      <c r="K363" t="inlineStr">
        <is>
          <t>税务</t>
        </is>
      </c>
      <c r="M363" t="inlineStr">
        <is>
          <t>L2-2</t>
        </is>
      </c>
      <c r="N363" t="inlineStr">
        <is>
          <t>T1</t>
        </is>
      </c>
      <c r="Q363" t="inlineStr">
        <is>
          <t>G,G</t>
        </is>
      </c>
      <c r="U363" t="n">
        <v>77372</v>
      </c>
      <c r="V363" t="n">
        <v>0.083333</v>
      </c>
      <c r="W363" t="inlineStr">
        <is>
          <t>CNY</t>
        </is>
      </c>
      <c r="X363" t="n">
        <v>1</v>
      </c>
      <c r="Y363" t="n">
        <v>72888.75</v>
      </c>
      <c r="Z363" t="n">
        <v>0</v>
      </c>
      <c r="AA363" t="n">
        <v>154744</v>
      </c>
      <c r="AF363" t="n">
        <v>22715</v>
      </c>
      <c r="AG363" t="n">
        <v>466979</v>
      </c>
      <c r="AH363" t="n">
        <v>6.406736293323729</v>
      </c>
      <c r="AJ363" t="n">
        <v>6.718375606660836</v>
      </c>
      <c r="AK363" t="n">
        <v>4.976611617019087</v>
      </c>
      <c r="AQ363" t="n">
        <v>489694</v>
      </c>
      <c r="AR363" t="n">
        <v>6.718375606660836</v>
      </c>
      <c r="AS363" t="n">
        <v>1.567723139966705</v>
      </c>
      <c r="BL363" t="n">
        <v>1</v>
      </c>
      <c r="BM363" t="n">
        <v>65945</v>
      </c>
      <c r="BN363" t="n">
        <v>0</v>
      </c>
      <c r="BO363" t="n">
        <v>68725</v>
      </c>
      <c r="BP363" t="inlineStr">
        <is>
          <t>G,G</t>
        </is>
      </c>
      <c r="BQ363" t="inlineStr">
        <is>
          <t>T1</t>
        </is>
      </c>
      <c r="BS363" t="n">
        <v>3.633937372052468</v>
      </c>
      <c r="BT363" t="n">
        <v>72720</v>
      </c>
      <c r="BV363" t="n">
        <v>4.736674501478505</v>
      </c>
      <c r="BY363" t="n">
        <v>312360</v>
      </c>
      <c r="BZ363" t="n">
        <v>4.736674501478505</v>
      </c>
      <c r="CP363" t="inlineStr">
        <is>
          <t>税务部</t>
        </is>
      </c>
      <c r="CQ363" t="inlineStr">
        <is>
          <t>3,3</t>
        </is>
      </c>
      <c r="CR363" t="inlineStr">
        <is>
          <t>L2-2</t>
        </is>
      </c>
      <c r="CS363" t="inlineStr">
        <is>
          <t>T1</t>
        </is>
      </c>
      <c r="CT363" t="inlineStr">
        <is>
          <t>N</t>
        </is>
      </c>
    </row>
    <row r="364">
      <c r="A364" t="inlineStr">
        <is>
          <t>eugeneHao(郝威博)</t>
        </is>
      </c>
      <c r="C364" t="n">
        <v>45651475</v>
      </c>
      <c r="D364" t="inlineStr">
        <is>
          <t>CSIG财务管理</t>
        </is>
      </c>
      <c r="E364" t="inlineStr">
        <is>
          <t>产品财务管理中心</t>
        </is>
      </c>
      <c r="G364" t="inlineStr">
        <is>
          <t>S2职能系统－财经线/CSIG财务管理/产品财务管理中心</t>
        </is>
      </c>
      <c r="H364" s="188" t="n">
        <v>45085</v>
      </c>
      <c r="I364" t="inlineStr">
        <is>
          <t>高校招聘</t>
        </is>
      </c>
      <c r="J364" t="inlineStr">
        <is>
          <t>财经类－FN</t>
        </is>
      </c>
      <c r="K364" t="inlineStr">
        <is>
          <t>财务管理</t>
        </is>
      </c>
      <c r="L364" t="inlineStr">
        <is>
          <t>S9</t>
        </is>
      </c>
      <c r="N364" t="inlineStr">
        <is>
          <t>T2</t>
        </is>
      </c>
      <c r="Q364" t="inlineStr">
        <is>
          <t>G,O</t>
        </is>
      </c>
      <c r="U364" t="n">
        <v>39921.15</v>
      </c>
      <c r="V364" t="n">
        <v>0.083333</v>
      </c>
      <c r="W364" t="inlineStr">
        <is>
          <t>CNY</t>
        </is>
      </c>
      <c r="X364" t="n">
        <v>1</v>
      </c>
      <c r="Y364" t="n">
        <v>36050.76</v>
      </c>
      <c r="Z364" t="n">
        <v>0</v>
      </c>
      <c r="AA364" t="n">
        <v>119763.45</v>
      </c>
      <c r="AF364" t="n">
        <v>0</v>
      </c>
      <c r="AG364" t="n">
        <v>172013.45</v>
      </c>
      <c r="AH364" t="n">
        <v>4.771423681497977</v>
      </c>
      <c r="AJ364" t="n">
        <v>4.771423681497977</v>
      </c>
      <c r="AK364" t="n">
        <v>4.771423681497977</v>
      </c>
      <c r="AQ364" t="n">
        <v>172013.45</v>
      </c>
      <c r="AR364" t="n">
        <v>4.771423681497977</v>
      </c>
      <c r="AS364" t="n">
        <v>8.654764779874215</v>
      </c>
      <c r="BL364" t="n">
        <v>0.564383561643835</v>
      </c>
      <c r="BM364" t="n">
        <v>35215</v>
      </c>
      <c r="BN364" t="n">
        <v>0</v>
      </c>
      <c r="BO364" t="n">
        <v>35220</v>
      </c>
      <c r="BP364" t="inlineStr">
        <is>
          <t>N,G</t>
        </is>
      </c>
      <c r="BQ364" t="inlineStr">
        <is>
          <t>T2</t>
        </is>
      </c>
      <c r="BS364" t="n">
        <v>0.564390174641488</v>
      </c>
      <c r="BT364" t="n">
        <v>0</v>
      </c>
      <c r="BV364" t="n">
        <v>0.564390174641488</v>
      </c>
      <c r="BY364" t="n">
        <v>19875</v>
      </c>
      <c r="BZ364" t="n">
        <v>0.564390174641488</v>
      </c>
      <c r="CP364" t="inlineStr">
        <is>
          <t>CSIG财务管理</t>
        </is>
      </c>
      <c r="CQ364" t="inlineStr">
        <is>
          <t>5,3</t>
        </is>
      </c>
      <c r="CR364" t="n">
        <v>9</v>
      </c>
      <c r="CS364" t="inlineStr">
        <is>
          <t>T2</t>
        </is>
      </c>
      <c r="CT364" t="inlineStr">
        <is>
          <t>N</t>
        </is>
      </c>
    </row>
    <row r="365">
      <c r="A365" t="inlineStr">
        <is>
          <t>sarahLu(陆嫣涵)</t>
        </is>
      </c>
      <c r="C365" t="n">
        <v>84819432</v>
      </c>
      <c r="D365" t="inlineStr">
        <is>
          <t>财经投资并购及管理部</t>
        </is>
      </c>
      <c r="E365" t="inlineStr">
        <is>
          <t>运营支持中心</t>
        </is>
      </c>
      <c r="G365" t="inlineStr">
        <is>
          <t>S2职能系统－财经线/财经投资并购及管理部/运营支持中心</t>
        </is>
      </c>
      <c r="H365" s="188" t="n">
        <v>42295</v>
      </c>
      <c r="I365" t="inlineStr">
        <is>
          <t>高校招聘</t>
        </is>
      </c>
      <c r="J365" t="inlineStr">
        <is>
          <t>财经类－FN</t>
        </is>
      </c>
      <c r="K365" t="inlineStr">
        <is>
          <t>投资并购</t>
        </is>
      </c>
      <c r="L365" t="inlineStr">
        <is>
          <t>S12</t>
        </is>
      </c>
      <c r="M365" t="inlineStr">
        <is>
          <t>L1-2</t>
        </is>
      </c>
      <c r="N365" t="inlineStr">
        <is>
          <t>T2</t>
        </is>
      </c>
      <c r="Q365" t="inlineStr">
        <is>
          <t>G,G</t>
        </is>
      </c>
      <c r="U365" t="n">
        <v>43459.65</v>
      </c>
      <c r="V365" t="n">
        <v>0.083333</v>
      </c>
      <c r="W365" t="inlineStr">
        <is>
          <t>CNY</t>
        </is>
      </c>
      <c r="X365" t="n">
        <v>1</v>
      </c>
      <c r="Y365" t="n">
        <v>42488.18</v>
      </c>
      <c r="Z365" t="n">
        <v>0</v>
      </c>
      <c r="AA365" t="n">
        <v>86919.3</v>
      </c>
      <c r="AF365" t="n">
        <v>5695</v>
      </c>
      <c r="AG365" t="n">
        <v>149309.3</v>
      </c>
      <c r="AH365" t="n">
        <v>3.514137343609446</v>
      </c>
      <c r="AJ365" t="n">
        <v>3.648174621741858</v>
      </c>
      <c r="AK365" t="n">
        <v>3.648174621741858</v>
      </c>
      <c r="AQ365" t="n">
        <v>155004.3</v>
      </c>
      <c r="AR365" t="n">
        <v>3.648174621741858</v>
      </c>
      <c r="AS365" t="n">
        <v>1.265341224489796</v>
      </c>
      <c r="BL365" t="n">
        <v>1</v>
      </c>
      <c r="BM365" t="n">
        <v>38360</v>
      </c>
      <c r="BN365" t="n">
        <v>0</v>
      </c>
      <c r="BO365" t="n">
        <v>40190</v>
      </c>
      <c r="BP365" t="inlineStr">
        <is>
          <t>G,G</t>
        </is>
      </c>
      <c r="BQ365" t="inlineStr">
        <is>
          <t>Others</t>
        </is>
      </c>
      <c r="BS365" t="n">
        <v>3.193430656934307</v>
      </c>
      <c r="BT365" t="n">
        <v>0</v>
      </c>
      <c r="BV365" t="n">
        <v>3.193430656934307</v>
      </c>
      <c r="BY365" t="n">
        <v>122500</v>
      </c>
      <c r="BZ365" t="n">
        <v>3.193430656934307</v>
      </c>
      <c r="CP365" t="inlineStr">
        <is>
          <t>财经投资并购及管理部</t>
        </is>
      </c>
      <c r="CQ365" t="inlineStr">
        <is>
          <t>3,3</t>
        </is>
      </c>
      <c r="CR365" t="n">
        <v>12</v>
      </c>
      <c r="CS365" t="inlineStr">
        <is>
          <t>T2</t>
        </is>
      </c>
      <c r="CT365" t="inlineStr">
        <is>
          <t>N</t>
        </is>
      </c>
    </row>
    <row r="366">
      <c r="A366" t="inlineStr">
        <is>
          <t>lawrenceWei(魏松林)</t>
        </is>
      </c>
      <c r="C366" t="n">
        <v>9504025</v>
      </c>
      <c r="D366" t="inlineStr">
        <is>
          <t>风险管理和内部控制</t>
        </is>
      </c>
      <c r="E366" t="inlineStr">
        <is>
          <t>TEG风控组</t>
        </is>
      </c>
      <c r="G366" t="inlineStr">
        <is>
          <t>S2职能系统－财经线/风险管理和内部控制/TEG风控组</t>
        </is>
      </c>
      <c r="H366" s="188" t="n">
        <v>41358</v>
      </c>
      <c r="I366" t="inlineStr">
        <is>
          <t>社会招聘</t>
        </is>
      </c>
      <c r="J366" t="inlineStr">
        <is>
          <t>财经类－FN</t>
        </is>
      </c>
      <c r="K366" t="inlineStr">
        <is>
          <t>风险管理</t>
        </is>
      </c>
      <c r="L366" t="inlineStr">
        <is>
          <t>S7</t>
        </is>
      </c>
      <c r="N366" t="inlineStr">
        <is>
          <t>T1</t>
        </is>
      </c>
      <c r="Q366" t="inlineStr">
        <is>
          <t>G,G</t>
        </is>
      </c>
      <c r="U366" t="n">
        <v>37084.35</v>
      </c>
      <c r="V366" t="n">
        <v>0.083333</v>
      </c>
      <c r="W366" t="inlineStr">
        <is>
          <t>CNY</t>
        </is>
      </c>
      <c r="X366" t="n">
        <v>1</v>
      </c>
      <c r="Y366" t="n">
        <v>34236.14</v>
      </c>
      <c r="Z366" t="n">
        <v>0</v>
      </c>
      <c r="AA366" t="n">
        <v>74168.7</v>
      </c>
      <c r="AF366" t="n">
        <v>0</v>
      </c>
      <c r="AG366" t="n">
        <v>204248.7</v>
      </c>
      <c r="AH366" t="n">
        <v>5.965879915200721</v>
      </c>
      <c r="AJ366" t="n">
        <v>5.965879915200721</v>
      </c>
      <c r="AK366" t="n">
        <v>4.444680387450221</v>
      </c>
      <c r="AQ366" t="n">
        <v>204248.7</v>
      </c>
      <c r="AR366" t="n">
        <v>5.965879915200721</v>
      </c>
      <c r="AS366" t="n">
        <v>1.43796606589693</v>
      </c>
      <c r="BL366" t="n">
        <v>1</v>
      </c>
      <c r="BM366" t="n">
        <v>31615</v>
      </c>
      <c r="BN366" t="n">
        <v>0</v>
      </c>
      <c r="BO366" t="n">
        <v>33205</v>
      </c>
      <c r="BP366" t="inlineStr">
        <is>
          <t>G,G</t>
        </is>
      </c>
      <c r="BQ366" t="inlineStr">
        <is>
          <t>T1</t>
        </is>
      </c>
      <c r="BS366" t="n">
        <v>3.398544994464653</v>
      </c>
      <c r="BT366" t="n">
        <v>34595</v>
      </c>
      <c r="BV366" t="n">
        <v>4.492804048711055</v>
      </c>
      <c r="BY366" t="n">
        <v>142040</v>
      </c>
      <c r="BZ366" t="n">
        <v>4.492804048711055</v>
      </c>
      <c r="CP366" t="inlineStr">
        <is>
          <t>风险管理和内部控制</t>
        </is>
      </c>
      <c r="CQ366" t="inlineStr">
        <is>
          <t>3,3</t>
        </is>
      </c>
      <c r="CR366" t="n">
        <v>7</v>
      </c>
      <c r="CS366" t="inlineStr">
        <is>
          <t>T1</t>
        </is>
      </c>
      <c r="CT366" t="inlineStr">
        <is>
          <t>N</t>
        </is>
      </c>
    </row>
    <row r="367">
      <c r="A367" t="inlineStr">
        <is>
          <t>alexanderLuo(罗昊昊)</t>
        </is>
      </c>
      <c r="C367" t="n">
        <v>43500262</v>
      </c>
      <c r="D367" t="inlineStr">
        <is>
          <t>风险管理和内部控制</t>
        </is>
      </c>
      <c r="E367" t="inlineStr">
        <is>
          <t>CSIG风控中心</t>
        </is>
      </c>
      <c r="G367" t="inlineStr">
        <is>
          <t>S2职能系统－财经线/风险管理和内部控制/CSIG风控中心</t>
        </is>
      </c>
      <c r="H367" s="188" t="n">
        <v>42487</v>
      </c>
      <c r="I367" t="inlineStr">
        <is>
          <t>高校招聘</t>
        </is>
      </c>
      <c r="J367" t="inlineStr">
        <is>
          <t>财经类－FN</t>
        </is>
      </c>
      <c r="K367" t="inlineStr">
        <is>
          <t>风险管理</t>
        </is>
      </c>
      <c r="L367" t="inlineStr">
        <is>
          <t>S11</t>
        </is>
      </c>
      <c r="N367" t="inlineStr">
        <is>
          <t>T1</t>
        </is>
      </c>
      <c r="Q367" t="inlineStr">
        <is>
          <t>G,O</t>
        </is>
      </c>
      <c r="U367" t="n">
        <v>49131.7</v>
      </c>
      <c r="V367" t="n">
        <v>0.083333</v>
      </c>
      <c r="W367" t="inlineStr">
        <is>
          <t>CNY</t>
        </is>
      </c>
      <c r="X367" t="n">
        <v>1</v>
      </c>
      <c r="Y367" t="n">
        <v>45678.91</v>
      </c>
      <c r="Z367" t="n">
        <v>0</v>
      </c>
      <c r="AA367" t="n">
        <v>147395.1</v>
      </c>
      <c r="AF367" t="n">
        <v>0</v>
      </c>
      <c r="AG367" t="n">
        <v>345625.1</v>
      </c>
      <c r="AH367" t="n">
        <v>7.566404277159853</v>
      </c>
      <c r="AJ367" t="n">
        <v>7.566404277159853</v>
      </c>
      <c r="AK367" t="n">
        <v>5.419790008124099</v>
      </c>
      <c r="AQ367" t="n">
        <v>345625.1</v>
      </c>
      <c r="AR367" t="n">
        <v>7.566404277159853</v>
      </c>
      <c r="AS367" t="n">
        <v>1.523685057420592</v>
      </c>
      <c r="BL367" t="n">
        <v>1</v>
      </c>
      <c r="BM367" t="n">
        <v>41220</v>
      </c>
      <c r="BN367" t="n">
        <v>0</v>
      </c>
      <c r="BO367" t="n">
        <v>42555</v>
      </c>
      <c r="BP367" t="inlineStr">
        <is>
          <t>G,G</t>
        </is>
      </c>
      <c r="BQ367" t="inlineStr">
        <is>
          <t>T1</t>
        </is>
      </c>
      <c r="BS367" t="n">
        <v>3.520014556040757</v>
      </c>
      <c r="BT367" t="n">
        <v>81740</v>
      </c>
      <c r="BV367" t="n">
        <v>5.503032508491024</v>
      </c>
      <c r="BY367" t="n">
        <v>226835</v>
      </c>
      <c r="BZ367" t="n">
        <v>5.503032508491024</v>
      </c>
      <c r="CP367" t="inlineStr">
        <is>
          <t>风险管理和内部控制</t>
        </is>
      </c>
      <c r="CQ367" t="inlineStr">
        <is>
          <t>5,3</t>
        </is>
      </c>
      <c r="CR367" t="n">
        <v>11</v>
      </c>
      <c r="CS367" t="inlineStr">
        <is>
          <t>T1</t>
        </is>
      </c>
      <c r="CT367" t="inlineStr">
        <is>
          <t>N</t>
        </is>
      </c>
    </row>
    <row r="368">
      <c r="A368" t="inlineStr">
        <is>
          <t>dennisDing(丁超)</t>
        </is>
      </c>
      <c r="C368" t="n">
        <v>78255488</v>
      </c>
      <c r="D368" t="inlineStr">
        <is>
          <t>风险管理和内部控制</t>
        </is>
      </c>
      <c r="E368" t="inlineStr">
        <is>
          <t>S系统风控组</t>
        </is>
      </c>
      <c r="G368" t="inlineStr">
        <is>
          <t>S2职能系统－财经线/风险管理和内部控制/S系统风控组</t>
        </is>
      </c>
      <c r="H368" s="188" t="n">
        <v>39821</v>
      </c>
      <c r="I368" t="inlineStr">
        <is>
          <t>社会招聘</t>
        </is>
      </c>
      <c r="J368" t="inlineStr">
        <is>
          <t>财经类－FN</t>
        </is>
      </c>
      <c r="K368" t="inlineStr">
        <is>
          <t>风险管理</t>
        </is>
      </c>
      <c r="L368" t="inlineStr">
        <is>
          <t>S6</t>
        </is>
      </c>
      <c r="N368" t="inlineStr">
        <is>
          <t>T1</t>
        </is>
      </c>
      <c r="Q368" t="inlineStr">
        <is>
          <t>G,G</t>
        </is>
      </c>
      <c r="U368" t="n">
        <v>30973.15</v>
      </c>
      <c r="V368" t="n">
        <v>0.083333</v>
      </c>
      <c r="W368" t="inlineStr">
        <is>
          <t>CNY</t>
        </is>
      </c>
      <c r="X368" t="n">
        <v>1</v>
      </c>
      <c r="Y368" t="n">
        <v>29957.33</v>
      </c>
      <c r="Z368" t="n">
        <v>0</v>
      </c>
      <c r="AA368" t="n">
        <v>61946.3</v>
      </c>
      <c r="AF368" t="n">
        <v>0</v>
      </c>
      <c r="AG368" t="n">
        <v>182631.3</v>
      </c>
      <c r="AH368" t="n">
        <v>6.096381086031364</v>
      </c>
      <c r="AJ368" t="n">
        <v>6.096381086031364</v>
      </c>
      <c r="AK368" t="n">
        <v>4.282968475494979</v>
      </c>
      <c r="AQ368" t="n">
        <v>182631.3</v>
      </c>
      <c r="AR368" t="n">
        <v>6.096381086031364</v>
      </c>
      <c r="AS368" t="n">
        <v>1.148082979726544</v>
      </c>
      <c r="BL368" t="n">
        <v>1</v>
      </c>
      <c r="BM368" t="n">
        <v>25145</v>
      </c>
      <c r="BN368" t="n">
        <v>0</v>
      </c>
      <c r="BO368" t="n">
        <v>26685</v>
      </c>
      <c r="BP368" t="inlineStr">
        <is>
          <t>G,O</t>
        </is>
      </c>
      <c r="BQ368" t="inlineStr">
        <is>
          <t>T1</t>
        </is>
      </c>
      <c r="BS368" t="n">
        <v>4.50526943726387</v>
      </c>
      <c r="BT368" t="n">
        <v>45790</v>
      </c>
      <c r="BV368" t="n">
        <v>6.326307416981507</v>
      </c>
      <c r="BY368" t="n">
        <v>159075</v>
      </c>
      <c r="BZ368" t="n">
        <v>6.326307416981507</v>
      </c>
      <c r="CP368" t="inlineStr">
        <is>
          <t>风险管理和内部控制</t>
        </is>
      </c>
      <c r="CQ368" t="inlineStr">
        <is>
          <t>3,3</t>
        </is>
      </c>
      <c r="CR368" t="n">
        <v>6</v>
      </c>
      <c r="CS368" t="inlineStr">
        <is>
          <t>T1</t>
        </is>
      </c>
      <c r="CT368" t="inlineStr">
        <is>
          <t>N</t>
        </is>
      </c>
    </row>
    <row r="369">
      <c r="A369" t="inlineStr">
        <is>
          <t>seanJiang(江宇)</t>
        </is>
      </c>
      <c r="C369" t="n">
        <v>81778001</v>
      </c>
      <c r="D369" t="inlineStr">
        <is>
          <t>财经IT管理部</t>
        </is>
      </c>
      <c r="E369" t="inlineStr">
        <is>
          <t>平台建设中心</t>
        </is>
      </c>
      <c r="G369" t="inlineStr">
        <is>
          <t>S2职能系统－财经线/财经IT管理部/平台建设中心</t>
        </is>
      </c>
      <c r="H369" s="188" t="n">
        <v>38508</v>
      </c>
      <c r="I369" t="inlineStr">
        <is>
          <t>高校招聘</t>
        </is>
      </c>
      <c r="J369" t="inlineStr">
        <is>
          <t>技术研发类－TRD</t>
        </is>
      </c>
      <c r="K369" t="inlineStr">
        <is>
          <t>应用开发</t>
        </is>
      </c>
      <c r="L369" t="inlineStr">
        <is>
          <t>T10</t>
        </is>
      </c>
      <c r="N369" t="inlineStr">
        <is>
          <t>T1#</t>
        </is>
      </c>
      <c r="Q369" t="inlineStr">
        <is>
          <t>O,G</t>
        </is>
      </c>
      <c r="U369" t="n">
        <v>60525.05</v>
      </c>
      <c r="V369" t="n">
        <v>0.083333</v>
      </c>
      <c r="W369" t="inlineStr">
        <is>
          <t>CNY</t>
        </is>
      </c>
      <c r="X369" t="n">
        <v>1</v>
      </c>
      <c r="Y369" t="n">
        <v>57157.1</v>
      </c>
      <c r="Z369" t="n">
        <v>0</v>
      </c>
      <c r="AA369" t="n">
        <v>181575.15</v>
      </c>
      <c r="AF369" t="n">
        <v>0</v>
      </c>
      <c r="AG369" t="n">
        <v>481405.15</v>
      </c>
      <c r="AH369" t="n">
        <v>8.422490819163324</v>
      </c>
      <c r="AJ369" t="n">
        <v>8.422490819163324</v>
      </c>
      <c r="AK369" t="n">
        <v>6.557630635564086</v>
      </c>
      <c r="AQ369" t="n">
        <v>481405.15</v>
      </c>
      <c r="AR369" t="n">
        <v>8.422490819163324</v>
      </c>
      <c r="AS369" t="n">
        <v>1.324925759264611</v>
      </c>
      <c r="BL369" t="n">
        <v>1</v>
      </c>
      <c r="BM369" t="n">
        <v>53560</v>
      </c>
      <c r="BN369" t="n">
        <v>0</v>
      </c>
      <c r="BO369" t="n">
        <v>56535</v>
      </c>
      <c r="BP369" t="inlineStr">
        <is>
          <t>G,G</t>
        </is>
      </c>
      <c r="BQ369" t="inlineStr">
        <is>
          <t>T1#</t>
        </is>
      </c>
      <c r="BS369" t="n">
        <v>5.47096713965646</v>
      </c>
      <c r="BT369" t="n">
        <v>70320</v>
      </c>
      <c r="BV369" t="n">
        <v>6.783887229275579</v>
      </c>
      <c r="BY369" t="n">
        <v>363345</v>
      </c>
      <c r="BZ369" t="n">
        <v>6.783887229275579</v>
      </c>
      <c r="CP369" t="inlineStr">
        <is>
          <t>财经IT管理部</t>
        </is>
      </c>
      <c r="CQ369" t="inlineStr">
        <is>
          <t>5,3</t>
        </is>
      </c>
      <c r="CR369" t="n">
        <v>10</v>
      </c>
      <c r="CS369" t="inlineStr">
        <is>
          <t>T1#</t>
        </is>
      </c>
      <c r="CT369" t="inlineStr">
        <is>
          <t>N</t>
        </is>
      </c>
    </row>
    <row r="370">
      <c r="A370" t="inlineStr">
        <is>
          <t>susanXie(谢冰莹)</t>
        </is>
      </c>
      <c r="C370" t="n">
        <v>87322383</v>
      </c>
      <c r="D370" t="inlineStr">
        <is>
          <t>财会及报告管理部</t>
        </is>
      </c>
      <c r="E370" t="inlineStr">
        <is>
          <t>财会及报告管理部</t>
        </is>
      </c>
      <c r="G370" t="inlineStr">
        <is>
          <t>S2职能系统－财经线/财会及报告管理部</t>
        </is>
      </c>
      <c r="H370" s="188" t="n">
        <v>37568</v>
      </c>
      <c r="I370" t="inlineStr">
        <is>
          <t>社会招聘</t>
        </is>
      </c>
      <c r="J370" t="inlineStr">
        <is>
          <t>财经类－FN</t>
        </is>
      </c>
      <c r="K370" t="inlineStr">
        <is>
          <t>会计</t>
        </is>
      </c>
      <c r="L370" t="inlineStr">
        <is>
          <t>S8</t>
        </is>
      </c>
      <c r="N370" t="inlineStr">
        <is>
          <t>T1#</t>
        </is>
      </c>
      <c r="Q370" t="inlineStr">
        <is>
          <t>G,G</t>
        </is>
      </c>
      <c r="U370" t="n">
        <v>30422.5</v>
      </c>
      <c r="V370" t="n">
        <v>0.083333</v>
      </c>
      <c r="W370" t="inlineStr">
        <is>
          <t>CNY</t>
        </is>
      </c>
      <c r="X370" t="n">
        <v>1</v>
      </c>
      <c r="Y370" t="n">
        <v>29439.52</v>
      </c>
      <c r="Z370" t="n">
        <v>0</v>
      </c>
      <c r="AA370" t="n">
        <v>60845</v>
      </c>
      <c r="AF370" t="n">
        <v>0</v>
      </c>
      <c r="AG370" t="n">
        <v>184790</v>
      </c>
      <c r="AH370" t="n">
        <v>6.276936580487726</v>
      </c>
      <c r="AJ370" t="n">
        <v>6.276936580487726</v>
      </c>
      <c r="AK370" t="n">
        <v>5.199473360978711</v>
      </c>
      <c r="AQ370" t="n">
        <v>184790</v>
      </c>
      <c r="AR370" t="n">
        <v>6.276936580487726</v>
      </c>
      <c r="AS370" t="n">
        <v>1.656715079792003</v>
      </c>
      <c r="BL370" t="n">
        <v>1</v>
      </c>
      <c r="BM370" t="n">
        <v>25895</v>
      </c>
      <c r="BN370" t="n">
        <v>0</v>
      </c>
      <c r="BO370" t="n">
        <v>26960</v>
      </c>
      <c r="BP370" t="inlineStr">
        <is>
          <t>U,G</t>
        </is>
      </c>
      <c r="BQ370" t="inlineStr">
        <is>
          <t>T1#</t>
        </is>
      </c>
      <c r="BS370" t="n">
        <v>4.307395250048272</v>
      </c>
      <c r="BT370" t="n">
        <v>0</v>
      </c>
      <c r="BV370" t="n">
        <v>4.307395250048272</v>
      </c>
      <c r="BY370" t="n">
        <v>111540</v>
      </c>
      <c r="BZ370" t="n">
        <v>4.307395250048272</v>
      </c>
      <c r="CP370" t="inlineStr">
        <is>
          <t>财会及报告管理部</t>
        </is>
      </c>
      <c r="CQ370" t="inlineStr">
        <is>
          <t>3,3</t>
        </is>
      </c>
      <c r="CR370" t="n">
        <v>8</v>
      </c>
      <c r="CS370" t="inlineStr">
        <is>
          <t>T1#</t>
        </is>
      </c>
      <c r="CT370" t="inlineStr">
        <is>
          <t>N</t>
        </is>
      </c>
    </row>
    <row r="371">
      <c r="A371" t="inlineStr">
        <is>
          <t>skylarXue(薛茹茹)</t>
        </is>
      </c>
      <c r="C371" t="n">
        <v>5737101</v>
      </c>
      <c r="D371" t="inlineStr">
        <is>
          <t>预算及职能系统财务管理部</t>
        </is>
      </c>
      <c r="E371" t="inlineStr">
        <is>
          <t>预算管理中心</t>
        </is>
      </c>
      <c r="G371" t="inlineStr">
        <is>
          <t>S2职能系统－财经线/预算及职能系统财务管理部/预算管理中心</t>
        </is>
      </c>
      <c r="H371" s="188" t="n">
        <v>44284</v>
      </c>
      <c r="I371" t="inlineStr">
        <is>
          <t>社会招聘</t>
        </is>
      </c>
      <c r="J371" t="inlineStr">
        <is>
          <t>财经类－FN</t>
        </is>
      </c>
      <c r="K371" t="inlineStr">
        <is>
          <t>预算管理</t>
        </is>
      </c>
      <c r="L371" t="inlineStr">
        <is>
          <t>S6</t>
        </is>
      </c>
      <c r="N371" t="inlineStr">
        <is>
          <t>T2</t>
        </is>
      </c>
      <c r="Q371" t="inlineStr">
        <is>
          <t>U,G</t>
        </is>
      </c>
      <c r="U371" t="n">
        <v>31967.25</v>
      </c>
      <c r="V371" t="n">
        <v>0.083333</v>
      </c>
      <c r="W371" t="inlineStr">
        <is>
          <t>CNY</t>
        </is>
      </c>
      <c r="X371" t="n">
        <v>1</v>
      </c>
      <c r="Y371" t="n">
        <v>29060.92</v>
      </c>
      <c r="Z371" t="n">
        <v>0</v>
      </c>
      <c r="AA371" t="n">
        <v>31967.25</v>
      </c>
      <c r="AF371" t="n">
        <v>0</v>
      </c>
      <c r="AG371" t="n">
        <v>78927.25</v>
      </c>
      <c r="AH371" t="n">
        <v>2.715923996900305</v>
      </c>
      <c r="AJ371" t="n">
        <v>2.715923996900305</v>
      </c>
      <c r="AK371" t="n">
        <v>2.715923996900305</v>
      </c>
      <c r="AQ371" t="n">
        <v>78927.25</v>
      </c>
      <c r="AR371" t="n">
        <v>2.715923996900305</v>
      </c>
      <c r="AS371" t="n">
        <v>1.270356510542411</v>
      </c>
      <c r="BL371" t="n">
        <v>1</v>
      </c>
      <c r="BM371" t="n">
        <v>28095</v>
      </c>
      <c r="BN371" t="n">
        <v>0</v>
      </c>
      <c r="BO371" t="n">
        <v>29435</v>
      </c>
      <c r="BP371" t="inlineStr">
        <is>
          <t>G,U</t>
        </is>
      </c>
      <c r="BQ371" t="inlineStr">
        <is>
          <t>T2</t>
        </is>
      </c>
      <c r="BS371" t="n">
        <v>2.211425520555259</v>
      </c>
      <c r="BT371" t="n">
        <v>0</v>
      </c>
      <c r="BV371" t="n">
        <v>2.211425520555259</v>
      </c>
      <c r="BY371" t="n">
        <v>62130</v>
      </c>
      <c r="BZ371" t="n">
        <v>2.211425520555259</v>
      </c>
      <c r="CP371" t="inlineStr">
        <is>
          <t>预算及职能系统财务管理部</t>
        </is>
      </c>
      <c r="CQ371" t="inlineStr">
        <is>
          <t>3,1</t>
        </is>
      </c>
      <c r="CR371" t="n">
        <v>6</v>
      </c>
      <c r="CS371" t="inlineStr">
        <is>
          <t>T2</t>
        </is>
      </c>
      <c r="CT371" t="inlineStr">
        <is>
          <t>N</t>
        </is>
      </c>
    </row>
    <row r="372">
      <c r="A372" t="inlineStr">
        <is>
          <t>philipRen(任翔锋)</t>
        </is>
      </c>
      <c r="C372" t="n">
        <v>68845383</v>
      </c>
      <c r="D372" t="inlineStr">
        <is>
          <t>PCG财务管理</t>
        </is>
      </c>
      <c r="E372" t="inlineStr">
        <is>
          <t>动漫财务管理组</t>
        </is>
      </c>
      <c r="G372" t="inlineStr">
        <is>
          <t>S2职能系统－财经线/PCG财务管理/动漫财务管理组</t>
        </is>
      </c>
      <c r="H372" s="188" t="n">
        <v>45348</v>
      </c>
      <c r="I372" t="inlineStr">
        <is>
          <t>高校招聘</t>
        </is>
      </c>
      <c r="J372" t="inlineStr">
        <is>
          <t>财经类－FN</t>
        </is>
      </c>
      <c r="K372" t="inlineStr">
        <is>
          <t>财务管理</t>
        </is>
      </c>
      <c r="L372" t="inlineStr">
        <is>
          <t>S8</t>
        </is>
      </c>
      <c r="N372" t="inlineStr">
        <is>
          <t>T2</t>
        </is>
      </c>
      <c r="Q372" t="inlineStr">
        <is>
          <t>O,G</t>
        </is>
      </c>
      <c r="U372" t="n">
        <v>48504.95</v>
      </c>
      <c r="V372" t="n">
        <v>0.083333</v>
      </c>
      <c r="W372" t="inlineStr">
        <is>
          <t>CNY</t>
        </is>
      </c>
      <c r="X372" t="n">
        <v>0.846575</v>
      </c>
      <c r="Y372" t="n">
        <v>43685.23</v>
      </c>
      <c r="Z372" t="n">
        <v>0</v>
      </c>
      <c r="AA372" t="n">
        <v>41063.08</v>
      </c>
      <c r="AF372" t="n">
        <v>0</v>
      </c>
      <c r="AG372" t="n">
        <v>41063.08</v>
      </c>
      <c r="AH372" t="n">
        <v>0.9399762803125907</v>
      </c>
      <c r="AJ372" t="n">
        <v>0.9399762803125907</v>
      </c>
      <c r="AK372" t="n">
        <v>0.9399762803125907</v>
      </c>
      <c r="AQ372" t="n">
        <v>41063.08</v>
      </c>
      <c r="AR372" t="n">
        <v>0.9399762803125907</v>
      </c>
      <c r="BM372" t="n">
        <v>0</v>
      </c>
      <c r="BN372" t="n">
        <v>0</v>
      </c>
      <c r="BO372" t="n">
        <v>0</v>
      </c>
      <c r="BT372" t="n">
        <v>0</v>
      </c>
      <c r="BY372" t="n">
        <v>0</v>
      </c>
      <c r="CP372" t="inlineStr">
        <is>
          <t>PCG财务管理</t>
        </is>
      </c>
      <c r="CQ372" t="inlineStr">
        <is>
          <t>5,3</t>
        </is>
      </c>
      <c r="CR372" t="n">
        <v>8</v>
      </c>
      <c r="CS372" t="inlineStr">
        <is>
          <t>T2</t>
        </is>
      </c>
      <c r="CT372" t="inlineStr">
        <is>
          <t>N</t>
        </is>
      </c>
    </row>
    <row r="373">
      <c r="A373" t="inlineStr">
        <is>
          <t>laylaCao(曹君晶)</t>
        </is>
      </c>
      <c r="C373" t="n">
        <v>83534980</v>
      </c>
      <c r="D373" t="inlineStr">
        <is>
          <t>审计监察</t>
        </is>
      </c>
      <c r="E373" t="inlineStr">
        <is>
          <t>审计监察</t>
        </is>
      </c>
      <c r="G373" t="inlineStr">
        <is>
          <t>S2职能系统－财经线/审计监察</t>
        </is>
      </c>
      <c r="H373" s="188" t="n">
        <v>40945</v>
      </c>
      <c r="I373" t="inlineStr">
        <is>
          <t>社会招聘</t>
        </is>
      </c>
      <c r="J373" t="inlineStr">
        <is>
          <t>财经类－FN</t>
        </is>
      </c>
      <c r="K373" t="inlineStr">
        <is>
          <t>风险管理</t>
        </is>
      </c>
      <c r="M373" t="inlineStr">
        <is>
          <t>L2-1</t>
        </is>
      </c>
      <c r="N373" t="inlineStr">
        <is>
          <t>T2</t>
        </is>
      </c>
      <c r="Q373" t="inlineStr">
        <is>
          <t>G,G</t>
        </is>
      </c>
      <c r="U373" t="n">
        <v>57130.55</v>
      </c>
      <c r="V373" t="n">
        <v>0.083333</v>
      </c>
      <c r="W373" t="inlineStr">
        <is>
          <t>CNY</t>
        </is>
      </c>
      <c r="X373" t="n">
        <v>1</v>
      </c>
      <c r="Y373" t="n">
        <v>54526.62</v>
      </c>
      <c r="Z373" t="n">
        <v>0</v>
      </c>
      <c r="AA373" t="n">
        <v>114261.1</v>
      </c>
      <c r="AF373" t="n">
        <v>28700</v>
      </c>
      <c r="AG373" t="n">
        <v>190096.1</v>
      </c>
      <c r="AH373" t="n">
        <v>3.486298985706431</v>
      </c>
      <c r="AJ373" t="n">
        <v>4.012647400480719</v>
      </c>
      <c r="AK373" t="n">
        <v>4.012647400480719</v>
      </c>
      <c r="AQ373" t="n">
        <v>218796.1</v>
      </c>
      <c r="AR373" t="n">
        <v>4.012647400480719</v>
      </c>
      <c r="AS373" t="n">
        <v>1.017064962231261</v>
      </c>
      <c r="BL373" t="n">
        <v>1</v>
      </c>
      <c r="BM373" t="n">
        <v>49320</v>
      </c>
      <c r="BN373" t="n">
        <v>0</v>
      </c>
      <c r="BO373" t="n">
        <v>53140</v>
      </c>
      <c r="BP373" t="inlineStr">
        <is>
          <t>O,G</t>
        </is>
      </c>
      <c r="BQ373" t="inlineStr">
        <is>
          <t>T2</t>
        </is>
      </c>
      <c r="BS373" t="n">
        <v>4.361820762368207</v>
      </c>
      <c r="BT373" t="n">
        <v>0</v>
      </c>
      <c r="BV373" t="n">
        <v>4.361820762368207</v>
      </c>
      <c r="BY373" t="n">
        <v>215125</v>
      </c>
      <c r="BZ373" t="n">
        <v>4.361820762368207</v>
      </c>
      <c r="CP373" t="inlineStr">
        <is>
          <t>审计监察</t>
        </is>
      </c>
      <c r="CQ373" t="inlineStr">
        <is>
          <t>3,3</t>
        </is>
      </c>
      <c r="CR373" t="inlineStr">
        <is>
          <t>L2-1</t>
        </is>
      </c>
      <c r="CS373" t="inlineStr">
        <is>
          <t>T2</t>
        </is>
      </c>
      <c r="CT373" t="inlineStr">
        <is>
          <t>N</t>
        </is>
      </c>
    </row>
    <row r="374">
      <c r="A374" t="inlineStr">
        <is>
          <t>alanXu(许杰曦)</t>
        </is>
      </c>
      <c r="C374" t="n">
        <v>18023134</v>
      </c>
      <c r="D374" t="inlineStr">
        <is>
          <t>CSIG财务管理</t>
        </is>
      </c>
      <c r="E374" t="inlineStr">
        <is>
          <t>综合财务管理中心</t>
        </is>
      </c>
      <c r="G374" t="inlineStr">
        <is>
          <t>S2职能系统－财经线/CSIG财务管理/综合财务管理中心</t>
        </is>
      </c>
      <c r="H374" s="188" t="n">
        <v>44455</v>
      </c>
      <c r="I374" t="inlineStr">
        <is>
          <t>高校招聘</t>
        </is>
      </c>
      <c r="J374" t="inlineStr">
        <is>
          <t>财经类－FN</t>
        </is>
      </c>
      <c r="K374" t="inlineStr">
        <is>
          <t>财务管理</t>
        </is>
      </c>
      <c r="L374" t="inlineStr">
        <is>
          <t>S10</t>
        </is>
      </c>
      <c r="N374" t="inlineStr">
        <is>
          <t>T2</t>
        </is>
      </c>
      <c r="Q374" t="inlineStr">
        <is>
          <t>G,O</t>
        </is>
      </c>
      <c r="U374" t="n">
        <v>63039.1</v>
      </c>
      <c r="V374" t="n">
        <v>0.083333</v>
      </c>
      <c r="W374" t="inlineStr">
        <is>
          <t>CNY</t>
        </is>
      </c>
      <c r="X374" t="n">
        <v>1</v>
      </c>
      <c r="Y374" t="n">
        <v>56833.52</v>
      </c>
      <c r="Z374" t="n">
        <v>0</v>
      </c>
      <c r="AA374" t="n">
        <v>189117.3</v>
      </c>
      <c r="AF374" t="n">
        <v>0</v>
      </c>
      <c r="AG374" t="n">
        <v>262497.3</v>
      </c>
      <c r="AH374" t="n">
        <v>4.618705651172055</v>
      </c>
      <c r="AJ374" t="n">
        <v>4.618705651172055</v>
      </c>
      <c r="AK374" t="n">
        <v>4.618705651172055</v>
      </c>
      <c r="AQ374" t="n">
        <v>262497.3</v>
      </c>
      <c r="AR374" t="n">
        <v>4.618705651172055</v>
      </c>
      <c r="AS374" t="n">
        <v>1.195070794445709</v>
      </c>
      <c r="BL374" t="n">
        <v>1</v>
      </c>
      <c r="BM374" t="n">
        <v>52910</v>
      </c>
      <c r="BN374" t="n">
        <v>0</v>
      </c>
      <c r="BO374" t="n">
        <v>54875</v>
      </c>
      <c r="BP374" t="inlineStr">
        <is>
          <t>G,O</t>
        </is>
      </c>
      <c r="BQ374" t="inlineStr">
        <is>
          <t>T2</t>
        </is>
      </c>
      <c r="BS374" t="n">
        <v>4.151389151389151</v>
      </c>
      <c r="BT374" t="n">
        <v>0</v>
      </c>
      <c r="BV374" t="n">
        <v>4.151389151389151</v>
      </c>
      <c r="BY374" t="n">
        <v>219650</v>
      </c>
      <c r="BZ374" t="n">
        <v>4.151389151389151</v>
      </c>
      <c r="CP374" t="inlineStr">
        <is>
          <t>CSIG财务管理</t>
        </is>
      </c>
      <c r="CQ374" t="inlineStr">
        <is>
          <t>5,3</t>
        </is>
      </c>
      <c r="CR374" t="n">
        <v>10</v>
      </c>
      <c r="CS374" t="inlineStr">
        <is>
          <t>T2</t>
        </is>
      </c>
      <c r="CT374" t="inlineStr">
        <is>
          <t>N</t>
        </is>
      </c>
    </row>
    <row r="375">
      <c r="A375" t="inlineStr">
        <is>
          <t>alexanderShen(沈明卓)</t>
        </is>
      </c>
      <c r="C375" t="n">
        <v>91429300</v>
      </c>
      <c r="D375" t="inlineStr">
        <is>
          <t>TEG财务管理</t>
        </is>
      </c>
      <c r="E375" t="inlineStr">
        <is>
          <t>TEG财务管理</t>
        </is>
      </c>
      <c r="G375" t="inlineStr">
        <is>
          <t>S2职能系统－财经线/TEG财务管理</t>
        </is>
      </c>
      <c r="H375" s="188" t="n">
        <v>37620</v>
      </c>
      <c r="I375" t="inlineStr">
        <is>
          <t>高校招聘</t>
        </is>
      </c>
      <c r="J375" t="inlineStr">
        <is>
          <t>财经类－FN</t>
        </is>
      </c>
      <c r="K375" t="inlineStr">
        <is>
          <t>财务管理</t>
        </is>
      </c>
      <c r="L375" t="inlineStr">
        <is>
          <t>S8</t>
        </is>
      </c>
      <c r="N375" t="inlineStr">
        <is>
          <t>T1</t>
        </is>
      </c>
      <c r="Q375" t="inlineStr">
        <is>
          <t>G,G</t>
        </is>
      </c>
      <c r="U375" t="n">
        <v>46275.9</v>
      </c>
      <c r="V375" t="n">
        <v>0.083333</v>
      </c>
      <c r="W375" t="inlineStr">
        <is>
          <t>CNY</t>
        </is>
      </c>
      <c r="X375" t="n">
        <v>1</v>
      </c>
      <c r="Y375" t="n">
        <v>45266.29</v>
      </c>
      <c r="Z375" t="n">
        <v>0</v>
      </c>
      <c r="AA375" t="n">
        <v>92551.8</v>
      </c>
      <c r="AF375" t="n">
        <v>0</v>
      </c>
      <c r="AG375" t="n">
        <v>254821.8</v>
      </c>
      <c r="AH375" t="n">
        <v>5.629394412486643</v>
      </c>
      <c r="AJ375" t="n">
        <v>5.629394412486643</v>
      </c>
      <c r="AK375" t="n">
        <v>4.347645897200764</v>
      </c>
      <c r="AQ375" t="n">
        <v>254821.8</v>
      </c>
      <c r="AR375" t="n">
        <v>5.629394412486643</v>
      </c>
      <c r="AS375" t="n">
        <v>1.108426890536984</v>
      </c>
      <c r="BL375" t="n">
        <v>1</v>
      </c>
      <c r="BM375" t="n">
        <v>39930</v>
      </c>
      <c r="BN375" t="n">
        <v>0</v>
      </c>
      <c r="BO375" t="n">
        <v>41020</v>
      </c>
      <c r="BP375" t="inlineStr">
        <is>
          <t>O,G</t>
        </is>
      </c>
      <c r="BQ375" t="inlineStr">
        <is>
          <t>T1</t>
        </is>
      </c>
      <c r="BS375" t="n">
        <v>4.197345354370148</v>
      </c>
      <c r="BT375" t="n">
        <v>62295</v>
      </c>
      <c r="BV375" t="n">
        <v>5.757450538442274</v>
      </c>
      <c r="BY375" t="n">
        <v>229895</v>
      </c>
      <c r="BZ375" t="n">
        <v>5.757450538442274</v>
      </c>
      <c r="CP375" t="inlineStr">
        <is>
          <t>TEG财务管理</t>
        </is>
      </c>
      <c r="CQ375" t="inlineStr">
        <is>
          <t>3,3</t>
        </is>
      </c>
      <c r="CR375" t="n">
        <v>8</v>
      </c>
      <c r="CS375" t="inlineStr">
        <is>
          <t>T1</t>
        </is>
      </c>
      <c r="CT375" t="inlineStr">
        <is>
          <t>N</t>
        </is>
      </c>
    </row>
    <row r="376">
      <c r="A376" t="inlineStr">
        <is>
          <t>mariaBai(白珊悦)</t>
        </is>
      </c>
      <c r="C376" t="n">
        <v>34206967</v>
      </c>
      <c r="D376" t="inlineStr">
        <is>
          <t>财会及报告管理部</t>
        </is>
      </c>
      <c r="E376" t="inlineStr">
        <is>
          <t>账务中心</t>
        </is>
      </c>
      <c r="G376" t="inlineStr">
        <is>
          <t>S2职能系统－财经线/财会及报告管理部/账务中心</t>
        </is>
      </c>
      <c r="H376" s="188" t="n">
        <v>37646</v>
      </c>
      <c r="I376" t="inlineStr">
        <is>
          <t>社会招聘</t>
        </is>
      </c>
      <c r="J376" t="inlineStr">
        <is>
          <t>财经类－FN</t>
        </is>
      </c>
      <c r="K376" t="inlineStr">
        <is>
          <t>会计</t>
        </is>
      </c>
      <c r="L376" t="inlineStr">
        <is>
          <t>S9</t>
        </is>
      </c>
      <c r="N376" t="inlineStr">
        <is>
          <t>T1</t>
        </is>
      </c>
      <c r="Q376" t="inlineStr">
        <is>
          <t>O,G</t>
        </is>
      </c>
      <c r="U376" t="n">
        <v>48470.65</v>
      </c>
      <c r="V376" t="n">
        <v>0.083333</v>
      </c>
      <c r="W376" t="inlineStr">
        <is>
          <t>CNY</t>
        </is>
      </c>
      <c r="X376" t="n">
        <v>1</v>
      </c>
      <c r="Y376" t="n">
        <v>44713.6</v>
      </c>
      <c r="Z376" t="n">
        <v>0</v>
      </c>
      <c r="AA376" t="n">
        <v>145411.95</v>
      </c>
      <c r="AF376" t="n">
        <v>0</v>
      </c>
      <c r="AG376" t="n">
        <v>342561.95</v>
      </c>
      <c r="AH376" t="n">
        <v>7.661247360981895</v>
      </c>
      <c r="AJ376" t="n">
        <v>7.661247360981895</v>
      </c>
      <c r="AK376" t="n">
        <v>5.88661950726401</v>
      </c>
      <c r="AQ376" t="n">
        <v>342561.95</v>
      </c>
      <c r="AR376" t="n">
        <v>7.661247360981895</v>
      </c>
      <c r="AS376" t="n">
        <v>1.79333027955188</v>
      </c>
      <c r="BL376" t="n">
        <v>1</v>
      </c>
      <c r="BM376" t="n">
        <v>39035</v>
      </c>
      <c r="BN376" t="n">
        <v>0</v>
      </c>
      <c r="BO376" t="n">
        <v>39965</v>
      </c>
      <c r="BP376" t="inlineStr">
        <is>
          <t>G,G</t>
        </is>
      </c>
      <c r="BQ376" t="inlineStr">
        <is>
          <t>T1</t>
        </is>
      </c>
      <c r="BS376" t="n">
        <v>3.343025489944921</v>
      </c>
      <c r="BT376" t="n">
        <v>60525</v>
      </c>
      <c r="BV376" t="n">
        <v>4.893557064173178</v>
      </c>
      <c r="BY376" t="n">
        <v>191020</v>
      </c>
      <c r="BZ376" t="n">
        <v>4.893557064173178</v>
      </c>
      <c r="CP376" t="inlineStr">
        <is>
          <t>财会及报告管理部</t>
        </is>
      </c>
      <c r="CQ376" t="inlineStr">
        <is>
          <t>5,3</t>
        </is>
      </c>
      <c r="CR376" t="n">
        <v>9</v>
      </c>
      <c r="CS376" t="inlineStr">
        <is>
          <t>T1</t>
        </is>
      </c>
      <c r="CT376" t="inlineStr">
        <is>
          <t>N</t>
        </is>
      </c>
    </row>
    <row r="377">
      <c r="A377" t="inlineStr">
        <is>
          <t>susanZeng(曾青馨)</t>
        </is>
      </c>
      <c r="C377" t="n">
        <v>16912383</v>
      </c>
      <c r="D377" t="inlineStr">
        <is>
          <t>CSIG财务管理</t>
        </is>
      </c>
      <c r="E377" t="inlineStr">
        <is>
          <t>公线及费用财务管理中心</t>
        </is>
      </c>
      <c r="G377" t="inlineStr">
        <is>
          <t>S2职能系统－财经线/CSIG财务管理/公线及费用财务管理中心</t>
        </is>
      </c>
      <c r="H377" s="188" t="n">
        <v>42155</v>
      </c>
      <c r="I377" t="inlineStr">
        <is>
          <t>高校招聘</t>
        </is>
      </c>
      <c r="J377" t="inlineStr">
        <is>
          <t>财经类－FN</t>
        </is>
      </c>
      <c r="K377" t="inlineStr">
        <is>
          <t>财务管理</t>
        </is>
      </c>
      <c r="L377" t="inlineStr">
        <is>
          <t>S6</t>
        </is>
      </c>
      <c r="N377" t="inlineStr">
        <is>
          <t>T1#</t>
        </is>
      </c>
      <c r="Q377" t="inlineStr">
        <is>
          <t>G,O</t>
        </is>
      </c>
      <c r="U377" t="n">
        <v>27002</v>
      </c>
      <c r="V377" t="n">
        <v>0.083333</v>
      </c>
      <c r="W377" t="inlineStr">
        <is>
          <t>CNY</t>
        </is>
      </c>
      <c r="X377" t="n">
        <v>1</v>
      </c>
      <c r="Y377" t="n">
        <v>25377.63</v>
      </c>
      <c r="Z377" t="n">
        <v>0</v>
      </c>
      <c r="AA377" t="n">
        <v>81006</v>
      </c>
      <c r="AF377" t="n">
        <v>0</v>
      </c>
      <c r="AG377" t="n">
        <v>200841</v>
      </c>
      <c r="AH377" t="n">
        <v>7.914095997143941</v>
      </c>
      <c r="AJ377" t="n">
        <v>7.914095997143941</v>
      </c>
      <c r="AK377" t="n">
        <v>6.464197011304837</v>
      </c>
      <c r="AQ377" t="n">
        <v>200841</v>
      </c>
      <c r="AR377" t="n">
        <v>7.914095997143941</v>
      </c>
      <c r="AS377" t="n">
        <v>1.109894725207925</v>
      </c>
      <c r="BL377" t="n">
        <v>1</v>
      </c>
      <c r="BM377" t="n">
        <v>21690</v>
      </c>
      <c r="BN377" t="n">
        <v>0</v>
      </c>
      <c r="BO377" t="n">
        <v>22055</v>
      </c>
      <c r="BP377" t="inlineStr">
        <is>
          <t>G,O</t>
        </is>
      </c>
      <c r="BQ377" t="inlineStr">
        <is>
          <t>T1#</t>
        </is>
      </c>
      <c r="BS377" t="n">
        <v>6.328031350852927</v>
      </c>
      <c r="BT377" t="n">
        <v>43700</v>
      </c>
      <c r="BV377" t="n">
        <v>8.342784693407101</v>
      </c>
      <c r="BY377" t="n">
        <v>180955</v>
      </c>
      <c r="BZ377" t="n">
        <v>8.342784693407101</v>
      </c>
      <c r="CP377" t="inlineStr">
        <is>
          <t>CSIG财务管理</t>
        </is>
      </c>
      <c r="CQ377" t="inlineStr">
        <is>
          <t>5,3</t>
        </is>
      </c>
      <c r="CR377" t="n">
        <v>6</v>
      </c>
      <c r="CS377" t="inlineStr">
        <is>
          <t>T1#</t>
        </is>
      </c>
      <c r="CT377" t="inlineStr">
        <is>
          <t>N</t>
        </is>
      </c>
    </row>
    <row r="378">
      <c r="A378" t="inlineStr">
        <is>
          <t>bruceWang(汪凯刚)</t>
        </is>
      </c>
      <c r="C378" t="n">
        <v>62210858</v>
      </c>
      <c r="D378" t="inlineStr">
        <is>
          <t>风险管理和内部控制</t>
        </is>
      </c>
      <c r="E378" t="inlineStr">
        <is>
          <t>S系统风控组</t>
        </is>
      </c>
      <c r="G378" t="inlineStr">
        <is>
          <t>S2职能系统－财经线/风险管理和内部控制/S系统风控组</t>
        </is>
      </c>
      <c r="H378" s="188" t="n">
        <v>36579</v>
      </c>
      <c r="I378" t="inlineStr">
        <is>
          <t>社会招聘</t>
        </is>
      </c>
      <c r="J378" t="inlineStr">
        <is>
          <t>财经类－FN</t>
        </is>
      </c>
      <c r="K378" t="inlineStr">
        <is>
          <t>风险管理</t>
        </is>
      </c>
      <c r="L378" t="inlineStr">
        <is>
          <t>S10</t>
        </is>
      </c>
      <c r="N378" t="inlineStr">
        <is>
          <t>T1#</t>
        </is>
      </c>
      <c r="Q378" t="inlineStr">
        <is>
          <t>O,O</t>
        </is>
      </c>
      <c r="U378" t="n">
        <v>62844.1</v>
      </c>
      <c r="V378" t="n">
        <v>0.083333</v>
      </c>
      <c r="W378" t="inlineStr">
        <is>
          <t>CNY</t>
        </is>
      </c>
      <c r="X378" t="n">
        <v>1</v>
      </c>
      <c r="Y378" t="n">
        <v>59632.95</v>
      </c>
      <c r="Z378" t="n">
        <v>0</v>
      </c>
      <c r="AA378" t="n">
        <v>251376.4</v>
      </c>
      <c r="AF378" t="n">
        <v>0</v>
      </c>
      <c r="AG378" t="n">
        <v>551511.4</v>
      </c>
      <c r="AH378" t="n">
        <v>9.24843396142569</v>
      </c>
      <c r="AJ378" t="n">
        <v>9.24843396142569</v>
      </c>
      <c r="AK378" t="n">
        <v>7.690235012690133</v>
      </c>
      <c r="AQ378" t="n">
        <v>551511.4</v>
      </c>
      <c r="AR378" t="n">
        <v>9.24843396142569</v>
      </c>
      <c r="AS378" t="n">
        <v>3.051998561190891</v>
      </c>
      <c r="BL378" t="n">
        <v>1</v>
      </c>
      <c r="BM378" t="n">
        <v>51525</v>
      </c>
      <c r="BN378" t="n">
        <v>0</v>
      </c>
      <c r="BO378" t="n">
        <v>51850</v>
      </c>
      <c r="BP378" t="inlineStr">
        <is>
          <t>G,G</t>
        </is>
      </c>
      <c r="BQ378" t="inlineStr">
        <is>
          <t>Others</t>
        </is>
      </c>
      <c r="BS378" t="n">
        <v>3.507132459970888</v>
      </c>
      <c r="BT378" t="n">
        <v>0</v>
      </c>
      <c r="BV378" t="n">
        <v>3.507132459970888</v>
      </c>
      <c r="BY378" t="n">
        <v>180705</v>
      </c>
      <c r="BZ378" t="n">
        <v>3.507132459970888</v>
      </c>
      <c r="CP378" t="inlineStr">
        <is>
          <t>风险管理和内部控制</t>
        </is>
      </c>
      <c r="CQ378" t="inlineStr">
        <is>
          <t>5,5</t>
        </is>
      </c>
      <c r="CR378" t="n">
        <v>10</v>
      </c>
      <c r="CS378" t="inlineStr">
        <is>
          <t>T1#</t>
        </is>
      </c>
      <c r="CT378" t="inlineStr">
        <is>
          <t>N</t>
        </is>
      </c>
    </row>
    <row r="379">
      <c r="A379" t="inlineStr">
        <is>
          <t>lindaGao(高萱)</t>
        </is>
      </c>
      <c r="C379" t="n">
        <v>22469234</v>
      </c>
      <c r="D379" t="inlineStr">
        <is>
          <t>风险管理和内部控制</t>
        </is>
      </c>
      <c r="E379" t="inlineStr">
        <is>
          <t>CDG-FiT风控组</t>
        </is>
      </c>
      <c r="G379" t="inlineStr">
        <is>
          <t>S2职能系统－财经线/风险管理和内部控制/CDG-FiT风控组</t>
        </is>
      </c>
      <c r="H379" s="188" t="n">
        <v>45205</v>
      </c>
      <c r="I379" t="inlineStr">
        <is>
          <t>高校招聘</t>
        </is>
      </c>
      <c r="J379" t="inlineStr">
        <is>
          <t>财经类－FN</t>
        </is>
      </c>
      <c r="K379" t="inlineStr">
        <is>
          <t>风险管理</t>
        </is>
      </c>
      <c r="L379" t="inlineStr">
        <is>
          <t>S10</t>
        </is>
      </c>
      <c r="N379" t="inlineStr">
        <is>
          <t>T1</t>
        </is>
      </c>
      <c r="Q379" t="inlineStr">
        <is>
          <t>G,U</t>
        </is>
      </c>
      <c r="U379" t="n">
        <v>59911.05</v>
      </c>
      <c r="V379" t="n">
        <v>0.083333</v>
      </c>
      <c r="W379" t="inlineStr">
        <is>
          <t>CNY</t>
        </is>
      </c>
      <c r="X379" t="n">
        <v>1</v>
      </c>
      <c r="Y379" t="n">
        <v>55367.39</v>
      </c>
      <c r="Z379" t="n">
        <v>0</v>
      </c>
      <c r="AA379" t="n">
        <v>59911.05</v>
      </c>
      <c r="AF379" t="n">
        <v>0</v>
      </c>
      <c r="AG379" t="n">
        <v>197606.05</v>
      </c>
      <c r="AH379" t="n">
        <v>3.568997021531988</v>
      </c>
      <c r="AJ379" t="n">
        <v>3.568997021531988</v>
      </c>
      <c r="AK379" t="n">
        <v>3.568997021531988</v>
      </c>
      <c r="AQ379" t="n">
        <v>197606.05</v>
      </c>
      <c r="AR379" t="n">
        <v>3.568997021531988</v>
      </c>
      <c r="AS379" t="n">
        <v>16.50844193817878</v>
      </c>
      <c r="BL379" t="n">
        <v>0.235616438356164</v>
      </c>
      <c r="BM379" t="n">
        <v>50810</v>
      </c>
      <c r="BN379" t="n">
        <v>0</v>
      </c>
      <c r="BO379" t="n">
        <v>50810</v>
      </c>
      <c r="BP379" t="inlineStr">
        <is>
          <t>N,G</t>
        </is>
      </c>
      <c r="BQ379" t="inlineStr">
        <is>
          <t>T1</t>
        </is>
      </c>
      <c r="BS379" t="n">
        <v>0.2355835465459555</v>
      </c>
      <c r="BT379" t="n">
        <v>0</v>
      </c>
      <c r="BV379" t="n">
        <v>0.2355835465459555</v>
      </c>
      <c r="BY379" t="n">
        <v>11970</v>
      </c>
      <c r="BZ379" t="n">
        <v>0.2355835465459555</v>
      </c>
      <c r="CP379" t="inlineStr">
        <is>
          <t>风险管理和内部控制</t>
        </is>
      </c>
      <c r="CQ379" t="inlineStr">
        <is>
          <t>3,1</t>
        </is>
      </c>
      <c r="CR379" t="n">
        <v>10</v>
      </c>
      <c r="CS379" t="inlineStr">
        <is>
          <t>T1</t>
        </is>
      </c>
      <c r="CT379" t="inlineStr">
        <is>
          <t>N</t>
        </is>
      </c>
    </row>
    <row r="380">
      <c r="A380" t="inlineStr">
        <is>
          <t>samanthaDai(戴婷)</t>
        </is>
      </c>
      <c r="C380" t="n">
        <v>5010758</v>
      </c>
      <c r="D380" t="inlineStr">
        <is>
          <t>海外财经中心</t>
        </is>
      </c>
      <c r="E380" t="inlineStr">
        <is>
          <t>海外本地财务</t>
        </is>
      </c>
      <c r="G380" t="inlineStr">
        <is>
          <t>S2职能系统－财经线/海外财经中心/海外本地财务</t>
        </is>
      </c>
      <c r="H380" s="188" t="n">
        <v>36590</v>
      </c>
      <c r="I380" t="inlineStr">
        <is>
          <t>高校招聘</t>
        </is>
      </c>
      <c r="J380" t="inlineStr">
        <is>
          <t>财经类－FN</t>
        </is>
      </c>
      <c r="K380" t="inlineStr">
        <is>
          <t>财务管理</t>
        </is>
      </c>
      <c r="L380" t="inlineStr">
        <is>
          <t>S6</t>
        </is>
      </c>
      <c r="N380" t="inlineStr">
        <is>
          <t>T2</t>
        </is>
      </c>
      <c r="Q380" t="inlineStr">
        <is>
          <t>G,O</t>
        </is>
      </c>
      <c r="U380" t="n">
        <v>29741.55</v>
      </c>
      <c r="V380" t="n">
        <v>0.083333</v>
      </c>
      <c r="W380" t="inlineStr">
        <is>
          <t>CNY</t>
        </is>
      </c>
      <c r="X380" t="n">
        <v>1</v>
      </c>
      <c r="Y380" t="n">
        <v>26893.98</v>
      </c>
      <c r="Z380" t="n">
        <v>0</v>
      </c>
      <c r="AA380" t="n">
        <v>89224.64999999999</v>
      </c>
      <c r="AF380" t="n">
        <v>0</v>
      </c>
      <c r="AG380" t="n">
        <v>128379.65</v>
      </c>
      <c r="AH380" t="n">
        <v>4.773545975716498</v>
      </c>
      <c r="AJ380" t="n">
        <v>4.773545975716498</v>
      </c>
      <c r="AK380" t="n">
        <v>4.773545975716498</v>
      </c>
      <c r="AQ380" t="n">
        <v>128379.65</v>
      </c>
      <c r="AR380" t="n">
        <v>4.773545975716498</v>
      </c>
      <c r="AS380" t="n">
        <v>1.11522955305564</v>
      </c>
      <c r="BL380" t="n">
        <v>1</v>
      </c>
      <c r="BM380" t="n">
        <v>25315</v>
      </c>
      <c r="BN380" t="n">
        <v>0</v>
      </c>
      <c r="BO380" t="n">
        <v>26700</v>
      </c>
      <c r="BP380" t="inlineStr">
        <is>
          <t>G,O</t>
        </is>
      </c>
      <c r="BQ380" t="inlineStr">
        <is>
          <t>T2</t>
        </is>
      </c>
      <c r="BS380" t="n">
        <v>4.547303969978274</v>
      </c>
      <c r="BT380" t="n">
        <v>0</v>
      </c>
      <c r="BV380" t="n">
        <v>4.547303969978274</v>
      </c>
      <c r="BY380" t="n">
        <v>115115</v>
      </c>
      <c r="BZ380" t="n">
        <v>4.547303969978274</v>
      </c>
      <c r="CP380" t="inlineStr">
        <is>
          <t>海外财经中心</t>
        </is>
      </c>
      <c r="CQ380" t="inlineStr">
        <is>
          <t>5,3</t>
        </is>
      </c>
      <c r="CR380" t="n">
        <v>6</v>
      </c>
      <c r="CS380" t="inlineStr">
        <is>
          <t>T2</t>
        </is>
      </c>
      <c r="CT380" t="inlineStr">
        <is>
          <t>N</t>
        </is>
      </c>
    </row>
    <row r="381">
      <c r="A381" t="inlineStr">
        <is>
          <t>joshuaBai(白彤凯)</t>
        </is>
      </c>
      <c r="C381" t="n">
        <v>35018116</v>
      </c>
      <c r="D381" t="inlineStr">
        <is>
          <t>FiT财务管理</t>
        </is>
      </c>
      <c r="E381" t="inlineStr">
        <is>
          <t>结算支持中心</t>
        </is>
      </c>
      <c r="G381" t="inlineStr">
        <is>
          <t>S2职能系统－财经线/FiT财务管理/结算支持中心</t>
        </is>
      </c>
      <c r="H381" s="188" t="n">
        <v>42985</v>
      </c>
      <c r="I381" t="inlineStr">
        <is>
          <t>社会招聘</t>
        </is>
      </c>
      <c r="J381" t="inlineStr">
        <is>
          <t>财经类－FN</t>
        </is>
      </c>
      <c r="K381" t="inlineStr">
        <is>
          <t>财务管理</t>
        </is>
      </c>
      <c r="L381" t="inlineStr">
        <is>
          <t>S5</t>
        </is>
      </c>
      <c r="N381" t="inlineStr">
        <is>
          <t>T1#</t>
        </is>
      </c>
      <c r="Q381" t="inlineStr">
        <is>
          <t>G,O</t>
        </is>
      </c>
      <c r="U381" t="n">
        <v>19239.55</v>
      </c>
      <c r="V381" t="n">
        <v>0.083333</v>
      </c>
      <c r="W381" t="inlineStr">
        <is>
          <t>CNY</t>
        </is>
      </c>
      <c r="X381" t="n">
        <v>1</v>
      </c>
      <c r="Y381" t="n">
        <v>17730.54</v>
      </c>
      <c r="Z381" t="n">
        <v>0</v>
      </c>
      <c r="AA381" t="n">
        <v>57718.65</v>
      </c>
      <c r="AF381" t="n">
        <v>0</v>
      </c>
      <c r="AG381" t="n">
        <v>144118.65</v>
      </c>
      <c r="AH381" t="n">
        <v>8.12827189696422</v>
      </c>
      <c r="AJ381" t="n">
        <v>8.12827189696422</v>
      </c>
      <c r="AK381" t="n">
        <v>6.586017684740566</v>
      </c>
      <c r="AQ381" t="n">
        <v>144118.65</v>
      </c>
      <c r="AR381" t="n">
        <v>8.12827189696422</v>
      </c>
      <c r="AS381" t="n">
        <v>1.091642554158461</v>
      </c>
      <c r="BL381" t="n">
        <v>1</v>
      </c>
      <c r="BM381" t="n">
        <v>15715</v>
      </c>
      <c r="BN381" t="n">
        <v>0</v>
      </c>
      <c r="BO381" t="n">
        <v>16050</v>
      </c>
      <c r="BP381" t="inlineStr">
        <is>
          <t>G,O</t>
        </is>
      </c>
      <c r="BQ381" t="inlineStr">
        <is>
          <t>T1#</t>
        </is>
      </c>
      <c r="BS381" t="n">
        <v>6.509385937002864</v>
      </c>
      <c r="BT381" t="n">
        <v>29725</v>
      </c>
      <c r="BV381" t="n">
        <v>8.400890868596882</v>
      </c>
      <c r="BY381" t="n">
        <v>132020</v>
      </c>
      <c r="BZ381" t="n">
        <v>8.400890868596882</v>
      </c>
      <c r="CP381" t="inlineStr">
        <is>
          <t>FiT财务管理</t>
        </is>
      </c>
      <c r="CQ381" t="inlineStr">
        <is>
          <t>5,3</t>
        </is>
      </c>
      <c r="CR381" t="n">
        <v>5</v>
      </c>
      <c r="CS381" t="inlineStr">
        <is>
          <t>T1#</t>
        </is>
      </c>
      <c r="CT381" t="inlineStr">
        <is>
          <t>N</t>
        </is>
      </c>
    </row>
    <row r="382">
      <c r="A382" t="inlineStr">
        <is>
          <t>scarlettYuan(袁玲)</t>
        </is>
      </c>
      <c r="C382" t="n">
        <v>31137125</v>
      </c>
      <c r="D382" t="inlineStr">
        <is>
          <t>CFO办公室</t>
        </is>
      </c>
      <c r="E382" t="inlineStr">
        <is>
          <t>ESG协同办公室</t>
        </is>
      </c>
      <c r="G382" t="inlineStr">
        <is>
          <t>S2职能系统－财经线/CFO办公室/ESG协同办公室</t>
        </is>
      </c>
      <c r="H382" s="188" t="n">
        <v>40551</v>
      </c>
      <c r="I382" t="inlineStr">
        <is>
          <t>社会招聘</t>
        </is>
      </c>
      <c r="J382" t="inlineStr">
        <is>
          <t>财经类－FN</t>
        </is>
      </c>
      <c r="K382" t="inlineStr">
        <is>
          <t>投资者关系</t>
        </is>
      </c>
      <c r="L382" t="inlineStr">
        <is>
          <t>S5</t>
        </is>
      </c>
      <c r="N382" t="inlineStr">
        <is>
          <t>T2</t>
        </is>
      </c>
      <c r="Q382" t="inlineStr">
        <is>
          <t>O,G</t>
        </is>
      </c>
      <c r="U382" t="n">
        <v>32302.15</v>
      </c>
      <c r="V382" t="n">
        <v>0.083333</v>
      </c>
      <c r="W382" t="inlineStr">
        <is>
          <t>CNY</t>
        </is>
      </c>
      <c r="X382" t="n">
        <v>1</v>
      </c>
      <c r="Y382" t="n">
        <v>29252.99</v>
      </c>
      <c r="Z382" t="n">
        <v>0</v>
      </c>
      <c r="AA382" t="n">
        <v>96906.45</v>
      </c>
      <c r="AF382" t="n">
        <v>0</v>
      </c>
      <c r="AG382" t="n">
        <v>139711.45</v>
      </c>
      <c r="AH382" t="n">
        <v>4.775971618627703</v>
      </c>
      <c r="AJ382" t="n">
        <v>4.775971618627703</v>
      </c>
      <c r="AK382" t="n">
        <v>4.775971618627703</v>
      </c>
      <c r="AQ382" t="n">
        <v>139711.45</v>
      </c>
      <c r="AR382" t="n">
        <v>4.775971618627703</v>
      </c>
      <c r="AS382" t="n">
        <v>0.9879535409963583</v>
      </c>
      <c r="BL382" t="n">
        <v>1</v>
      </c>
      <c r="BM382" t="n">
        <v>26525</v>
      </c>
      <c r="BN382" t="n">
        <v>0</v>
      </c>
      <c r="BO382" t="n">
        <v>27710</v>
      </c>
      <c r="BP382" t="inlineStr">
        <is>
          <t>G,G</t>
        </is>
      </c>
      <c r="BQ382" t="inlineStr">
        <is>
          <t>T1</t>
        </is>
      </c>
      <c r="BS382" t="n">
        <v>3.652591894439208</v>
      </c>
      <c r="BT382" t="n">
        <v>44530</v>
      </c>
      <c r="BV382" t="n">
        <v>5.331385485391141</v>
      </c>
      <c r="BY382" t="n">
        <v>141415</v>
      </c>
      <c r="BZ382" t="n">
        <v>5.331385485391141</v>
      </c>
      <c r="CP382" t="inlineStr">
        <is>
          <t>CFO办公室</t>
        </is>
      </c>
      <c r="CQ382" t="inlineStr">
        <is>
          <t>5,3</t>
        </is>
      </c>
      <c r="CR382" t="n">
        <v>5</v>
      </c>
      <c r="CS382" t="inlineStr">
        <is>
          <t>T2</t>
        </is>
      </c>
      <c r="CT382" t="inlineStr">
        <is>
          <t>N</t>
        </is>
      </c>
    </row>
    <row r="383">
      <c r="A383" t="inlineStr">
        <is>
          <t>madisonRen(任青)</t>
        </is>
      </c>
      <c r="C383" t="n">
        <v>43317116</v>
      </c>
      <c r="D383" t="inlineStr">
        <is>
          <t>FiT财务管理</t>
        </is>
      </c>
      <c r="E383" t="inlineStr">
        <is>
          <t>财经金融专项中心</t>
        </is>
      </c>
      <c r="G383" t="inlineStr">
        <is>
          <t>S2职能系统－财经线/FiT财务管理/财经金融专项中心</t>
        </is>
      </c>
      <c r="H383" s="188" t="n">
        <v>38674</v>
      </c>
      <c r="I383" t="inlineStr">
        <is>
          <t>社会招聘</t>
        </is>
      </c>
      <c r="J383" t="inlineStr">
        <is>
          <t>财经类－FN</t>
        </is>
      </c>
      <c r="K383" t="inlineStr">
        <is>
          <t>财务管理</t>
        </is>
      </c>
      <c r="L383" t="inlineStr">
        <is>
          <t>S8</t>
        </is>
      </c>
      <c r="N383" t="inlineStr">
        <is>
          <t>T1</t>
        </is>
      </c>
      <c r="Q383" t="inlineStr">
        <is>
          <t>G,O</t>
        </is>
      </c>
      <c r="U383" t="n">
        <v>33679.2</v>
      </c>
      <c r="V383" t="n">
        <v>0.083333</v>
      </c>
      <c r="W383" t="inlineStr">
        <is>
          <t>CNY</t>
        </is>
      </c>
      <c r="X383" t="n">
        <v>1</v>
      </c>
      <c r="Y383" t="n">
        <v>30906.62</v>
      </c>
      <c r="Z383" t="n">
        <v>0</v>
      </c>
      <c r="AA383" t="n">
        <v>101037.6</v>
      </c>
      <c r="AF383" t="n">
        <v>0</v>
      </c>
      <c r="AG383" t="n">
        <v>238002.6</v>
      </c>
      <c r="AH383" t="n">
        <v>7.700699720642374</v>
      </c>
      <c r="AJ383" t="n">
        <v>7.700699720642374</v>
      </c>
      <c r="AK383" t="n">
        <v>5.892834609543199</v>
      </c>
      <c r="AQ383" t="n">
        <v>238002.6</v>
      </c>
      <c r="AR383" t="n">
        <v>7.700699720642374</v>
      </c>
      <c r="AS383" t="n">
        <v>3.90969363449692</v>
      </c>
      <c r="BL383" t="n">
        <v>1</v>
      </c>
      <c r="BM383" t="n">
        <v>27835</v>
      </c>
      <c r="BN383" t="n">
        <v>0</v>
      </c>
      <c r="BO383" t="n">
        <v>28175</v>
      </c>
      <c r="BP383" t="inlineStr">
        <is>
          <t>G,U</t>
        </is>
      </c>
      <c r="BQ383" t="inlineStr">
        <is>
          <t>T1</t>
        </is>
      </c>
      <c r="BS383" t="n">
        <v>2.186994790731094</v>
      </c>
      <c r="BT383" t="n">
        <v>0</v>
      </c>
      <c r="BV383" t="n">
        <v>2.186994790731094</v>
      </c>
      <c r="BY383" t="n">
        <v>60875</v>
      </c>
      <c r="BZ383" t="n">
        <v>2.186994790731094</v>
      </c>
      <c r="CP383" t="inlineStr">
        <is>
          <t>FiT财务管理</t>
        </is>
      </c>
      <c r="CQ383" t="inlineStr">
        <is>
          <t>5,3</t>
        </is>
      </c>
      <c r="CR383" t="n">
        <v>8</v>
      </c>
      <c r="CS383" t="inlineStr">
        <is>
          <t>T1</t>
        </is>
      </c>
      <c r="CT383" t="inlineStr">
        <is>
          <t>N</t>
        </is>
      </c>
    </row>
    <row r="384">
      <c r="A384" t="inlineStr">
        <is>
          <t>judithLiang(梁云)</t>
        </is>
      </c>
      <c r="C384" t="n">
        <v>83185702</v>
      </c>
      <c r="D384" t="inlineStr">
        <is>
          <t>财会及报告管理部</t>
        </is>
      </c>
      <c r="E384" t="inlineStr">
        <is>
          <t>海外财会管理中心</t>
        </is>
      </c>
      <c r="G384" t="inlineStr">
        <is>
          <t>S2职能系统－财经线/财会及报告管理部/海外财会管理中心</t>
        </is>
      </c>
      <c r="H384" s="188" t="n">
        <v>43205</v>
      </c>
      <c r="I384" t="inlineStr">
        <is>
          <t>社会招聘</t>
        </is>
      </c>
      <c r="J384" t="inlineStr">
        <is>
          <t>财经类－FN</t>
        </is>
      </c>
      <c r="K384" t="inlineStr">
        <is>
          <t>会计</t>
        </is>
      </c>
      <c r="L384" t="inlineStr">
        <is>
          <t>S6</t>
        </is>
      </c>
      <c r="N384" t="inlineStr">
        <is>
          <t>Others</t>
        </is>
      </c>
      <c r="Q384" t="inlineStr">
        <is>
          <t>G,G</t>
        </is>
      </c>
      <c r="U384" t="n">
        <v>22620.15</v>
      </c>
      <c r="V384" t="n">
        <v>0.083333</v>
      </c>
      <c r="W384" t="inlineStr">
        <is>
          <t>CNY</t>
        </is>
      </c>
      <c r="X384" t="n">
        <v>1</v>
      </c>
      <c r="Y384" t="n">
        <v>21747.37</v>
      </c>
      <c r="Z384" t="n">
        <v>0</v>
      </c>
      <c r="AA384" t="n">
        <v>45240.3</v>
      </c>
      <c r="AF384" t="n">
        <v>0</v>
      </c>
      <c r="AG384" t="n">
        <v>58625.3</v>
      </c>
      <c r="AH384" t="n">
        <v>2.695742059844478</v>
      </c>
      <c r="AJ384" t="n">
        <v>2.695742059844478</v>
      </c>
      <c r="AK384" t="n">
        <v>2.695742059844478</v>
      </c>
      <c r="AQ384" t="n">
        <v>58625.3</v>
      </c>
      <c r="AR384" t="n">
        <v>2.695742059844478</v>
      </c>
      <c r="AS384" t="n">
        <v>0.8373846593343809</v>
      </c>
      <c r="BL384" t="n">
        <v>1</v>
      </c>
      <c r="BM384" t="n">
        <v>19365</v>
      </c>
      <c r="BN384" t="n">
        <v>0</v>
      </c>
      <c r="BO384" t="n">
        <v>20085</v>
      </c>
      <c r="BP384" t="inlineStr">
        <is>
          <t>G,G</t>
        </is>
      </c>
      <c r="BQ384" t="inlineStr">
        <is>
          <t>Others</t>
        </is>
      </c>
      <c r="BS384" t="n">
        <v>3.615285308546346</v>
      </c>
      <c r="BT384" t="n">
        <v>0</v>
      </c>
      <c r="BV384" t="n">
        <v>3.615285308546346</v>
      </c>
      <c r="BY384" t="n">
        <v>70010</v>
      </c>
      <c r="BZ384" t="n">
        <v>3.615285308546346</v>
      </c>
      <c r="CP384" t="inlineStr">
        <is>
          <t>财会及报告管理部</t>
        </is>
      </c>
      <c r="CQ384" t="inlineStr">
        <is>
          <t>3,3</t>
        </is>
      </c>
      <c r="CR384" t="n">
        <v>6</v>
      </c>
      <c r="CS384" t="inlineStr">
        <is>
          <t>Others</t>
        </is>
      </c>
      <c r="CT384" t="inlineStr">
        <is>
          <t>N</t>
        </is>
      </c>
    </row>
    <row r="385">
      <c r="A385" t="inlineStr">
        <is>
          <t>williamLi(李文磊)</t>
        </is>
      </c>
      <c r="C385" t="n">
        <v>89670203</v>
      </c>
      <c r="D385" t="inlineStr">
        <is>
          <t>审计监察</t>
        </is>
      </c>
      <c r="E385" t="inlineStr">
        <is>
          <t>常规审计组</t>
        </is>
      </c>
      <c r="G385" t="inlineStr">
        <is>
          <t>S2职能系统－财经线/审计监察/常规审计组</t>
        </is>
      </c>
      <c r="H385" s="188" t="n">
        <v>38267</v>
      </c>
      <c r="I385" t="inlineStr">
        <is>
          <t>社会招聘</t>
        </is>
      </c>
      <c r="J385" t="inlineStr">
        <is>
          <t>财经类－FN</t>
        </is>
      </c>
      <c r="K385" t="inlineStr">
        <is>
          <t>风险管理</t>
        </is>
      </c>
      <c r="L385" t="inlineStr">
        <is>
          <t>S11</t>
        </is>
      </c>
      <c r="N385" t="inlineStr">
        <is>
          <t>T2</t>
        </is>
      </c>
      <c r="Q385" t="inlineStr">
        <is>
          <t>G,G</t>
        </is>
      </c>
      <c r="U385" t="n">
        <v>53866.85</v>
      </c>
      <c r="V385" t="n">
        <v>0.083333</v>
      </c>
      <c r="W385" t="inlineStr">
        <is>
          <t>CNY</t>
        </is>
      </c>
      <c r="X385" t="n">
        <v>1</v>
      </c>
      <c r="Y385" t="n">
        <v>52404.72</v>
      </c>
      <c r="Z385" t="n">
        <v>0</v>
      </c>
      <c r="AA385" t="n">
        <v>107733.7</v>
      </c>
      <c r="AF385" t="n">
        <v>0</v>
      </c>
      <c r="AG385" t="n">
        <v>169063.7</v>
      </c>
      <c r="AH385" t="n">
        <v>3.226115891850963</v>
      </c>
      <c r="AJ385" t="n">
        <v>3.226115891850963</v>
      </c>
      <c r="AK385" t="n">
        <v>3.226115891850963</v>
      </c>
      <c r="AQ385" t="n">
        <v>169063.7</v>
      </c>
      <c r="AR385" t="n">
        <v>3.226115891850963</v>
      </c>
      <c r="AS385" t="n">
        <v>0.8243792666276576</v>
      </c>
      <c r="BL385" t="n">
        <v>1</v>
      </c>
      <c r="BM385" t="n">
        <v>47120</v>
      </c>
      <c r="BN385" t="n">
        <v>0</v>
      </c>
      <c r="BO385" t="n">
        <v>50700</v>
      </c>
      <c r="BP385" t="inlineStr">
        <is>
          <t>O,G</t>
        </is>
      </c>
      <c r="BQ385" t="inlineStr">
        <is>
          <t>Others</t>
        </is>
      </c>
      <c r="BS385" t="n">
        <v>4.352292020373515</v>
      </c>
      <c r="BT385" t="n">
        <v>0</v>
      </c>
      <c r="BV385" t="n">
        <v>4.352292020373515</v>
      </c>
      <c r="BY385" t="n">
        <v>205080</v>
      </c>
      <c r="BZ385" t="n">
        <v>4.352292020373515</v>
      </c>
      <c r="CP385" t="inlineStr">
        <is>
          <t>审计监察</t>
        </is>
      </c>
      <c r="CQ385" t="inlineStr">
        <is>
          <t>3,3</t>
        </is>
      </c>
      <c r="CR385" t="n">
        <v>11</v>
      </c>
      <c r="CS385" t="inlineStr">
        <is>
          <t>T2</t>
        </is>
      </c>
      <c r="CT385" t="inlineStr">
        <is>
          <t>N</t>
        </is>
      </c>
    </row>
    <row r="386">
      <c r="A386" t="inlineStr">
        <is>
          <t>teresaYe(叶英)</t>
        </is>
      </c>
      <c r="C386" t="n">
        <v>37898757</v>
      </c>
      <c r="D386" t="inlineStr">
        <is>
          <t>税务部</t>
        </is>
      </c>
      <c r="E386" t="inlineStr">
        <is>
          <t>印章及文档管理组</t>
        </is>
      </c>
      <c r="G386" t="inlineStr">
        <is>
          <t>S2职能系统－财经线/税务部/印章及文档管理组</t>
        </is>
      </c>
      <c r="H386" s="188" t="n">
        <v>37781</v>
      </c>
      <c r="I386" t="inlineStr">
        <is>
          <t>社会招聘</t>
        </is>
      </c>
      <c r="J386" t="inlineStr">
        <is>
          <t>财经类－FN</t>
        </is>
      </c>
      <c r="K386" t="inlineStr">
        <is>
          <t>税务</t>
        </is>
      </c>
      <c r="L386" t="inlineStr">
        <is>
          <t>S8</t>
        </is>
      </c>
      <c r="N386" t="inlineStr">
        <is>
          <t>T2</t>
        </is>
      </c>
      <c r="Q386" t="inlineStr">
        <is>
          <t>O,G</t>
        </is>
      </c>
      <c r="U386" t="n">
        <v>34295.2</v>
      </c>
      <c r="V386" t="n">
        <v>0.083333</v>
      </c>
      <c r="W386" t="inlineStr">
        <is>
          <t>CNY</t>
        </is>
      </c>
      <c r="X386" t="n">
        <v>1</v>
      </c>
      <c r="Y386" t="n">
        <v>33026.2</v>
      </c>
      <c r="Z386" t="n">
        <v>0</v>
      </c>
      <c r="AA386" t="n">
        <v>102885.6</v>
      </c>
      <c r="AF386" t="n">
        <v>0</v>
      </c>
      <c r="AG386" t="n">
        <v>147335.6</v>
      </c>
      <c r="AH386" t="n">
        <v>4.461173250328527</v>
      </c>
      <c r="AJ386" t="n">
        <v>4.461173250328527</v>
      </c>
      <c r="AK386" t="n">
        <v>4.461173250328527</v>
      </c>
      <c r="AQ386" t="n">
        <v>147335.6</v>
      </c>
      <c r="AR386" t="n">
        <v>4.461173250328527</v>
      </c>
      <c r="AS386" t="n">
        <v>1.489441973311767</v>
      </c>
      <c r="BL386" t="n">
        <v>1</v>
      </c>
      <c r="BM386" t="n">
        <v>28850</v>
      </c>
      <c r="BN386" t="n">
        <v>0</v>
      </c>
      <c r="BO386" t="n">
        <v>31675</v>
      </c>
      <c r="BP386" t="inlineStr">
        <is>
          <t>G,G</t>
        </is>
      </c>
      <c r="BQ386" t="inlineStr">
        <is>
          <t>T2</t>
        </is>
      </c>
      <c r="BS386" t="n">
        <v>3.428769497400347</v>
      </c>
      <c r="BT386" t="n">
        <v>0</v>
      </c>
      <c r="BV386" t="n">
        <v>3.428769497400347</v>
      </c>
      <c r="BY386" t="n">
        <v>98920</v>
      </c>
      <c r="BZ386" t="n">
        <v>3.428769497400347</v>
      </c>
      <c r="CP386" t="inlineStr">
        <is>
          <t>税务部</t>
        </is>
      </c>
      <c r="CQ386" t="inlineStr">
        <is>
          <t>5,3</t>
        </is>
      </c>
      <c r="CR386" t="n">
        <v>8</v>
      </c>
      <c r="CS386" t="inlineStr">
        <is>
          <t>T2</t>
        </is>
      </c>
      <c r="CT386" t="inlineStr">
        <is>
          <t>N</t>
        </is>
      </c>
    </row>
    <row r="387">
      <c r="A387" t="inlineStr">
        <is>
          <t>timothyTang(唐东胜)</t>
        </is>
      </c>
      <c r="C387" t="n">
        <v>17650346</v>
      </c>
      <c r="D387" t="inlineStr">
        <is>
          <t>FiT财务管理</t>
        </is>
      </c>
      <c r="E387" t="inlineStr">
        <is>
          <t>业务支持与分析中心</t>
        </is>
      </c>
      <c r="G387" t="inlineStr">
        <is>
          <t>S2职能系统－财经线/FiT财务管理/业务支持与分析中心</t>
        </is>
      </c>
      <c r="H387" s="188" t="n">
        <v>41598</v>
      </c>
      <c r="I387" t="inlineStr">
        <is>
          <t>高校招聘</t>
        </is>
      </c>
      <c r="J387" t="inlineStr">
        <is>
          <t>财经类－FN</t>
        </is>
      </c>
      <c r="K387" t="inlineStr">
        <is>
          <t>财务管理</t>
        </is>
      </c>
      <c r="M387" t="inlineStr">
        <is>
          <t>L2-2</t>
        </is>
      </c>
      <c r="N387" t="inlineStr">
        <is>
          <t>T1#</t>
        </is>
      </c>
      <c r="Q387" t="inlineStr">
        <is>
          <t>G,G</t>
        </is>
      </c>
      <c r="U387" t="n">
        <v>79743.60000000001</v>
      </c>
      <c r="V387" t="n">
        <v>0.083333</v>
      </c>
      <c r="W387" t="inlineStr">
        <is>
          <t>CNY</t>
        </is>
      </c>
      <c r="X387" t="n">
        <v>1</v>
      </c>
      <c r="Y387" t="n">
        <v>75512.41</v>
      </c>
      <c r="Z387" t="n">
        <v>0</v>
      </c>
      <c r="AA387" t="n">
        <v>159487.2</v>
      </c>
      <c r="AF387" t="n">
        <v>32580</v>
      </c>
      <c r="AG387" t="n">
        <v>532887.2</v>
      </c>
      <c r="AH387" t="n">
        <v>7.056948652545985</v>
      </c>
      <c r="AJ387" t="n">
        <v>7.488400913174403</v>
      </c>
      <c r="AK387" t="n">
        <v>5.85774179369987</v>
      </c>
      <c r="AQ387" t="n">
        <v>565467.2</v>
      </c>
      <c r="AR387" t="n">
        <v>7.488400913174403</v>
      </c>
      <c r="AS387" t="n">
        <v>1.147993584668169</v>
      </c>
      <c r="BL387" t="n">
        <v>1</v>
      </c>
      <c r="BM387" t="n">
        <v>71200</v>
      </c>
      <c r="BN387" t="n">
        <v>0</v>
      </c>
      <c r="BO387" t="n">
        <v>77570</v>
      </c>
      <c r="BP387" t="inlineStr">
        <is>
          <t>G,G</t>
        </is>
      </c>
      <c r="BQ387" t="inlineStr">
        <is>
          <t>T1#</t>
        </is>
      </c>
      <c r="BS387" t="n">
        <v>5.531039325842697</v>
      </c>
      <c r="BT387" t="n">
        <v>98760</v>
      </c>
      <c r="BV387" t="n">
        <v>6.91811797752809</v>
      </c>
      <c r="BY387" t="n">
        <v>492570</v>
      </c>
      <c r="BZ387" t="n">
        <v>6.91811797752809</v>
      </c>
      <c r="CP387" t="inlineStr">
        <is>
          <t>FiT财务管理</t>
        </is>
      </c>
      <c r="CQ387" t="inlineStr">
        <is>
          <t>3,3</t>
        </is>
      </c>
      <c r="CR387" t="inlineStr">
        <is>
          <t>L2-2</t>
        </is>
      </c>
      <c r="CS387" t="inlineStr">
        <is>
          <t>T1#</t>
        </is>
      </c>
      <c r="CT387" t="inlineStr">
        <is>
          <t>N</t>
        </is>
      </c>
    </row>
    <row r="388">
      <c r="A388" t="inlineStr">
        <is>
          <t>richardHao(郝毅)</t>
        </is>
      </c>
      <c r="C388" t="n">
        <v>62021861</v>
      </c>
      <c r="D388" t="inlineStr">
        <is>
          <t>财会及报告管理部</t>
        </is>
      </c>
      <c r="E388" t="inlineStr">
        <is>
          <t>供应商支付管理中心</t>
        </is>
      </c>
      <c r="G388" t="inlineStr">
        <is>
          <t>S2职能系统－财经线/财会及报告管理部/供应商支付管理中心</t>
        </is>
      </c>
      <c r="H388" s="188" t="n">
        <v>44564</v>
      </c>
      <c r="I388" t="inlineStr">
        <is>
          <t>高校招聘</t>
        </is>
      </c>
      <c r="J388" t="inlineStr">
        <is>
          <t>财经类－FN</t>
        </is>
      </c>
      <c r="K388" t="inlineStr">
        <is>
          <t>会计</t>
        </is>
      </c>
      <c r="L388" t="inlineStr">
        <is>
          <t>S9</t>
        </is>
      </c>
      <c r="N388" t="inlineStr">
        <is>
          <t>T1#</t>
        </is>
      </c>
      <c r="Q388" t="inlineStr">
        <is>
          <t>O,G</t>
        </is>
      </c>
      <c r="U388" t="n">
        <v>48740.75</v>
      </c>
      <c r="V388" t="n">
        <v>0.083333</v>
      </c>
      <c r="W388" t="inlineStr">
        <is>
          <t>CNY</t>
        </is>
      </c>
      <c r="X388" t="n">
        <v>1</v>
      </c>
      <c r="Y388" t="n">
        <v>46983.32</v>
      </c>
      <c r="Z388" t="n">
        <v>0</v>
      </c>
      <c r="AA388" t="n">
        <v>146222.25</v>
      </c>
      <c r="AF388" t="n">
        <v>0</v>
      </c>
      <c r="AG388" t="n">
        <v>357227.25</v>
      </c>
      <c r="AH388" t="n">
        <v>7.603278142115117</v>
      </c>
      <c r="AJ388" t="n">
        <v>7.603278142115117</v>
      </c>
      <c r="AK388" t="n">
        <v>6.456913857939371</v>
      </c>
      <c r="AQ388" t="n">
        <v>357227.25</v>
      </c>
      <c r="AR388" t="n">
        <v>7.603278142115117</v>
      </c>
      <c r="AS388" t="n">
        <v>1.12099428876267</v>
      </c>
      <c r="BL388" t="n">
        <v>1</v>
      </c>
      <c r="BM388" t="n">
        <v>39920</v>
      </c>
      <c r="BN388" t="n">
        <v>0</v>
      </c>
      <c r="BO388" t="n">
        <v>40850</v>
      </c>
      <c r="BP388" t="inlineStr">
        <is>
          <t>G,O</t>
        </is>
      </c>
      <c r="BQ388" t="inlineStr">
        <is>
          <t>T1#</t>
        </is>
      </c>
      <c r="BS388" t="n">
        <v>6.343562124248497</v>
      </c>
      <c r="BT388" t="n">
        <v>65435</v>
      </c>
      <c r="BV388" t="n">
        <v>7.982715430861724</v>
      </c>
      <c r="BY388" t="n">
        <v>318670</v>
      </c>
      <c r="BZ388" t="n">
        <v>7.982715430861724</v>
      </c>
      <c r="CP388" t="inlineStr">
        <is>
          <t>财会及报告管理部</t>
        </is>
      </c>
      <c r="CQ388" t="inlineStr">
        <is>
          <t>5,3</t>
        </is>
      </c>
      <c r="CR388" t="n">
        <v>9</v>
      </c>
      <c r="CS388" t="inlineStr">
        <is>
          <t>T1#</t>
        </is>
      </c>
      <c r="CT388" t="inlineStr">
        <is>
          <t>N</t>
        </is>
      </c>
    </row>
    <row r="389">
      <c r="A389" t="inlineStr">
        <is>
          <t>maryZhao(赵娇慧)</t>
        </is>
      </c>
      <c r="C389" t="n">
        <v>75377388</v>
      </c>
      <c r="D389" t="inlineStr">
        <is>
          <t>财经投资并购及管理部</t>
        </is>
      </c>
      <c r="E389" t="inlineStr">
        <is>
          <t>运营支持中心</t>
        </is>
      </c>
      <c r="G389" t="inlineStr">
        <is>
          <t>S2职能系统－财经线/财经投资并购及管理部/运营支持中心</t>
        </is>
      </c>
      <c r="H389" s="188" t="n">
        <v>45268</v>
      </c>
      <c r="I389" t="inlineStr">
        <is>
          <t>高校招聘</t>
        </is>
      </c>
      <c r="J389" t="inlineStr">
        <is>
          <t>财经类－FN</t>
        </is>
      </c>
      <c r="K389" t="inlineStr">
        <is>
          <t>投资并购</t>
        </is>
      </c>
      <c r="L389" t="inlineStr">
        <is>
          <t>S6</t>
        </is>
      </c>
      <c r="N389" t="inlineStr">
        <is>
          <t>T1</t>
        </is>
      </c>
      <c r="Q389" t="inlineStr">
        <is>
          <t>G,O</t>
        </is>
      </c>
      <c r="U389" t="n">
        <v>36602.75</v>
      </c>
      <c r="V389" t="n">
        <v>0.083333</v>
      </c>
      <c r="W389" t="inlineStr">
        <is>
          <t>CNY</t>
        </is>
      </c>
      <c r="X389" t="n">
        <v>1</v>
      </c>
      <c r="Y389" t="n">
        <v>35934.92</v>
      </c>
      <c r="Z389" t="n">
        <v>0</v>
      </c>
      <c r="AA389" t="n">
        <v>109808.25</v>
      </c>
      <c r="AF389" t="n">
        <v>0</v>
      </c>
      <c r="AG389" t="n">
        <v>264298.25</v>
      </c>
      <c r="AH389" t="n">
        <v>7.354914105833546</v>
      </c>
      <c r="AJ389" t="n">
        <v>7.354914105833546</v>
      </c>
      <c r="AK389" t="n">
        <v>5.43575023959981</v>
      </c>
      <c r="AQ389" t="n">
        <v>264298.25</v>
      </c>
      <c r="AR389" t="n">
        <v>7.354914105833546</v>
      </c>
      <c r="AS389" t="n">
        <v>135.8859897172237</v>
      </c>
      <c r="BL389" t="n">
        <v>0.06301369863013689</v>
      </c>
      <c r="BM389" t="n">
        <v>30895</v>
      </c>
      <c r="BN389" t="n">
        <v>0</v>
      </c>
      <c r="BO389" t="n">
        <v>30895</v>
      </c>
      <c r="BP389" t="inlineStr">
        <is>
          <t>N,N</t>
        </is>
      </c>
      <c r="BQ389" t="inlineStr">
        <is>
          <t>T1</t>
        </is>
      </c>
      <c r="BS389" t="n">
        <v>0.06295517073960187</v>
      </c>
      <c r="BT389" t="n">
        <v>0</v>
      </c>
      <c r="BV389" t="n">
        <v>0.06295517073960187</v>
      </c>
      <c r="BY389" t="n">
        <v>1945</v>
      </c>
      <c r="BZ389" t="n">
        <v>0.06295517073960187</v>
      </c>
      <c r="CP389" t="inlineStr">
        <is>
          <t>财经投资并购及管理部</t>
        </is>
      </c>
      <c r="CQ389" t="inlineStr">
        <is>
          <t>5,3</t>
        </is>
      </c>
      <c r="CR389" t="n">
        <v>6</v>
      </c>
      <c r="CS389" t="inlineStr">
        <is>
          <t>T1</t>
        </is>
      </c>
      <c r="CT389" t="inlineStr">
        <is>
          <t>N</t>
        </is>
      </c>
    </row>
    <row r="390">
      <c r="A390" t="inlineStr">
        <is>
          <t>abigailWei(韦月)</t>
        </is>
      </c>
      <c r="C390" t="n">
        <v>37495627</v>
      </c>
      <c r="D390" t="inlineStr">
        <is>
          <t>风险管理和内部控制</t>
        </is>
      </c>
      <c r="E390" t="inlineStr">
        <is>
          <t>WXG风控中心</t>
        </is>
      </c>
      <c r="G390" t="inlineStr">
        <is>
          <t>S2职能系统－财经线/风险管理和内部控制/WXG风控中心</t>
        </is>
      </c>
      <c r="H390" s="188" t="n">
        <v>43029</v>
      </c>
      <c r="I390" t="inlineStr">
        <is>
          <t>社会招聘</t>
        </is>
      </c>
      <c r="J390" t="inlineStr">
        <is>
          <t>财经类－FN</t>
        </is>
      </c>
      <c r="K390" t="inlineStr">
        <is>
          <t>风险管理</t>
        </is>
      </c>
      <c r="L390" t="inlineStr">
        <is>
          <t>S11</t>
        </is>
      </c>
      <c r="N390" t="inlineStr">
        <is>
          <t>T2</t>
        </is>
      </c>
      <c r="Q390" t="inlineStr">
        <is>
          <t>G,G</t>
        </is>
      </c>
      <c r="U390" t="n">
        <v>65788.55</v>
      </c>
      <c r="V390" t="n">
        <v>0.083333</v>
      </c>
      <c r="W390" t="inlineStr">
        <is>
          <t>CNY</t>
        </is>
      </c>
      <c r="X390" t="n">
        <v>1</v>
      </c>
      <c r="Y390" t="n">
        <v>63857.44</v>
      </c>
      <c r="Z390" t="n">
        <v>0</v>
      </c>
      <c r="AA390" t="n">
        <v>131577.1</v>
      </c>
      <c r="AF390" t="n">
        <v>0</v>
      </c>
      <c r="AG390" t="n">
        <v>216027.1</v>
      </c>
      <c r="AH390" t="n">
        <v>3.382958978624887</v>
      </c>
      <c r="AJ390" t="n">
        <v>3.382958978624887</v>
      </c>
      <c r="AK390" t="n">
        <v>3.382958978624887</v>
      </c>
      <c r="AQ390" t="n">
        <v>216027.1</v>
      </c>
      <c r="AR390" t="n">
        <v>3.382958978624887</v>
      </c>
      <c r="AS390" t="n">
        <v>1.199117981737948</v>
      </c>
      <c r="BL390" t="n">
        <v>1</v>
      </c>
      <c r="BM390" t="n">
        <v>53780</v>
      </c>
      <c r="BN390" t="n">
        <v>0</v>
      </c>
      <c r="BO390" t="n">
        <v>55350</v>
      </c>
      <c r="BP390" t="inlineStr">
        <is>
          <t>G,G</t>
        </is>
      </c>
      <c r="BQ390" t="inlineStr">
        <is>
          <t>T2</t>
        </is>
      </c>
      <c r="BS390" t="n">
        <v>3.349851245816289</v>
      </c>
      <c r="BT390" t="n">
        <v>0</v>
      </c>
      <c r="BV390" t="n">
        <v>3.349851245816289</v>
      </c>
      <c r="BY390" t="n">
        <v>180155</v>
      </c>
      <c r="BZ390" t="n">
        <v>3.349851245816289</v>
      </c>
      <c r="CP390" t="inlineStr">
        <is>
          <t>风险管理和内部控制</t>
        </is>
      </c>
      <c r="CQ390" t="inlineStr">
        <is>
          <t>3,3</t>
        </is>
      </c>
      <c r="CR390" t="n">
        <v>11</v>
      </c>
      <c r="CS390" t="inlineStr">
        <is>
          <t>T2</t>
        </is>
      </c>
      <c r="CT390" t="inlineStr">
        <is>
          <t>N</t>
        </is>
      </c>
    </row>
    <row r="391">
      <c r="A391" t="inlineStr">
        <is>
          <t>sharonGu(顾娇)</t>
        </is>
      </c>
      <c r="C391" t="n">
        <v>22859266</v>
      </c>
      <c r="D391" t="inlineStr">
        <is>
          <t>可持续社会价值事业部财务管理</t>
        </is>
      </c>
      <c r="E391" t="inlineStr">
        <is>
          <t>可持续社会价值事业部财务管理</t>
        </is>
      </c>
      <c r="G391" t="inlineStr">
        <is>
          <t>S2职能系统－财经线/可持续社会价值事业部财务管理</t>
        </is>
      </c>
      <c r="H391" s="188" t="n">
        <v>39346</v>
      </c>
      <c r="I391" t="inlineStr">
        <is>
          <t>社会招聘</t>
        </is>
      </c>
      <c r="J391" t="inlineStr">
        <is>
          <t>财经类－FN</t>
        </is>
      </c>
      <c r="K391" t="inlineStr">
        <is>
          <t>财务管理</t>
        </is>
      </c>
      <c r="L391" t="inlineStr">
        <is>
          <t>S10</t>
        </is>
      </c>
      <c r="N391" t="inlineStr">
        <is>
          <t>T1#</t>
        </is>
      </c>
      <c r="Q391" t="inlineStr">
        <is>
          <t>O,G</t>
        </is>
      </c>
      <c r="U391" t="n">
        <v>56923.3</v>
      </c>
      <c r="V391" t="n">
        <v>0.083333</v>
      </c>
      <c r="W391" t="inlineStr">
        <is>
          <t>CNY</t>
        </is>
      </c>
      <c r="X391" t="n">
        <v>1</v>
      </c>
      <c r="Y391" t="n">
        <v>53439.89</v>
      </c>
      <c r="Z391" t="n">
        <v>0</v>
      </c>
      <c r="AA391" t="n">
        <v>170769.9</v>
      </c>
      <c r="AF391" t="n">
        <v>0</v>
      </c>
      <c r="AG391" t="n">
        <v>433789.9</v>
      </c>
      <c r="AH391" t="n">
        <v>8.11734268165597</v>
      </c>
      <c r="AJ391" t="n">
        <v>8.11734268165597</v>
      </c>
      <c r="AK391" t="n">
        <v>6.579072299737144</v>
      </c>
      <c r="AQ391" t="n">
        <v>433789.9</v>
      </c>
      <c r="AR391" t="n">
        <v>8.11734268165597</v>
      </c>
      <c r="AS391" t="n">
        <v>1.013729128448407</v>
      </c>
      <c r="BL391" t="n">
        <v>1</v>
      </c>
      <c r="BM391" t="n">
        <v>50730</v>
      </c>
      <c r="BN391" t="n">
        <v>0</v>
      </c>
      <c r="BO391" t="n">
        <v>54065</v>
      </c>
      <c r="BP391" t="inlineStr">
        <is>
          <t>O,G</t>
        </is>
      </c>
      <c r="BQ391" t="inlineStr">
        <is>
          <t>T1#</t>
        </is>
      </c>
      <c r="BS391" t="n">
        <v>6.469347526118668</v>
      </c>
      <c r="BT391" t="n">
        <v>99725</v>
      </c>
      <c r="BV391" t="n">
        <v>8.435146855903804</v>
      </c>
      <c r="BY391" t="n">
        <v>427915</v>
      </c>
      <c r="BZ391" t="n">
        <v>8.435146855903804</v>
      </c>
      <c r="CP391" t="inlineStr">
        <is>
          <t>可持续社会价值事业部财务管理</t>
        </is>
      </c>
      <c r="CQ391" t="inlineStr">
        <is>
          <t>5,3</t>
        </is>
      </c>
      <c r="CR391" t="n">
        <v>10</v>
      </c>
      <c r="CS391" t="inlineStr">
        <is>
          <t>T1#</t>
        </is>
      </c>
      <c r="CT391" t="inlineStr">
        <is>
          <t>N</t>
        </is>
      </c>
    </row>
    <row r="392">
      <c r="A392" t="inlineStr">
        <is>
          <t>terryFeng(冯成川)</t>
        </is>
      </c>
      <c r="C392" t="n">
        <v>85353838</v>
      </c>
      <c r="D392" t="inlineStr">
        <is>
          <t>财会及报告管理部</t>
        </is>
      </c>
      <c r="E392" t="inlineStr">
        <is>
          <t>资产管理组</t>
        </is>
      </c>
      <c r="G392" t="inlineStr">
        <is>
          <t>S2职能系统－财经线/财会及报告管理部/资产管理组</t>
        </is>
      </c>
      <c r="H392" s="188" t="n">
        <v>43815</v>
      </c>
      <c r="I392" t="inlineStr">
        <is>
          <t>高校招聘</t>
        </is>
      </c>
      <c r="J392" t="inlineStr">
        <is>
          <t>财经类－FN</t>
        </is>
      </c>
      <c r="K392" t="inlineStr">
        <is>
          <t>会计</t>
        </is>
      </c>
      <c r="L392" t="inlineStr">
        <is>
          <t>S8</t>
        </is>
      </c>
      <c r="N392" t="inlineStr">
        <is>
          <t>T1</t>
        </is>
      </c>
      <c r="Q392" t="inlineStr">
        <is>
          <t>G,G</t>
        </is>
      </c>
      <c r="U392" t="n">
        <v>40591.05</v>
      </c>
      <c r="V392" t="n">
        <v>0.083333</v>
      </c>
      <c r="W392" t="inlineStr">
        <is>
          <t>CNY</t>
        </is>
      </c>
      <c r="X392" t="n">
        <v>1</v>
      </c>
      <c r="Y392" t="n">
        <v>36786.08</v>
      </c>
      <c r="Z392" t="n">
        <v>0</v>
      </c>
      <c r="AA392" t="n">
        <v>81182.10000000001</v>
      </c>
      <c r="AF392" t="n">
        <v>0</v>
      </c>
      <c r="AG392" t="n">
        <v>236407.1</v>
      </c>
      <c r="AH392" t="n">
        <v>6.426536885691544</v>
      </c>
      <c r="AJ392" t="n">
        <v>6.426536885691544</v>
      </c>
      <c r="AK392" t="n">
        <v>4.556536059291993</v>
      </c>
      <c r="AQ392" t="n">
        <v>236407.1</v>
      </c>
      <c r="AR392" t="n">
        <v>6.426536885691544</v>
      </c>
      <c r="AS392" t="n">
        <v>1.12078462049021</v>
      </c>
      <c r="BL392" t="n">
        <v>1</v>
      </c>
      <c r="BM392" t="n">
        <v>34995</v>
      </c>
      <c r="BN392" t="n">
        <v>0</v>
      </c>
      <c r="BO392" t="n">
        <v>35975</v>
      </c>
      <c r="BP392" t="inlineStr">
        <is>
          <t>O,G</t>
        </is>
      </c>
      <c r="BQ392" t="inlineStr">
        <is>
          <t>T1</t>
        </is>
      </c>
      <c r="BS392" t="n">
        <v>4.138019717102443</v>
      </c>
      <c r="BT392" t="n">
        <v>66120</v>
      </c>
      <c r="BV392" t="n">
        <v>6.027432490355765</v>
      </c>
      <c r="BY392" t="n">
        <v>210930</v>
      </c>
      <c r="BZ392" t="n">
        <v>6.027432490355765</v>
      </c>
      <c r="CP392" t="inlineStr">
        <is>
          <t>财会及报告管理部</t>
        </is>
      </c>
      <c r="CQ392" t="inlineStr">
        <is>
          <t>3,3</t>
        </is>
      </c>
      <c r="CR392" t="n">
        <v>8</v>
      </c>
      <c r="CS392" t="inlineStr">
        <is>
          <t>T1</t>
        </is>
      </c>
      <c r="CT392" t="inlineStr">
        <is>
          <t>N</t>
        </is>
      </c>
    </row>
    <row r="393">
      <c r="A393" t="inlineStr">
        <is>
          <t>ameliaLai(赖丽)</t>
        </is>
      </c>
      <c r="C393" t="n">
        <v>73887255</v>
      </c>
      <c r="D393" t="inlineStr">
        <is>
          <t>行政支持中心</t>
        </is>
      </c>
      <c r="E393" t="inlineStr">
        <is>
          <t>秘书组</t>
        </is>
      </c>
      <c r="G393" t="inlineStr">
        <is>
          <t>S2职能系统－财经线/行政支持中心/秘书组</t>
        </is>
      </c>
      <c r="H393" s="188" t="n">
        <v>43716</v>
      </c>
      <c r="I393" t="inlineStr">
        <is>
          <t>高校招聘</t>
        </is>
      </c>
      <c r="J393" t="inlineStr">
        <is>
          <t>财经类－FN</t>
        </is>
      </c>
      <c r="K393" t="inlineStr">
        <is>
          <t>公司秘书</t>
        </is>
      </c>
      <c r="L393" t="inlineStr">
        <is>
          <t>S9</t>
        </is>
      </c>
      <c r="N393" t="inlineStr">
        <is>
          <t>T1#</t>
        </is>
      </c>
      <c r="Q393" t="inlineStr">
        <is>
          <t>O,O</t>
        </is>
      </c>
      <c r="U393" t="n">
        <v>35091.9</v>
      </c>
      <c r="V393" t="n">
        <v>0.083333</v>
      </c>
      <c r="W393" t="inlineStr">
        <is>
          <t>CNY</t>
        </is>
      </c>
      <c r="X393" t="n">
        <v>1</v>
      </c>
      <c r="Y393" t="n">
        <v>33632.18</v>
      </c>
      <c r="Z393" t="n">
        <v>0</v>
      </c>
      <c r="AA393" t="n">
        <v>140367.6</v>
      </c>
      <c r="AF393" t="n">
        <v>0</v>
      </c>
      <c r="AG393" t="n">
        <v>291862.6</v>
      </c>
      <c r="AH393" t="n">
        <v>8.678075581184448</v>
      </c>
      <c r="AJ393" t="n">
        <v>8.678075581184448</v>
      </c>
      <c r="AK393" t="n">
        <v>7.586412774907841</v>
      </c>
      <c r="AQ393" t="n">
        <v>291862.6</v>
      </c>
      <c r="AR393" t="n">
        <v>8.678075581184448</v>
      </c>
      <c r="AS393" t="n">
        <v>1.43322824592418</v>
      </c>
      <c r="BL393" t="n">
        <v>1</v>
      </c>
      <c r="BM393" t="n">
        <v>29915</v>
      </c>
      <c r="BN393" t="n">
        <v>0</v>
      </c>
      <c r="BO393" t="n">
        <v>31650</v>
      </c>
      <c r="BP393" t="inlineStr">
        <is>
          <t>G,G</t>
        </is>
      </c>
      <c r="BQ393" t="inlineStr">
        <is>
          <t>T1#</t>
        </is>
      </c>
      <c r="BS393" t="n">
        <v>5.322413504930637</v>
      </c>
      <c r="BT393" t="n">
        <v>44420</v>
      </c>
      <c r="BV393" t="n">
        <v>6.807287314056493</v>
      </c>
      <c r="BY393" t="n">
        <v>203640</v>
      </c>
      <c r="BZ393" t="n">
        <v>6.807287314056493</v>
      </c>
      <c r="CP393" t="inlineStr">
        <is>
          <t>行政支持中心</t>
        </is>
      </c>
      <c r="CQ393" t="inlineStr">
        <is>
          <t>5,5</t>
        </is>
      </c>
      <c r="CR393" t="n">
        <v>9</v>
      </c>
      <c r="CS393" t="inlineStr">
        <is>
          <t>T1#</t>
        </is>
      </c>
      <c r="CT393" t="inlineStr">
        <is>
          <t>N</t>
        </is>
      </c>
    </row>
    <row r="394">
      <c r="A394" t="inlineStr">
        <is>
          <t>donnaJia(贾琴)</t>
        </is>
      </c>
      <c r="C394" t="n">
        <v>19157984</v>
      </c>
      <c r="D394" t="inlineStr">
        <is>
          <t>CSIG财务管理</t>
        </is>
      </c>
      <c r="E394" t="inlineStr">
        <is>
          <t>产品财务管理中心</t>
        </is>
      </c>
      <c r="G394" t="inlineStr">
        <is>
          <t>S2职能系统－财经线/CSIG财务管理/产品财务管理中心</t>
        </is>
      </c>
      <c r="H394" s="188" t="n">
        <v>42721</v>
      </c>
      <c r="I394" t="inlineStr">
        <is>
          <t>社会招聘</t>
        </is>
      </c>
      <c r="J394" t="inlineStr">
        <is>
          <t>财经类－FN</t>
        </is>
      </c>
      <c r="K394" t="inlineStr">
        <is>
          <t>财务管理</t>
        </is>
      </c>
      <c r="M394" t="inlineStr">
        <is>
          <t>L2-2</t>
        </is>
      </c>
      <c r="N394" t="inlineStr">
        <is>
          <t>Others</t>
        </is>
      </c>
      <c r="Q394" t="inlineStr">
        <is>
          <t>G,O</t>
        </is>
      </c>
      <c r="U394" t="n">
        <v>53127.15</v>
      </c>
      <c r="V394" t="n">
        <v>0.083333</v>
      </c>
      <c r="W394" t="inlineStr">
        <is>
          <t>CNY</t>
        </is>
      </c>
      <c r="X394" t="n">
        <v>1</v>
      </c>
      <c r="Y394" t="n">
        <v>50563.58</v>
      </c>
      <c r="Z394" t="n">
        <v>0</v>
      </c>
      <c r="AA394" t="n">
        <v>159381.45</v>
      </c>
      <c r="AF394" t="n">
        <v>7060</v>
      </c>
      <c r="AG394" t="n">
        <v>212431.45</v>
      </c>
      <c r="AH394" t="n">
        <v>4.201273920873483</v>
      </c>
      <c r="AJ394" t="n">
        <v>4.340900110316556</v>
      </c>
      <c r="AK394" t="n">
        <v>4.340900110316556</v>
      </c>
      <c r="AQ394" t="n">
        <v>219491.45</v>
      </c>
      <c r="AR394" t="n">
        <v>4.340900110316556</v>
      </c>
      <c r="AS394" t="n">
        <v>1.335146750205298</v>
      </c>
      <c r="BL394" t="n">
        <v>1</v>
      </c>
      <c r="BM394" t="n">
        <v>47780</v>
      </c>
      <c r="BN394" t="n">
        <v>0</v>
      </c>
      <c r="BO394" t="n">
        <v>50250</v>
      </c>
      <c r="BP394" t="inlineStr">
        <is>
          <t>O,U</t>
        </is>
      </c>
      <c r="BQ394" t="inlineStr">
        <is>
          <t>Others</t>
        </is>
      </c>
      <c r="BS394" t="n">
        <v>3.440665550439514</v>
      </c>
      <c r="BT394" t="n">
        <v>0</v>
      </c>
      <c r="BV394" t="n">
        <v>3.440665550439514</v>
      </c>
      <c r="BY394" t="n">
        <v>164395</v>
      </c>
      <c r="BZ394" t="n">
        <v>3.440665550439514</v>
      </c>
      <c r="CP394" t="inlineStr">
        <is>
          <t>CSIG财务管理</t>
        </is>
      </c>
      <c r="CQ394" t="inlineStr">
        <is>
          <t>5,3</t>
        </is>
      </c>
      <c r="CR394" t="inlineStr">
        <is>
          <t>L2-2</t>
        </is>
      </c>
      <c r="CS394" t="inlineStr">
        <is>
          <t>Others</t>
        </is>
      </c>
      <c r="CT394" t="inlineStr">
        <is>
          <t>N</t>
        </is>
      </c>
    </row>
    <row r="395">
      <c r="A395" t="inlineStr">
        <is>
          <t>jamesLu(卢林)</t>
        </is>
      </c>
      <c r="C395" t="n">
        <v>93660466</v>
      </c>
      <c r="D395" t="inlineStr">
        <is>
          <t>S2人力资源中心</t>
        </is>
      </c>
      <c r="E395" t="inlineStr">
        <is>
          <t>S2人力资源中心</t>
        </is>
      </c>
      <c r="G395" t="inlineStr">
        <is>
          <t>S2职能系统－财经线/S2人力资源中心</t>
        </is>
      </c>
      <c r="H395" s="188" t="n">
        <v>45111</v>
      </c>
      <c r="I395" t="inlineStr">
        <is>
          <t>社会招聘</t>
        </is>
      </c>
      <c r="J395" t="inlineStr">
        <is>
          <t>财经类－FN</t>
        </is>
      </c>
      <c r="K395" t="inlineStr">
        <is>
          <t>财经系统交付管理</t>
        </is>
      </c>
      <c r="M395" t="inlineStr">
        <is>
          <t>L3-3</t>
        </is>
      </c>
      <c r="N395" t="inlineStr">
        <is>
          <t>T1#</t>
        </is>
      </c>
      <c r="Q395" t="inlineStr">
        <is>
          <t>G,G</t>
        </is>
      </c>
      <c r="U395" t="n">
        <v>67274.3</v>
      </c>
      <c r="V395" t="n">
        <v>0.083333</v>
      </c>
      <c r="W395" t="inlineStr">
        <is>
          <t>CNY</t>
        </is>
      </c>
      <c r="X395" t="n">
        <v>1</v>
      </c>
      <c r="Y395" t="n">
        <v>61094.72</v>
      </c>
      <c r="Z395" t="n">
        <v>0</v>
      </c>
      <c r="AA395" t="n">
        <v>134548.6</v>
      </c>
      <c r="AF395" t="n">
        <v>39600</v>
      </c>
      <c r="AG395" t="n">
        <v>451448.6</v>
      </c>
      <c r="AH395" t="n">
        <v>7.389322677966279</v>
      </c>
      <c r="AJ395" t="n">
        <v>8.037496529978368</v>
      </c>
      <c r="AK395" t="n">
        <v>6.404049318828206</v>
      </c>
      <c r="AQ395" t="n">
        <v>491048.6</v>
      </c>
      <c r="AR395" t="n">
        <v>8.037496529978368</v>
      </c>
      <c r="AS395" t="n">
        <v>18.15336783733826</v>
      </c>
      <c r="BL395" t="n">
        <v>0.493150684931506</v>
      </c>
      <c r="BM395" t="n">
        <v>54860</v>
      </c>
      <c r="BN395" t="n">
        <v>0</v>
      </c>
      <c r="BO395" t="n">
        <v>54860</v>
      </c>
      <c r="BP395" t="inlineStr">
        <is>
          <t>N,G</t>
        </is>
      </c>
      <c r="BQ395" t="inlineStr">
        <is>
          <t>T2</t>
        </is>
      </c>
      <c r="BS395" t="n">
        <v>0.493073277433467</v>
      </c>
      <c r="BT395" t="n">
        <v>0</v>
      </c>
      <c r="BV395" t="n">
        <v>0.493073277433467</v>
      </c>
      <c r="BY395" t="n">
        <v>27050</v>
      </c>
      <c r="BZ395" t="n">
        <v>0.493073277433467</v>
      </c>
      <c r="CP395" t="inlineStr">
        <is>
          <t>S2人力资源中心</t>
        </is>
      </c>
      <c r="CQ395" t="inlineStr">
        <is>
          <t>3,3</t>
        </is>
      </c>
      <c r="CR395" t="inlineStr">
        <is>
          <t>L3-3</t>
        </is>
      </c>
      <c r="CS395" t="inlineStr">
        <is>
          <t>T1#</t>
        </is>
      </c>
      <c r="CT395" t="inlineStr">
        <is>
          <t>N</t>
        </is>
      </c>
    </row>
    <row r="396">
      <c r="A396" t="inlineStr">
        <is>
          <t>madelynQiu(邱红芳)</t>
        </is>
      </c>
      <c r="C396" t="n">
        <v>56979741</v>
      </c>
      <c r="D396" t="inlineStr">
        <is>
          <t>风险管理和内部控制</t>
        </is>
      </c>
      <c r="E396" t="inlineStr">
        <is>
          <t>CSIG风控中心</t>
        </is>
      </c>
      <c r="G396" t="inlineStr">
        <is>
          <t>S2职能系统－财经线/风险管理和内部控制/CSIG风控中心</t>
        </is>
      </c>
      <c r="H396" s="188" t="n">
        <v>44132</v>
      </c>
      <c r="I396" t="inlineStr">
        <is>
          <t>社会招聘</t>
        </is>
      </c>
      <c r="J396" t="inlineStr">
        <is>
          <t>财经类－FN</t>
        </is>
      </c>
      <c r="K396" t="inlineStr">
        <is>
          <t>风险管理</t>
        </is>
      </c>
      <c r="L396" t="inlineStr">
        <is>
          <t>S11</t>
        </is>
      </c>
      <c r="N396" t="inlineStr">
        <is>
          <t>T2</t>
        </is>
      </c>
      <c r="Q396" t="inlineStr">
        <is>
          <t>G,G</t>
        </is>
      </c>
      <c r="U396" t="n">
        <v>48671.85</v>
      </c>
      <c r="V396" t="n">
        <v>0.083333</v>
      </c>
      <c r="W396" t="inlineStr">
        <is>
          <t>CNY</t>
        </is>
      </c>
      <c r="X396" t="n">
        <v>1</v>
      </c>
      <c r="Y396" t="n">
        <v>43967.94</v>
      </c>
      <c r="Z396" t="n">
        <v>0</v>
      </c>
      <c r="AA396" t="n">
        <v>97343.7</v>
      </c>
      <c r="AF396" t="n">
        <v>0</v>
      </c>
      <c r="AG396" t="n">
        <v>167498.7</v>
      </c>
      <c r="AH396" t="n">
        <v>3.809564423532237</v>
      </c>
      <c r="AJ396" t="n">
        <v>3.809564423532237</v>
      </c>
      <c r="AK396" t="n">
        <v>3.809564423532237</v>
      </c>
      <c r="AQ396" t="n">
        <v>167498.7</v>
      </c>
      <c r="AR396" t="n">
        <v>3.809564423532237</v>
      </c>
      <c r="AS396" t="n">
        <v>0.9042985558105008</v>
      </c>
      <c r="BL396" t="n">
        <v>1</v>
      </c>
      <c r="BM396" t="n">
        <v>39605</v>
      </c>
      <c r="BN396" t="n">
        <v>0</v>
      </c>
      <c r="BO396" t="n">
        <v>41330</v>
      </c>
      <c r="BP396" t="inlineStr">
        <is>
          <t>O,G</t>
        </is>
      </c>
      <c r="BQ396" t="inlineStr">
        <is>
          <t>T2</t>
        </is>
      </c>
      <c r="BS396" t="n">
        <v>4.676808483777301</v>
      </c>
      <c r="BT396" t="n">
        <v>0</v>
      </c>
      <c r="BV396" t="n">
        <v>4.676808483777301</v>
      </c>
      <c r="BY396" t="n">
        <v>185225</v>
      </c>
      <c r="BZ396" t="n">
        <v>4.676808483777301</v>
      </c>
      <c r="CP396" t="inlineStr">
        <is>
          <t>风险管理和内部控制</t>
        </is>
      </c>
      <c r="CQ396" t="inlineStr">
        <is>
          <t>3,3</t>
        </is>
      </c>
      <c r="CR396" t="n">
        <v>11</v>
      </c>
      <c r="CS396" t="inlineStr">
        <is>
          <t>T2</t>
        </is>
      </c>
      <c r="CT396" t="inlineStr">
        <is>
          <t>N</t>
        </is>
      </c>
    </row>
    <row r="397">
      <c r="A397" t="inlineStr">
        <is>
          <t>audreyZheng(郑倩曼)</t>
        </is>
      </c>
      <c r="C397" t="n">
        <v>69167935</v>
      </c>
      <c r="D397" t="inlineStr">
        <is>
          <t>财会及报告管理部</t>
        </is>
      </c>
      <c r="E397" t="inlineStr">
        <is>
          <t>海外财会管理中心</t>
        </is>
      </c>
      <c r="G397" t="inlineStr">
        <is>
          <t>S2职能系统－财经线/财会及报告管理部/海外财会管理中心</t>
        </is>
      </c>
      <c r="H397" s="188" t="n">
        <v>41640</v>
      </c>
      <c r="I397" t="inlineStr">
        <is>
          <t>社会招聘</t>
        </is>
      </c>
      <c r="J397" t="inlineStr">
        <is>
          <t>财经类－FN</t>
        </is>
      </c>
      <c r="K397" t="inlineStr">
        <is>
          <t>会计</t>
        </is>
      </c>
      <c r="L397" t="inlineStr">
        <is>
          <t>S9</t>
        </is>
      </c>
      <c r="N397" t="inlineStr">
        <is>
          <t>T2</t>
        </is>
      </c>
      <c r="Q397" t="inlineStr">
        <is>
          <t>G,G</t>
        </is>
      </c>
      <c r="U397" t="n">
        <v>50361.25</v>
      </c>
      <c r="V397" t="n">
        <v>0.083333</v>
      </c>
      <c r="W397" t="inlineStr">
        <is>
          <t>CNY</t>
        </is>
      </c>
      <c r="X397" t="n">
        <v>1</v>
      </c>
      <c r="Y397" t="n">
        <v>47905.35</v>
      </c>
      <c r="Z397" t="n">
        <v>0</v>
      </c>
      <c r="AA397" t="n">
        <v>100722.5</v>
      </c>
      <c r="AF397" t="n">
        <v>0</v>
      </c>
      <c r="AG397" t="n">
        <v>159617.5</v>
      </c>
      <c r="AH397" t="n">
        <v>3.331934742153016</v>
      </c>
      <c r="AJ397" t="n">
        <v>3.331934742153016</v>
      </c>
      <c r="AK397" t="n">
        <v>3.331934742153016</v>
      </c>
      <c r="AQ397" t="n">
        <v>159617.5</v>
      </c>
      <c r="AR397" t="n">
        <v>3.331934742153016</v>
      </c>
      <c r="AS397" t="n">
        <v>1.568722358722359</v>
      </c>
      <c r="BL397" t="n">
        <v>1</v>
      </c>
      <c r="BM397" t="n">
        <v>40965</v>
      </c>
      <c r="BN397" t="n">
        <v>0</v>
      </c>
      <c r="BO397" t="n">
        <v>44505</v>
      </c>
      <c r="BP397" t="inlineStr">
        <is>
          <t>G,U</t>
        </is>
      </c>
      <c r="BQ397" t="inlineStr">
        <is>
          <t>T2</t>
        </is>
      </c>
      <c r="BS397" t="n">
        <v>2.483827657756621</v>
      </c>
      <c r="BT397" t="n">
        <v>0</v>
      </c>
      <c r="BV397" t="n">
        <v>2.483827657756621</v>
      </c>
      <c r="BY397" t="n">
        <v>101750</v>
      </c>
      <c r="BZ397" t="n">
        <v>2.483827657756621</v>
      </c>
      <c r="CP397" t="inlineStr">
        <is>
          <t>财会及报告管理部</t>
        </is>
      </c>
      <c r="CQ397" t="inlineStr">
        <is>
          <t>3,3</t>
        </is>
      </c>
      <c r="CR397" t="n">
        <v>9</v>
      </c>
      <c r="CS397" t="inlineStr">
        <is>
          <t>T2</t>
        </is>
      </c>
      <c r="CT397" t="inlineStr">
        <is>
          <t>N</t>
        </is>
      </c>
    </row>
    <row r="398">
      <c r="A398" t="inlineStr">
        <is>
          <t>sophieYao(姚素)</t>
        </is>
      </c>
      <c r="C398" t="n">
        <v>76787031</v>
      </c>
      <c r="D398" t="inlineStr">
        <is>
          <t>CDG财务管理</t>
        </is>
      </c>
      <c r="E398" t="inlineStr">
        <is>
          <t>子公司财务管理组</t>
        </is>
      </c>
      <c r="G398" t="inlineStr">
        <is>
          <t>S2职能系统－财经线/CDG财务管理/子公司财务管理组</t>
        </is>
      </c>
      <c r="H398" s="188" t="n">
        <v>40524</v>
      </c>
      <c r="I398" t="inlineStr">
        <is>
          <t>高校招聘</t>
        </is>
      </c>
      <c r="J398" t="inlineStr">
        <is>
          <t>财经类－FN</t>
        </is>
      </c>
      <c r="K398" t="inlineStr">
        <is>
          <t>财务管理</t>
        </is>
      </c>
      <c r="L398" t="inlineStr">
        <is>
          <t>S6</t>
        </is>
      </c>
      <c r="N398" t="inlineStr">
        <is>
          <t>T1</t>
        </is>
      </c>
      <c r="Q398" t="inlineStr">
        <is>
          <t>G,G</t>
        </is>
      </c>
      <c r="U398" t="n">
        <v>24060.1</v>
      </c>
      <c r="V398" t="n">
        <v>0.083333</v>
      </c>
      <c r="W398" t="inlineStr">
        <is>
          <t>CNY</t>
        </is>
      </c>
      <c r="X398" t="n">
        <v>1</v>
      </c>
      <c r="Y398" t="n">
        <v>22473.7</v>
      </c>
      <c r="Z398" t="n">
        <v>0</v>
      </c>
      <c r="AA398" t="n">
        <v>48120.2</v>
      </c>
      <c r="AF398" t="n">
        <v>0</v>
      </c>
      <c r="AG398" t="n">
        <v>143940.2</v>
      </c>
      <c r="AH398" t="n">
        <v>6.404828755389634</v>
      </c>
      <c r="AJ398" t="n">
        <v>6.404828755389634</v>
      </c>
      <c r="AK398" t="n">
        <v>4.746890810146971</v>
      </c>
      <c r="AQ398" t="n">
        <v>143940.2</v>
      </c>
      <c r="AR398" t="n">
        <v>6.404828755389634</v>
      </c>
      <c r="AS398" t="n">
        <v>1.397409834474055</v>
      </c>
      <c r="BL398" t="n">
        <v>1</v>
      </c>
      <c r="BM398" t="n">
        <v>19800</v>
      </c>
      <c r="BN398" t="n">
        <v>0</v>
      </c>
      <c r="BO398" t="n">
        <v>20855</v>
      </c>
      <c r="BP398" t="inlineStr">
        <is>
          <t>G,G</t>
        </is>
      </c>
      <c r="BQ398" t="inlineStr">
        <is>
          <t>T1</t>
        </is>
      </c>
      <c r="BS398" t="n">
        <v>3.547727272727273</v>
      </c>
      <c r="BT398" t="n">
        <v>32760</v>
      </c>
      <c r="BV398" t="n">
        <v>5.202272727272727</v>
      </c>
      <c r="BY398" t="n">
        <v>103005</v>
      </c>
      <c r="BZ398" t="n">
        <v>5.202272727272727</v>
      </c>
      <c r="CP398" t="inlineStr">
        <is>
          <t>CDG财务管理</t>
        </is>
      </c>
      <c r="CQ398" t="inlineStr">
        <is>
          <t>3,3</t>
        </is>
      </c>
      <c r="CR398" t="n">
        <v>6</v>
      </c>
      <c r="CS398" t="inlineStr">
        <is>
          <t>T1</t>
        </is>
      </c>
      <c r="CT398" t="inlineStr">
        <is>
          <t>N</t>
        </is>
      </c>
    </row>
    <row r="399">
      <c r="A399" t="inlineStr">
        <is>
          <t>davidJin(金梓)</t>
        </is>
      </c>
      <c r="C399" t="n">
        <v>96738183</v>
      </c>
      <c r="D399" t="inlineStr">
        <is>
          <t>在线视频财务管理中心</t>
        </is>
      </c>
      <c r="E399" t="inlineStr">
        <is>
          <t>OVB长视频财务管理组</t>
        </is>
      </c>
      <c r="G399" t="inlineStr">
        <is>
          <t>S2职能系统－财经线/在线视频财务管理中心/OVB长视频财务管理组</t>
        </is>
      </c>
      <c r="H399" s="188" t="n">
        <v>39318</v>
      </c>
      <c r="I399" t="inlineStr">
        <is>
          <t>社会招聘</t>
        </is>
      </c>
      <c r="J399" t="inlineStr">
        <is>
          <t>财经类－FN</t>
        </is>
      </c>
      <c r="K399" t="inlineStr">
        <is>
          <t>财务管理</t>
        </is>
      </c>
      <c r="L399" t="inlineStr">
        <is>
          <t>S8</t>
        </is>
      </c>
      <c r="N399" t="inlineStr">
        <is>
          <t>T2</t>
        </is>
      </c>
      <c r="Q399" t="inlineStr">
        <is>
          <t>O,G</t>
        </is>
      </c>
      <c r="U399" t="n">
        <v>51939.25</v>
      </c>
      <c r="V399" t="n">
        <v>0.083333</v>
      </c>
      <c r="W399" t="inlineStr">
        <is>
          <t>CNY</t>
        </is>
      </c>
      <c r="X399" t="n">
        <v>1</v>
      </c>
      <c r="Y399" t="n">
        <v>47775.06</v>
      </c>
      <c r="Z399" t="n">
        <v>0</v>
      </c>
      <c r="AA399" t="n">
        <v>155817.75</v>
      </c>
      <c r="AF399" t="n">
        <v>0</v>
      </c>
      <c r="AG399" t="n">
        <v>223837.75</v>
      </c>
      <c r="AH399" t="n">
        <v>4.685242676827617</v>
      </c>
      <c r="AJ399" t="n">
        <v>4.685242676827617</v>
      </c>
      <c r="AK399" t="n">
        <v>4.685242676827617</v>
      </c>
      <c r="AQ399" t="n">
        <v>223837.75</v>
      </c>
      <c r="AR399" t="n">
        <v>4.685242676827617</v>
      </c>
      <c r="AS399" t="n">
        <v>1.389692369777116</v>
      </c>
      <c r="BL399" t="n">
        <v>1</v>
      </c>
      <c r="BM399" t="n">
        <v>44105</v>
      </c>
      <c r="BN399" t="n">
        <v>0</v>
      </c>
      <c r="BO399" t="n">
        <v>46375</v>
      </c>
      <c r="BP399" t="inlineStr">
        <is>
          <t>G,G</t>
        </is>
      </c>
      <c r="BQ399" t="inlineStr">
        <is>
          <t>T2</t>
        </is>
      </c>
      <c r="BS399" t="n">
        <v>3.651966897177191</v>
      </c>
      <c r="BT399" t="n">
        <v>0</v>
      </c>
      <c r="BV399" t="n">
        <v>3.651966897177191</v>
      </c>
      <c r="BY399" t="n">
        <v>161070</v>
      </c>
      <c r="BZ399" t="n">
        <v>3.651966897177191</v>
      </c>
      <c r="CP399" t="inlineStr">
        <is>
          <t>在线视频财务管理中心</t>
        </is>
      </c>
      <c r="CQ399" t="inlineStr">
        <is>
          <t>5,3</t>
        </is>
      </c>
      <c r="CR399" t="n">
        <v>8</v>
      </c>
      <c r="CS399" t="inlineStr">
        <is>
          <t>T2</t>
        </is>
      </c>
      <c r="CT399" t="inlineStr">
        <is>
          <t>N</t>
        </is>
      </c>
    </row>
    <row r="400">
      <c r="A400" t="inlineStr">
        <is>
          <t>masonZheng(郑天卓)</t>
        </is>
      </c>
      <c r="C400" t="n">
        <v>83187800</v>
      </c>
      <c r="D400" t="inlineStr">
        <is>
          <t>财会及报告管理部</t>
        </is>
      </c>
      <c r="E400" t="inlineStr">
        <is>
          <t>专业支持中心</t>
        </is>
      </c>
      <c r="G400" t="inlineStr">
        <is>
          <t>S2职能系统－财经线/财会及报告管理部/专业支持中心</t>
        </is>
      </c>
      <c r="H400" s="188" t="n">
        <v>44842</v>
      </c>
      <c r="I400" t="inlineStr">
        <is>
          <t>社会招聘</t>
        </is>
      </c>
      <c r="J400" t="inlineStr">
        <is>
          <t>财经类－FN</t>
        </is>
      </c>
      <c r="K400" t="inlineStr">
        <is>
          <t>会计</t>
        </is>
      </c>
      <c r="L400" t="inlineStr">
        <is>
          <t>S6</t>
        </is>
      </c>
      <c r="N400" t="inlineStr">
        <is>
          <t>T1#</t>
        </is>
      </c>
      <c r="Q400" t="inlineStr">
        <is>
          <t>G,G</t>
        </is>
      </c>
      <c r="U400" t="n">
        <v>33236.55</v>
      </c>
      <c r="V400" t="n">
        <v>0.083333</v>
      </c>
      <c r="W400" t="inlineStr">
        <is>
          <t>CNY</t>
        </is>
      </c>
      <c r="X400" t="n">
        <v>1</v>
      </c>
      <c r="Y400" t="n">
        <v>31065.45</v>
      </c>
      <c r="Z400" t="n">
        <v>0</v>
      </c>
      <c r="AA400" t="n">
        <v>66473.10000000001</v>
      </c>
      <c r="AF400" t="n">
        <v>0</v>
      </c>
      <c r="AG400" t="n">
        <v>234338.1</v>
      </c>
      <c r="AH400" t="n">
        <v>7.543367309985852</v>
      </c>
      <c r="AJ400" t="n">
        <v>7.543367309985852</v>
      </c>
      <c r="AK400" t="n">
        <v>5.794640026138363</v>
      </c>
      <c r="AQ400" t="n">
        <v>234338.1</v>
      </c>
      <c r="AR400" t="n">
        <v>7.543367309985852</v>
      </c>
      <c r="AS400" t="n">
        <v>0.9796948096741153</v>
      </c>
      <c r="BL400" t="n">
        <v>1</v>
      </c>
      <c r="BM400" t="n">
        <v>29630</v>
      </c>
      <c r="BN400" t="n">
        <v>0</v>
      </c>
      <c r="BO400" t="n">
        <v>30305</v>
      </c>
      <c r="BP400" t="inlineStr">
        <is>
          <t>G,O</t>
        </is>
      </c>
      <c r="BQ400" t="inlineStr">
        <is>
          <t>T1#</t>
        </is>
      </c>
      <c r="BS400" t="n">
        <v>6.201991225109686</v>
      </c>
      <c r="BT400" t="n">
        <v>55430</v>
      </c>
      <c r="BV400" t="n">
        <v>8.07273034087074</v>
      </c>
      <c r="BY400" t="n">
        <v>239195</v>
      </c>
      <c r="BZ400" t="n">
        <v>8.07273034087074</v>
      </c>
      <c r="CP400" t="inlineStr">
        <is>
          <t>财会及报告管理部</t>
        </is>
      </c>
      <c r="CQ400" t="inlineStr">
        <is>
          <t>3,3</t>
        </is>
      </c>
      <c r="CR400" t="n">
        <v>6</v>
      </c>
      <c r="CS400" t="inlineStr">
        <is>
          <t>T1#</t>
        </is>
      </c>
      <c r="CT400" t="inlineStr">
        <is>
          <t>N</t>
        </is>
      </c>
    </row>
    <row r="401">
      <c r="A401" t="inlineStr">
        <is>
          <t>raymondXiong(熊勇)</t>
        </is>
      </c>
      <c r="C401" t="n">
        <v>44112239</v>
      </c>
      <c r="D401" t="inlineStr">
        <is>
          <t>CFO办公室</t>
        </is>
      </c>
      <c r="E401" t="inlineStr">
        <is>
          <t>集团个税及综合项目组</t>
        </is>
      </c>
      <c r="G401" t="inlineStr">
        <is>
          <t>S2职能系统－财经线/CFO办公室/集团个税及综合项目组</t>
        </is>
      </c>
      <c r="H401" s="188" t="n">
        <v>38331</v>
      </c>
      <c r="I401" t="inlineStr">
        <is>
          <t>高校招聘</t>
        </is>
      </c>
      <c r="J401" t="inlineStr">
        <is>
          <t>财经类－FN</t>
        </is>
      </c>
      <c r="K401" t="inlineStr">
        <is>
          <t>投资者关系</t>
        </is>
      </c>
      <c r="L401" t="inlineStr">
        <is>
          <t>S10</t>
        </is>
      </c>
      <c r="N401" t="inlineStr">
        <is>
          <t>T1</t>
        </is>
      </c>
      <c r="Q401" t="inlineStr">
        <is>
          <t>G,G</t>
        </is>
      </c>
      <c r="U401" t="n">
        <v>37724.7</v>
      </c>
      <c r="V401" t="n">
        <v>0.083333</v>
      </c>
      <c r="W401" t="inlineStr">
        <is>
          <t>CNY</t>
        </is>
      </c>
      <c r="X401" t="n">
        <v>1</v>
      </c>
      <c r="Y401" t="n">
        <v>37289.34</v>
      </c>
      <c r="Z401" t="n">
        <v>0</v>
      </c>
      <c r="AA401" t="n">
        <v>75449.39999999999</v>
      </c>
      <c r="AF401" t="n">
        <v>0</v>
      </c>
      <c r="AG401" t="n">
        <v>226219.4</v>
      </c>
      <c r="AH401" t="n">
        <v>6.06659704891532</v>
      </c>
      <c r="AJ401" t="n">
        <v>6.06659704891532</v>
      </c>
      <c r="AK401" t="n">
        <v>4.08157934680528</v>
      </c>
      <c r="AQ401" t="n">
        <v>226219.4</v>
      </c>
      <c r="AR401" t="n">
        <v>6.06659704891532</v>
      </c>
      <c r="AS401" t="n">
        <v>1.396890302263114</v>
      </c>
      <c r="BL401" t="n">
        <v>1</v>
      </c>
      <c r="BM401" t="n">
        <v>32345</v>
      </c>
      <c r="BN401" t="n">
        <v>0</v>
      </c>
      <c r="BO401" t="n">
        <v>34485</v>
      </c>
      <c r="BP401" t="inlineStr">
        <is>
          <t>G,G</t>
        </is>
      </c>
      <c r="BQ401" t="inlineStr">
        <is>
          <t>T1</t>
        </is>
      </c>
      <c r="BS401" t="n">
        <v>3.599938166640903</v>
      </c>
      <c r="BT401" t="n">
        <v>45505</v>
      </c>
      <c r="BV401" t="n">
        <v>5.006801669500696</v>
      </c>
      <c r="BY401" t="n">
        <v>161945</v>
      </c>
      <c r="BZ401" t="n">
        <v>5.006801669500696</v>
      </c>
      <c r="CP401" t="inlineStr">
        <is>
          <t>CFO办公室</t>
        </is>
      </c>
      <c r="CQ401" t="inlineStr">
        <is>
          <t>3,3</t>
        </is>
      </c>
      <c r="CR401" t="n">
        <v>10</v>
      </c>
      <c r="CS401" t="inlineStr">
        <is>
          <t>T1</t>
        </is>
      </c>
      <c r="CT401" t="inlineStr">
        <is>
          <t>N</t>
        </is>
      </c>
    </row>
    <row r="402">
      <c r="A402" t="inlineStr">
        <is>
          <t>jordanFang(方骏晨)</t>
        </is>
      </c>
      <c r="C402" t="n">
        <v>6851318</v>
      </c>
      <c r="D402" t="inlineStr">
        <is>
          <t>FiT财务管理</t>
        </is>
      </c>
      <c r="E402" t="inlineStr">
        <is>
          <t>业务支持与分析中心</t>
        </is>
      </c>
      <c r="G402" t="inlineStr">
        <is>
          <t>S2职能系统－财经线/FiT财务管理/业务支持与分析中心</t>
        </is>
      </c>
      <c r="H402" s="188" t="n">
        <v>41970</v>
      </c>
      <c r="I402" t="inlineStr">
        <is>
          <t>高校招聘</t>
        </is>
      </c>
      <c r="J402" t="inlineStr">
        <is>
          <t>财经类－FN</t>
        </is>
      </c>
      <c r="K402" t="inlineStr">
        <is>
          <t>财务管理</t>
        </is>
      </c>
      <c r="L402" t="inlineStr">
        <is>
          <t>S8</t>
        </is>
      </c>
      <c r="N402" t="inlineStr">
        <is>
          <t>T1</t>
        </is>
      </c>
      <c r="Q402" t="inlineStr">
        <is>
          <t>U,G</t>
        </is>
      </c>
      <c r="U402" t="n">
        <v>28631.4</v>
      </c>
      <c r="V402" t="n">
        <v>0.083333</v>
      </c>
      <c r="W402" t="inlineStr">
        <is>
          <t>CNY</t>
        </is>
      </c>
      <c r="X402" t="n">
        <v>1</v>
      </c>
      <c r="Y402" t="n">
        <v>28195.45</v>
      </c>
      <c r="Z402" t="n">
        <v>0</v>
      </c>
      <c r="AA402" t="n">
        <v>28631.4</v>
      </c>
      <c r="AF402" t="n">
        <v>0</v>
      </c>
      <c r="AG402" t="n">
        <v>97326.39999999999</v>
      </c>
      <c r="AH402" t="n">
        <v>3.451847727204212</v>
      </c>
      <c r="AJ402" t="n">
        <v>3.451847727204212</v>
      </c>
      <c r="AK402" t="n">
        <v>3.451847727204212</v>
      </c>
      <c r="AQ402" t="n">
        <v>97326.39999999999</v>
      </c>
      <c r="AR402" t="n">
        <v>3.451847727204212</v>
      </c>
      <c r="AS402" t="n">
        <v>0.8213198312236286</v>
      </c>
      <c r="BL402" t="n">
        <v>1</v>
      </c>
      <c r="BM402" t="n">
        <v>25125</v>
      </c>
      <c r="BN402" t="n">
        <v>0</v>
      </c>
      <c r="BO402" t="n">
        <v>27590</v>
      </c>
      <c r="BP402" t="inlineStr">
        <is>
          <t>G,G</t>
        </is>
      </c>
      <c r="BQ402" t="inlineStr">
        <is>
          <t>T1</t>
        </is>
      </c>
      <c r="BS402" t="n">
        <v>3.594228855721393</v>
      </c>
      <c r="BT402" t="n">
        <v>28195</v>
      </c>
      <c r="BV402" t="n">
        <v>4.716417910447761</v>
      </c>
      <c r="BY402" t="n">
        <v>118500</v>
      </c>
      <c r="BZ402" t="n">
        <v>4.716417910447761</v>
      </c>
      <c r="CP402" t="inlineStr">
        <is>
          <t>FiT财务管理</t>
        </is>
      </c>
      <c r="CQ402" t="inlineStr">
        <is>
          <t>3,1</t>
        </is>
      </c>
      <c r="CR402" t="n">
        <v>8</v>
      </c>
      <c r="CS402" t="inlineStr">
        <is>
          <t>T1</t>
        </is>
      </c>
      <c r="CT402" t="inlineStr">
        <is>
          <t>N</t>
        </is>
      </c>
    </row>
    <row r="403">
      <c r="A403" t="inlineStr">
        <is>
          <t>judithHong(洪璐茜)</t>
        </is>
      </c>
      <c r="C403" t="n">
        <v>86943353</v>
      </c>
      <c r="D403" t="inlineStr">
        <is>
          <t>风险管理和内部控制</t>
        </is>
      </c>
      <c r="E403" t="inlineStr">
        <is>
          <t>集团风控组</t>
        </is>
      </c>
      <c r="G403" t="inlineStr">
        <is>
          <t>S2职能系统－财经线/风险管理和内部控制/集团风控组</t>
        </is>
      </c>
      <c r="H403" s="188" t="n">
        <v>43084</v>
      </c>
      <c r="I403" t="inlineStr">
        <is>
          <t>社会招聘</t>
        </is>
      </c>
      <c r="J403" t="inlineStr">
        <is>
          <t>财经类－FN</t>
        </is>
      </c>
      <c r="K403" t="inlineStr">
        <is>
          <t>风险管理</t>
        </is>
      </c>
      <c r="L403" t="inlineStr">
        <is>
          <t>S10</t>
        </is>
      </c>
      <c r="N403" t="inlineStr">
        <is>
          <t>Others</t>
        </is>
      </c>
      <c r="Q403" t="inlineStr">
        <is>
          <t>G,O</t>
        </is>
      </c>
      <c r="U403" t="n">
        <v>44800.8</v>
      </c>
      <c r="V403" t="n">
        <v>0.083333</v>
      </c>
      <c r="W403" t="inlineStr">
        <is>
          <t>CNY</t>
        </is>
      </c>
      <c r="X403" t="n">
        <v>1</v>
      </c>
      <c r="Y403" t="n">
        <v>40613.72</v>
      </c>
      <c r="Z403" t="n">
        <v>0</v>
      </c>
      <c r="AA403" t="n">
        <v>134402.4</v>
      </c>
      <c r="AF403" t="n">
        <v>0</v>
      </c>
      <c r="AG403" t="n">
        <v>169147.4</v>
      </c>
      <c r="AH403" t="n">
        <v>4.164784708221753</v>
      </c>
      <c r="AJ403" t="n">
        <v>4.164784708221753</v>
      </c>
      <c r="AK403" t="n">
        <v>4.164784708221753</v>
      </c>
      <c r="AQ403" t="n">
        <v>169147.4</v>
      </c>
      <c r="AR403" t="n">
        <v>4.164784708221753</v>
      </c>
      <c r="AS403" t="n">
        <v>1.648047936863643</v>
      </c>
      <c r="BL403" t="n">
        <v>1</v>
      </c>
      <c r="BM403" t="n">
        <v>40260</v>
      </c>
      <c r="BN403" t="n">
        <v>0</v>
      </c>
      <c r="BO403" t="n">
        <v>43050</v>
      </c>
      <c r="BP403" t="inlineStr">
        <is>
          <t>U,G</t>
        </is>
      </c>
      <c r="BQ403" t="inlineStr">
        <is>
          <t>T1</t>
        </is>
      </c>
      <c r="BS403" t="n">
        <v>2.549304520615996</v>
      </c>
      <c r="BT403" t="n">
        <v>0</v>
      </c>
      <c r="BV403" t="n">
        <v>2.549304520615996</v>
      </c>
      <c r="BY403" t="n">
        <v>102635</v>
      </c>
      <c r="BZ403" t="n">
        <v>2.549304520615996</v>
      </c>
      <c r="CP403" t="inlineStr">
        <is>
          <t>风险管理和内部控制</t>
        </is>
      </c>
      <c r="CQ403" t="inlineStr">
        <is>
          <t>5,3</t>
        </is>
      </c>
      <c r="CR403" t="n">
        <v>10</v>
      </c>
      <c r="CS403" t="inlineStr">
        <is>
          <t>Others</t>
        </is>
      </c>
      <c r="CT403" t="inlineStr">
        <is>
          <t>N</t>
        </is>
      </c>
    </row>
    <row r="404">
      <c r="A404" t="inlineStr">
        <is>
          <t>charlesJia(贾宇)</t>
        </is>
      </c>
      <c r="C404" t="n">
        <v>95935375</v>
      </c>
      <c r="D404" t="inlineStr">
        <is>
          <t>CDG财务管理</t>
        </is>
      </c>
      <c r="E404" t="inlineStr">
        <is>
          <t>综合财务管理中心</t>
        </is>
      </c>
      <c r="G404" t="inlineStr">
        <is>
          <t>S2职能系统－财经线/CDG财务管理/综合财务管理中心</t>
        </is>
      </c>
      <c r="H404" s="188" t="n">
        <v>36514</v>
      </c>
      <c r="I404" t="inlineStr">
        <is>
          <t>社会招聘</t>
        </is>
      </c>
      <c r="J404" t="inlineStr">
        <is>
          <t>财经类－FN</t>
        </is>
      </c>
      <c r="K404" t="inlineStr">
        <is>
          <t>财务管理</t>
        </is>
      </c>
      <c r="L404" t="inlineStr">
        <is>
          <t>S8</t>
        </is>
      </c>
      <c r="N404" t="inlineStr">
        <is>
          <t>T2</t>
        </is>
      </c>
      <c r="Q404" t="inlineStr">
        <is>
          <t>O,G</t>
        </is>
      </c>
      <c r="U404" t="n">
        <v>31824.85</v>
      </c>
      <c r="V404" t="n">
        <v>0.083333</v>
      </c>
      <c r="W404" t="inlineStr">
        <is>
          <t>CNY</t>
        </is>
      </c>
      <c r="X404" t="n">
        <v>1</v>
      </c>
      <c r="Y404" t="n">
        <v>29139.35</v>
      </c>
      <c r="Z404" t="n">
        <v>0</v>
      </c>
      <c r="AA404" t="n">
        <v>95474.55</v>
      </c>
      <c r="AF404" t="n">
        <v>0</v>
      </c>
      <c r="AG404" t="n">
        <v>135274.55</v>
      </c>
      <c r="AH404" t="n">
        <v>4.642332447360699</v>
      </c>
      <c r="AJ404" t="n">
        <v>4.642332447360699</v>
      </c>
      <c r="AK404" t="n">
        <v>4.642332447360699</v>
      </c>
      <c r="AQ404" t="n">
        <v>135274.55</v>
      </c>
      <c r="AR404" t="n">
        <v>4.642332447360699</v>
      </c>
      <c r="AS404" t="n">
        <v>1.28508573599962</v>
      </c>
      <c r="BL404" t="n">
        <v>1</v>
      </c>
      <c r="BM404" t="n">
        <v>28410</v>
      </c>
      <c r="BN404" t="n">
        <v>0</v>
      </c>
      <c r="BO404" t="n">
        <v>30290</v>
      </c>
      <c r="BP404" t="inlineStr">
        <is>
          <t>G,G</t>
        </is>
      </c>
      <c r="BQ404" t="inlineStr">
        <is>
          <t>T2</t>
        </is>
      </c>
      <c r="BS404" t="n">
        <v>3.705209433298135</v>
      </c>
      <c r="BT404" t="n">
        <v>0</v>
      </c>
      <c r="BV404" t="n">
        <v>3.705209433298135</v>
      </c>
      <c r="BY404" t="n">
        <v>105265</v>
      </c>
      <c r="BZ404" t="n">
        <v>3.705209433298135</v>
      </c>
      <c r="CP404" t="inlineStr">
        <is>
          <t>CDG财务管理</t>
        </is>
      </c>
      <c r="CQ404" t="inlineStr">
        <is>
          <t>5,3</t>
        </is>
      </c>
      <c r="CR404" t="n">
        <v>8</v>
      </c>
      <c r="CS404" t="inlineStr">
        <is>
          <t>T2</t>
        </is>
      </c>
      <c r="CT404" t="inlineStr">
        <is>
          <t>N</t>
        </is>
      </c>
    </row>
    <row r="405">
      <c r="A405" t="inlineStr">
        <is>
          <t>ryanWei(韦荣)</t>
        </is>
      </c>
      <c r="C405" t="n">
        <v>88478782</v>
      </c>
      <c r="D405" t="inlineStr">
        <is>
          <t>财经IT管理部</t>
        </is>
      </c>
      <c r="E405" t="inlineStr">
        <is>
          <t>平台建设中心</t>
        </is>
      </c>
      <c r="G405" t="inlineStr">
        <is>
          <t>S2职能系统－财经线/财经IT管理部/平台建设中心</t>
        </is>
      </c>
      <c r="H405" s="188" t="n">
        <v>39069</v>
      </c>
      <c r="I405" t="inlineStr">
        <is>
          <t>社会招聘</t>
        </is>
      </c>
      <c r="J405" t="inlineStr">
        <is>
          <t>技术研发类－TRD</t>
        </is>
      </c>
      <c r="K405" t="inlineStr">
        <is>
          <t>应用开发</t>
        </is>
      </c>
      <c r="L405" t="inlineStr">
        <is>
          <t>T5</t>
        </is>
      </c>
      <c r="N405" t="inlineStr">
        <is>
          <t>T1#</t>
        </is>
      </c>
      <c r="Q405" t="inlineStr">
        <is>
          <t>G,U</t>
        </is>
      </c>
      <c r="U405" t="n">
        <v>31038.9</v>
      </c>
      <c r="V405" t="n">
        <v>0.083333</v>
      </c>
      <c r="W405" t="inlineStr">
        <is>
          <t>CNY</t>
        </is>
      </c>
      <c r="X405" t="n">
        <v>1</v>
      </c>
      <c r="Y405" t="n">
        <v>29915.41</v>
      </c>
      <c r="Z405" t="n">
        <v>0</v>
      </c>
      <c r="AA405" t="n">
        <v>31038.9</v>
      </c>
      <c r="AF405" t="n">
        <v>0</v>
      </c>
      <c r="AG405" t="n">
        <v>129333.9</v>
      </c>
      <c r="AH405" t="n">
        <v>4.323320322201835</v>
      </c>
      <c r="AJ405" t="n">
        <v>4.323320322201835</v>
      </c>
      <c r="AK405" t="n">
        <v>4.323320322201835</v>
      </c>
      <c r="AQ405" t="n">
        <v>129333.9</v>
      </c>
      <c r="AR405" t="n">
        <v>4.323320322201835</v>
      </c>
      <c r="AS405" t="n">
        <v>0.5541891805034815</v>
      </c>
      <c r="BL405" t="n">
        <v>1</v>
      </c>
      <c r="BM405" t="n">
        <v>27900</v>
      </c>
      <c r="BN405" t="n">
        <v>0</v>
      </c>
      <c r="BO405" t="n">
        <v>29450</v>
      </c>
      <c r="BP405" t="inlineStr">
        <is>
          <t>G,O</t>
        </is>
      </c>
      <c r="BQ405" t="inlineStr">
        <is>
          <t>T1#</t>
        </is>
      </c>
      <c r="BS405" t="n">
        <v>6.73405017921147</v>
      </c>
      <c r="BT405" t="n">
        <v>45495</v>
      </c>
      <c r="BV405" t="n">
        <v>8.364695340501791</v>
      </c>
      <c r="BY405" t="n">
        <v>233375</v>
      </c>
      <c r="BZ405" t="n">
        <v>8.364695340501791</v>
      </c>
      <c r="CP405" t="inlineStr">
        <is>
          <t>财经IT管理部</t>
        </is>
      </c>
      <c r="CQ405" t="inlineStr">
        <is>
          <t>3,1</t>
        </is>
      </c>
      <c r="CR405" t="n">
        <v>5</v>
      </c>
      <c r="CS405" t="inlineStr">
        <is>
          <t>T1#</t>
        </is>
      </c>
      <c r="CT405" t="inlineStr">
        <is>
          <t>N</t>
        </is>
      </c>
    </row>
    <row r="406">
      <c r="A406" t="inlineStr">
        <is>
          <t>raymondWei(韦熙)</t>
        </is>
      </c>
      <c r="C406" t="n">
        <v>55954453</v>
      </c>
      <c r="D406" t="inlineStr">
        <is>
          <t>财经投资并购及管理部</t>
        </is>
      </c>
      <c r="E406" t="inlineStr">
        <is>
          <t>行业及项目管理中心</t>
        </is>
      </c>
      <c r="G406" t="inlineStr">
        <is>
          <t>S2职能系统－财经线/财经投资并购及管理部/行业及项目管理中心</t>
        </is>
      </c>
      <c r="H406" s="188" t="n">
        <v>44626</v>
      </c>
      <c r="I406" t="inlineStr">
        <is>
          <t>高校招聘</t>
        </is>
      </c>
      <c r="J406" t="inlineStr">
        <is>
          <t>财经类－FN</t>
        </is>
      </c>
      <c r="K406" t="inlineStr">
        <is>
          <t>投资并购</t>
        </is>
      </c>
      <c r="M406" t="inlineStr">
        <is>
          <t>L3-2</t>
        </is>
      </c>
      <c r="N406" t="inlineStr">
        <is>
          <t>T1#</t>
        </is>
      </c>
      <c r="Q406" t="inlineStr">
        <is>
          <t>G,O</t>
        </is>
      </c>
      <c r="U406" t="n">
        <v>63934.5</v>
      </c>
      <c r="V406" t="n">
        <v>0.083333</v>
      </c>
      <c r="W406" t="inlineStr">
        <is>
          <t>CNY</t>
        </is>
      </c>
      <c r="X406" t="n">
        <v>1</v>
      </c>
      <c r="Y406" t="n">
        <v>62127.06</v>
      </c>
      <c r="Z406" t="n">
        <v>0</v>
      </c>
      <c r="AA406" t="n">
        <v>191803.5</v>
      </c>
      <c r="AF406" t="n">
        <v>37795</v>
      </c>
      <c r="AG406" t="n">
        <v>494293.5</v>
      </c>
      <c r="AH406" t="n">
        <v>7.956170789346865</v>
      </c>
      <c r="AJ406" t="n">
        <v>8.564520838423707</v>
      </c>
      <c r="AK406" t="n">
        <v>6.964734851447984</v>
      </c>
      <c r="AQ406" t="n">
        <v>532088.5</v>
      </c>
      <c r="AR406" t="n">
        <v>8.564520838423707</v>
      </c>
      <c r="AS406" t="n">
        <v>1.980896094709802</v>
      </c>
      <c r="BL406" t="n">
        <v>1</v>
      </c>
      <c r="BM406" t="n">
        <v>54825</v>
      </c>
      <c r="BN406" t="n">
        <v>0</v>
      </c>
      <c r="BO406" t="n">
        <v>60235</v>
      </c>
      <c r="BP406" t="inlineStr">
        <is>
          <t>U,G</t>
        </is>
      </c>
      <c r="BQ406" t="inlineStr">
        <is>
          <t>T1#</t>
        </is>
      </c>
      <c r="BS406" t="n">
        <v>4.899407204742362</v>
      </c>
      <c r="BT406" t="n">
        <v>0</v>
      </c>
      <c r="BV406" t="n">
        <v>4.899407204742362</v>
      </c>
      <c r="BY406" t="n">
        <v>268610</v>
      </c>
      <c r="BZ406" t="n">
        <v>4.899407204742362</v>
      </c>
      <c r="CP406" t="inlineStr">
        <is>
          <t>财经投资并购及管理部</t>
        </is>
      </c>
      <c r="CQ406" t="inlineStr">
        <is>
          <t>5,3</t>
        </is>
      </c>
      <c r="CR406" t="inlineStr">
        <is>
          <t>L3-2</t>
        </is>
      </c>
      <c r="CS406" t="inlineStr">
        <is>
          <t>T1#</t>
        </is>
      </c>
      <c r="CT406" t="inlineStr">
        <is>
          <t>N</t>
        </is>
      </c>
    </row>
    <row r="407">
      <c r="A407" t="inlineStr">
        <is>
          <t>russellTian(田伟)</t>
        </is>
      </c>
      <c r="C407" t="n">
        <v>21696150</v>
      </c>
      <c r="D407" t="inlineStr">
        <is>
          <t>风险管理和内部控制</t>
        </is>
      </c>
      <c r="E407" t="inlineStr">
        <is>
          <t>PCG风控中心</t>
        </is>
      </c>
      <c r="G407" t="inlineStr">
        <is>
          <t>S2职能系统－财经线/风险管理和内部控制/PCG风控中心</t>
        </is>
      </c>
      <c r="H407" s="188" t="n">
        <v>43121</v>
      </c>
      <c r="I407" t="inlineStr">
        <is>
          <t>高校招聘</t>
        </is>
      </c>
      <c r="J407" t="inlineStr">
        <is>
          <t>财经类－FN</t>
        </is>
      </c>
      <c r="K407" t="inlineStr">
        <is>
          <t>风险管理</t>
        </is>
      </c>
      <c r="L407" t="inlineStr">
        <is>
          <t>S10</t>
        </is>
      </c>
      <c r="N407" t="inlineStr">
        <is>
          <t>Others</t>
        </is>
      </c>
      <c r="Q407" t="inlineStr">
        <is>
          <t>G,G</t>
        </is>
      </c>
      <c r="U407" t="n">
        <v>37807.3</v>
      </c>
      <c r="V407" t="n">
        <v>0.083333</v>
      </c>
      <c r="W407" t="inlineStr">
        <is>
          <t>CNY</t>
        </is>
      </c>
      <c r="X407" t="n">
        <v>1</v>
      </c>
      <c r="Y407" t="n">
        <v>34735.56</v>
      </c>
      <c r="Z407" t="n">
        <v>0</v>
      </c>
      <c r="AA407" t="n">
        <v>75614.60000000001</v>
      </c>
      <c r="AF407" t="n">
        <v>0</v>
      </c>
      <c r="AG407" t="n">
        <v>100724.6</v>
      </c>
      <c r="AH407" t="n">
        <v>2.899754603063835</v>
      </c>
      <c r="AJ407" t="n">
        <v>2.899754603063835</v>
      </c>
      <c r="AK407" t="n">
        <v>2.899754603063835</v>
      </c>
      <c r="AQ407" t="n">
        <v>100724.6</v>
      </c>
      <c r="AR407" t="n">
        <v>2.899754603063835</v>
      </c>
      <c r="AS407" t="n">
        <v>0.6854345015311331</v>
      </c>
      <c r="BL407" t="n">
        <v>1</v>
      </c>
      <c r="BM407" t="n">
        <v>32100</v>
      </c>
      <c r="BN407" t="n">
        <v>0</v>
      </c>
      <c r="BO407" t="n">
        <v>33000</v>
      </c>
      <c r="BP407" t="inlineStr">
        <is>
          <t>G,O</t>
        </is>
      </c>
      <c r="BQ407" t="inlineStr">
        <is>
          <t>Others</t>
        </is>
      </c>
      <c r="BS407" t="n">
        <v>4.577881619937695</v>
      </c>
      <c r="BT407" t="n">
        <v>0</v>
      </c>
      <c r="BV407" t="n">
        <v>4.577881619937695</v>
      </c>
      <c r="BY407" t="n">
        <v>146950</v>
      </c>
      <c r="BZ407" t="n">
        <v>4.577881619937695</v>
      </c>
      <c r="CP407" t="inlineStr">
        <is>
          <t>风险管理和内部控制</t>
        </is>
      </c>
      <c r="CQ407" t="inlineStr">
        <is>
          <t>3,3</t>
        </is>
      </c>
      <c r="CR407" t="n">
        <v>10</v>
      </c>
      <c r="CS407" t="inlineStr">
        <is>
          <t>Others</t>
        </is>
      </c>
      <c r="CT407" t="inlineStr">
        <is>
          <t>N</t>
        </is>
      </c>
    </row>
    <row r="408">
      <c r="A408" t="inlineStr">
        <is>
          <t>paulKang(康龙骏)</t>
        </is>
      </c>
      <c r="C408" t="n">
        <v>72934521</v>
      </c>
      <c r="D408" t="inlineStr">
        <is>
          <t>CSIG财务管理</t>
        </is>
      </c>
      <c r="E408" t="inlineStr">
        <is>
          <t>综合财务管理中心</t>
        </is>
      </c>
      <c r="G408" t="inlineStr">
        <is>
          <t>S2职能系统－财经线/CSIG财务管理/综合财务管理中心</t>
        </is>
      </c>
      <c r="H408" s="188" t="n">
        <v>43896</v>
      </c>
      <c r="I408" t="inlineStr">
        <is>
          <t>社会招聘</t>
        </is>
      </c>
      <c r="J408" t="inlineStr">
        <is>
          <t>财经类－FN</t>
        </is>
      </c>
      <c r="K408" t="inlineStr">
        <is>
          <t>财务管理</t>
        </is>
      </c>
      <c r="L408" t="inlineStr">
        <is>
          <t>S7</t>
        </is>
      </c>
      <c r="N408" t="inlineStr">
        <is>
          <t>T1#</t>
        </is>
      </c>
      <c r="Q408" t="inlineStr">
        <is>
          <t>G,G</t>
        </is>
      </c>
      <c r="U408" t="n">
        <v>33627.4</v>
      </c>
      <c r="V408" t="n">
        <v>0.083333</v>
      </c>
      <c r="W408" t="inlineStr">
        <is>
          <t>CNY</t>
        </is>
      </c>
      <c r="X408" t="n">
        <v>1</v>
      </c>
      <c r="Y408" t="n">
        <v>32732.33</v>
      </c>
      <c r="Z408" t="n">
        <v>0</v>
      </c>
      <c r="AA408" t="n">
        <v>67254.8</v>
      </c>
      <c r="AF408" t="n">
        <v>0</v>
      </c>
      <c r="AG408" t="n">
        <v>217944.8</v>
      </c>
      <c r="AH408" t="n">
        <v>6.658395537378487</v>
      </c>
      <c r="AJ408" t="n">
        <v>6.658395537378487</v>
      </c>
      <c r="AK408" t="n">
        <v>5.552302570577774</v>
      </c>
      <c r="AQ408" t="n">
        <v>217944.8</v>
      </c>
      <c r="AR408" t="n">
        <v>6.658395537378487</v>
      </c>
      <c r="AS408" t="n">
        <v>1.004076292269419</v>
      </c>
      <c r="BL408" t="n">
        <v>1</v>
      </c>
      <c r="BM408" t="n">
        <v>29525</v>
      </c>
      <c r="BN408" t="n">
        <v>0</v>
      </c>
      <c r="BO408" t="n">
        <v>32150</v>
      </c>
      <c r="BP408" t="inlineStr">
        <is>
          <t>G,G</t>
        </is>
      </c>
      <c r="BQ408" t="inlineStr">
        <is>
          <t>T1#</t>
        </is>
      </c>
      <c r="BS408" t="n">
        <v>5.563928873835732</v>
      </c>
      <c r="BT408" t="n">
        <v>52785</v>
      </c>
      <c r="BV408" t="n">
        <v>7.351735817104149</v>
      </c>
      <c r="BY408" t="n">
        <v>217060</v>
      </c>
      <c r="BZ408" t="n">
        <v>7.351735817104149</v>
      </c>
      <c r="CP408" t="inlineStr">
        <is>
          <t>CSIG财务管理</t>
        </is>
      </c>
      <c r="CQ408" t="inlineStr">
        <is>
          <t>3,3</t>
        </is>
      </c>
      <c r="CR408" t="n">
        <v>7</v>
      </c>
      <c r="CS408" t="inlineStr">
        <is>
          <t>T1#</t>
        </is>
      </c>
      <c r="CT408" t="inlineStr">
        <is>
          <t>N</t>
        </is>
      </c>
    </row>
    <row r="409">
      <c r="A409" t="inlineStr">
        <is>
          <t>tylerHuang(黄哲成)</t>
        </is>
      </c>
      <c r="C409" t="n">
        <v>35181081</v>
      </c>
      <c r="D409" t="inlineStr">
        <is>
          <t>财会及报告管理部</t>
        </is>
      </c>
      <c r="E409" t="inlineStr">
        <is>
          <t>供应商支付管理中心</t>
        </is>
      </c>
      <c r="G409" t="inlineStr">
        <is>
          <t>S2职能系统－财经线/财会及报告管理部/供应商支付管理中心</t>
        </is>
      </c>
      <c r="H409" s="188" t="n">
        <v>43861</v>
      </c>
      <c r="I409" t="inlineStr">
        <is>
          <t>高校招聘</t>
        </is>
      </c>
      <c r="J409" t="inlineStr">
        <is>
          <t>财经类－FN</t>
        </is>
      </c>
      <c r="K409" t="inlineStr">
        <is>
          <t>会计</t>
        </is>
      </c>
      <c r="L409" t="inlineStr">
        <is>
          <t>S9</t>
        </is>
      </c>
      <c r="N409" t="inlineStr">
        <is>
          <t>T2</t>
        </is>
      </c>
      <c r="Q409" t="inlineStr">
        <is>
          <t>G,G</t>
        </is>
      </c>
      <c r="U409" t="n">
        <v>56092.3</v>
      </c>
      <c r="V409" t="n">
        <v>0.083333</v>
      </c>
      <c r="W409" t="inlineStr">
        <is>
          <t>CNY</t>
        </is>
      </c>
      <c r="X409" t="n">
        <v>1</v>
      </c>
      <c r="Y409" t="n">
        <v>53475.04</v>
      </c>
      <c r="Z409" t="n">
        <v>0</v>
      </c>
      <c r="AA409" t="n">
        <v>112184.6</v>
      </c>
      <c r="AF409" t="n">
        <v>0</v>
      </c>
      <c r="AG409" t="n">
        <v>177204.6</v>
      </c>
      <c r="AH409" t="n">
        <v>3.313781532468232</v>
      </c>
      <c r="AJ409" t="n">
        <v>3.313781532468232</v>
      </c>
      <c r="AK409" t="n">
        <v>3.313781532468232</v>
      </c>
      <c r="AQ409" t="n">
        <v>177204.6</v>
      </c>
      <c r="AR409" t="n">
        <v>3.313781532468232</v>
      </c>
      <c r="AS409" t="n">
        <v>1.192614328498839</v>
      </c>
      <c r="BL409" t="n">
        <v>1</v>
      </c>
      <c r="BM409" t="n">
        <v>47885</v>
      </c>
      <c r="BN409" t="n">
        <v>0</v>
      </c>
      <c r="BO409" t="n">
        <v>48230</v>
      </c>
      <c r="BP409" t="inlineStr">
        <is>
          <t>G,G</t>
        </is>
      </c>
      <c r="BQ409" t="inlineStr">
        <is>
          <t>T2</t>
        </is>
      </c>
      <c r="BS409" t="n">
        <v>3.102954996345411</v>
      </c>
      <c r="BT409" t="n">
        <v>0</v>
      </c>
      <c r="BV409" t="n">
        <v>3.102954996345411</v>
      </c>
      <c r="BY409" t="n">
        <v>148585</v>
      </c>
      <c r="BZ409" t="n">
        <v>3.102954996345411</v>
      </c>
      <c r="CP409" t="inlineStr">
        <is>
          <t>财会及报告管理部</t>
        </is>
      </c>
      <c r="CQ409" t="inlineStr">
        <is>
          <t>3,3</t>
        </is>
      </c>
      <c r="CR409" t="n">
        <v>9</v>
      </c>
      <c r="CS409" t="inlineStr">
        <is>
          <t>T2</t>
        </is>
      </c>
      <c r="CT409" t="inlineStr">
        <is>
          <t>N</t>
        </is>
      </c>
    </row>
    <row r="410">
      <c r="A410" t="inlineStr">
        <is>
          <t>victoriaXu(徐英)</t>
        </is>
      </c>
      <c r="C410" t="n">
        <v>22937930</v>
      </c>
      <c r="D410" t="inlineStr">
        <is>
          <t>税务部</t>
        </is>
      </c>
      <c r="E410" t="inlineStr">
        <is>
          <t>印章及文档管理组</t>
        </is>
      </c>
      <c r="G410" t="inlineStr">
        <is>
          <t>S2职能系统－财经线/税务部/印章及文档管理组</t>
        </is>
      </c>
      <c r="H410" s="188" t="n">
        <v>38379</v>
      </c>
      <c r="I410" t="inlineStr">
        <is>
          <t>社会招聘</t>
        </is>
      </c>
      <c r="J410" t="inlineStr">
        <is>
          <t>财经类－FN</t>
        </is>
      </c>
      <c r="K410" t="inlineStr">
        <is>
          <t>税务</t>
        </is>
      </c>
      <c r="M410" t="inlineStr">
        <is>
          <t>L2-2</t>
        </is>
      </c>
      <c r="N410" t="inlineStr">
        <is>
          <t>T1</t>
        </is>
      </c>
      <c r="Q410" t="inlineStr">
        <is>
          <t>O,G</t>
        </is>
      </c>
      <c r="U410" t="n">
        <v>63845.25</v>
      </c>
      <c r="V410" t="n">
        <v>0.083333</v>
      </c>
      <c r="W410" t="inlineStr">
        <is>
          <t>CNY</t>
        </is>
      </c>
      <c r="X410" t="n">
        <v>1</v>
      </c>
      <c r="Y410" t="n">
        <v>62194.19</v>
      </c>
      <c r="Z410" t="n">
        <v>0</v>
      </c>
      <c r="AA410" t="n">
        <v>191535.75</v>
      </c>
      <c r="AF410" t="n">
        <v>5130</v>
      </c>
      <c r="AG410" t="n">
        <v>422035.75</v>
      </c>
      <c r="AH410" t="n">
        <v>6.785774523311582</v>
      </c>
      <c r="AJ410" t="n">
        <v>6.868258112212732</v>
      </c>
      <c r="AK410" t="n">
        <v>5.617578587324636</v>
      </c>
      <c r="AQ410" t="n">
        <v>427165.75</v>
      </c>
      <c r="AR410" t="n">
        <v>6.868258112212732</v>
      </c>
      <c r="AS410" t="n">
        <v>1.554573658927142</v>
      </c>
      <c r="BL410" t="n">
        <v>1</v>
      </c>
      <c r="BM410" t="n">
        <v>54105</v>
      </c>
      <c r="BN410" t="n">
        <v>0</v>
      </c>
      <c r="BO410" t="n">
        <v>57260</v>
      </c>
      <c r="BP410" t="inlineStr">
        <is>
          <t>G,G</t>
        </is>
      </c>
      <c r="BQ410" t="inlineStr">
        <is>
          <t>T1</t>
        </is>
      </c>
      <c r="BS410" t="n">
        <v>3.466500323445153</v>
      </c>
      <c r="BT410" t="n">
        <v>87225</v>
      </c>
      <c r="BV410" t="n">
        <v>5.078643378615655</v>
      </c>
      <c r="BY410" t="n">
        <v>274780</v>
      </c>
      <c r="BZ410" t="n">
        <v>5.078643378615655</v>
      </c>
      <c r="CP410" t="inlineStr">
        <is>
          <t>税务部</t>
        </is>
      </c>
      <c r="CQ410" t="inlineStr">
        <is>
          <t>5,3</t>
        </is>
      </c>
      <c r="CR410" t="inlineStr">
        <is>
          <t>L2-2</t>
        </is>
      </c>
      <c r="CS410" t="inlineStr">
        <is>
          <t>T1</t>
        </is>
      </c>
      <c r="CT410" t="inlineStr">
        <is>
          <t>N</t>
        </is>
      </c>
    </row>
    <row r="411">
      <c r="A411" t="inlineStr">
        <is>
          <t>georgeTang(唐睿涛)</t>
        </is>
      </c>
      <c r="C411" t="n">
        <v>20864385</v>
      </c>
      <c r="D411" t="inlineStr">
        <is>
          <t>财会及报告管理部</t>
        </is>
      </c>
      <c r="E411" t="inlineStr">
        <is>
          <t>供应商支付管理中心</t>
        </is>
      </c>
      <c r="G411" t="inlineStr">
        <is>
          <t>S2职能系统－财经线/财会及报告管理部/供应商支付管理中心</t>
        </is>
      </c>
      <c r="H411" s="188" t="n">
        <v>38959</v>
      </c>
      <c r="I411" t="inlineStr">
        <is>
          <t>社会招聘</t>
        </is>
      </c>
      <c r="J411" t="inlineStr">
        <is>
          <t>财经类－FN</t>
        </is>
      </c>
      <c r="K411" t="inlineStr">
        <is>
          <t>会计</t>
        </is>
      </c>
      <c r="L411" t="inlineStr">
        <is>
          <t>S9</t>
        </is>
      </c>
      <c r="N411" t="inlineStr">
        <is>
          <t>T1</t>
        </is>
      </c>
      <c r="Q411" t="inlineStr">
        <is>
          <t>G,O</t>
        </is>
      </c>
      <c r="U411" t="n">
        <v>48810.35</v>
      </c>
      <c r="V411" t="n">
        <v>0.083333</v>
      </c>
      <c r="W411" t="inlineStr">
        <is>
          <t>CNY</t>
        </is>
      </c>
      <c r="X411" t="n">
        <v>1</v>
      </c>
      <c r="Y411" t="n">
        <v>44445.97</v>
      </c>
      <c r="Z411" t="n">
        <v>0</v>
      </c>
      <c r="AA411" t="n">
        <v>146431.05</v>
      </c>
      <c r="AF411" t="n">
        <v>0</v>
      </c>
      <c r="AG411" t="n">
        <v>349206.05</v>
      </c>
      <c r="AH411" t="n">
        <v>7.856866438059513</v>
      </c>
      <c r="AJ411" t="n">
        <v>7.856866438059513</v>
      </c>
      <c r="AK411" t="n">
        <v>5.70672774157027</v>
      </c>
      <c r="AQ411" t="n">
        <v>349206.05</v>
      </c>
      <c r="AR411" t="n">
        <v>7.856866438059513</v>
      </c>
      <c r="AS411" t="n">
        <v>1.87639262781763</v>
      </c>
      <c r="BL411" t="n">
        <v>1</v>
      </c>
      <c r="BM411" t="n">
        <v>41110</v>
      </c>
      <c r="BN411" t="n">
        <v>0</v>
      </c>
      <c r="BO411" t="n">
        <v>44735</v>
      </c>
      <c r="BP411" t="inlineStr">
        <is>
          <t>G,G</t>
        </is>
      </c>
      <c r="BQ411" t="inlineStr">
        <is>
          <t>T1</t>
        </is>
      </c>
      <c r="BS411" t="n">
        <v>3.434930673801995</v>
      </c>
      <c r="BT411" t="n">
        <v>44895</v>
      </c>
      <c r="BV411" t="n">
        <v>4.527000729749453</v>
      </c>
      <c r="BY411" t="n">
        <v>186105</v>
      </c>
      <c r="BZ411" t="n">
        <v>4.527000729749453</v>
      </c>
      <c r="CP411" t="inlineStr">
        <is>
          <t>财会及报告管理部</t>
        </is>
      </c>
      <c r="CQ411" t="inlineStr">
        <is>
          <t>5,3</t>
        </is>
      </c>
      <c r="CR411" t="n">
        <v>9</v>
      </c>
      <c r="CS411" t="inlineStr">
        <is>
          <t>T1</t>
        </is>
      </c>
      <c r="CT411" t="inlineStr">
        <is>
          <t>N</t>
        </is>
      </c>
    </row>
    <row r="412">
      <c r="A412" t="inlineStr">
        <is>
          <t>dylanCao(曹坚韬)</t>
        </is>
      </c>
      <c r="C412" t="n">
        <v>61388878</v>
      </c>
      <c r="D412" t="inlineStr">
        <is>
          <t>税务部</t>
        </is>
      </c>
      <c r="E412" t="inlineStr">
        <is>
          <t>BG税务组</t>
        </is>
      </c>
      <c r="G412" t="inlineStr">
        <is>
          <t>S2职能系统－财经线/税务部/BG税务组</t>
        </is>
      </c>
      <c r="H412" s="188" t="n">
        <v>42650</v>
      </c>
      <c r="I412" t="inlineStr">
        <is>
          <t>社会招聘</t>
        </is>
      </c>
      <c r="J412" t="inlineStr">
        <is>
          <t>财经类－FN</t>
        </is>
      </c>
      <c r="K412" t="inlineStr">
        <is>
          <t>税务</t>
        </is>
      </c>
      <c r="L412" t="inlineStr">
        <is>
          <t>S6</t>
        </is>
      </c>
      <c r="N412" t="inlineStr">
        <is>
          <t>T1</t>
        </is>
      </c>
      <c r="Q412" t="inlineStr">
        <is>
          <t>U,G</t>
        </is>
      </c>
      <c r="U412" t="n">
        <v>22305</v>
      </c>
      <c r="V412" t="n">
        <v>0.083333</v>
      </c>
      <c r="W412" t="inlineStr">
        <is>
          <t>CNY</t>
        </is>
      </c>
      <c r="X412" t="n">
        <v>1</v>
      </c>
      <c r="Y412" t="n">
        <v>20120.2</v>
      </c>
      <c r="Z412" t="n">
        <v>0</v>
      </c>
      <c r="AA412" t="n">
        <v>22305</v>
      </c>
      <c r="AF412" t="n">
        <v>0</v>
      </c>
      <c r="AG412" t="n">
        <v>70155</v>
      </c>
      <c r="AH412" t="n">
        <v>3.486794365861174</v>
      </c>
      <c r="AJ412" t="n">
        <v>3.486794365861174</v>
      </c>
      <c r="AK412" t="n">
        <v>3.486794365861174</v>
      </c>
      <c r="AQ412" t="n">
        <v>70155</v>
      </c>
      <c r="AR412" t="n">
        <v>3.486794365861174</v>
      </c>
      <c r="AS412" t="n">
        <v>1.145481263776635</v>
      </c>
      <c r="BL412" t="n">
        <v>1</v>
      </c>
      <c r="BM412" t="n">
        <v>18165</v>
      </c>
      <c r="BN412" t="n">
        <v>0</v>
      </c>
      <c r="BO412" t="n">
        <v>19545</v>
      </c>
      <c r="BP412" t="inlineStr">
        <is>
          <t>G,G</t>
        </is>
      </c>
      <c r="BQ412" t="inlineStr">
        <is>
          <t>T2</t>
        </is>
      </c>
      <c r="BS412" t="n">
        <v>3.37159372419488</v>
      </c>
      <c r="BT412" t="n">
        <v>0</v>
      </c>
      <c r="BV412" t="n">
        <v>3.37159372419488</v>
      </c>
      <c r="BY412" t="n">
        <v>61245</v>
      </c>
      <c r="BZ412" t="n">
        <v>3.37159372419488</v>
      </c>
      <c r="CP412" t="inlineStr">
        <is>
          <t>税务部</t>
        </is>
      </c>
      <c r="CQ412" t="inlineStr">
        <is>
          <t>3,1</t>
        </is>
      </c>
      <c r="CR412" t="n">
        <v>6</v>
      </c>
      <c r="CS412" t="inlineStr">
        <is>
          <t>T1</t>
        </is>
      </c>
      <c r="CT412" t="inlineStr">
        <is>
          <t>N</t>
        </is>
      </c>
    </row>
    <row r="413">
      <c r="A413" t="inlineStr">
        <is>
          <t>claireCui(崔娇)</t>
        </is>
      </c>
      <c r="C413" t="n">
        <v>7826884</v>
      </c>
      <c r="D413" t="inlineStr">
        <is>
          <t>FiT财务管理</t>
        </is>
      </c>
      <c r="E413" t="inlineStr">
        <is>
          <t>财经金融专项中心</t>
        </is>
      </c>
      <c r="G413" t="inlineStr">
        <is>
          <t>S2职能系统－财经线/FiT财务管理/财经金融专项中心</t>
        </is>
      </c>
      <c r="H413" s="188" t="n">
        <v>37006</v>
      </c>
      <c r="I413" t="inlineStr">
        <is>
          <t>社会招聘</t>
        </is>
      </c>
      <c r="J413" t="inlineStr">
        <is>
          <t>财经类－FN</t>
        </is>
      </c>
      <c r="K413" t="inlineStr">
        <is>
          <t>财务管理</t>
        </is>
      </c>
      <c r="L413" t="inlineStr">
        <is>
          <t>S8</t>
        </is>
      </c>
      <c r="N413" t="inlineStr">
        <is>
          <t>T1</t>
        </is>
      </c>
      <c r="Q413" t="inlineStr">
        <is>
          <t>G,G</t>
        </is>
      </c>
      <c r="U413" t="n">
        <v>34455.3</v>
      </c>
      <c r="V413" t="n">
        <v>0.083333</v>
      </c>
      <c r="W413" t="inlineStr">
        <is>
          <t>CNY</t>
        </is>
      </c>
      <c r="X413" t="n">
        <v>1</v>
      </c>
      <c r="Y413" t="n">
        <v>31465.61</v>
      </c>
      <c r="Z413" t="n">
        <v>0</v>
      </c>
      <c r="AA413" t="n">
        <v>68910.60000000001</v>
      </c>
      <c r="AF413" t="n">
        <v>0</v>
      </c>
      <c r="AG413" t="n">
        <v>187015.6</v>
      </c>
      <c r="AH413" t="n">
        <v>5.943491958363432</v>
      </c>
      <c r="AJ413" t="n">
        <v>5.943491958363432</v>
      </c>
      <c r="AK413" t="n">
        <v>4.697369604466591</v>
      </c>
      <c r="AQ413" t="n">
        <v>187015.6</v>
      </c>
      <c r="AR413" t="n">
        <v>5.943491958363432</v>
      </c>
      <c r="AS413" t="n">
        <v>1.115013265762409</v>
      </c>
      <c r="BL413" t="n">
        <v>1</v>
      </c>
      <c r="BM413" t="n">
        <v>28950</v>
      </c>
      <c r="BN413" t="n">
        <v>0</v>
      </c>
      <c r="BO413" t="n">
        <v>31355</v>
      </c>
      <c r="BP413" t="inlineStr">
        <is>
          <t>O,G</t>
        </is>
      </c>
      <c r="BQ413" t="inlineStr">
        <is>
          <t>T1</t>
        </is>
      </c>
      <c r="BS413" t="n">
        <v>4.554231433506045</v>
      </c>
      <c r="BT413" t="n">
        <v>35880</v>
      </c>
      <c r="BV413" t="n">
        <v>5.793609671848014</v>
      </c>
      <c r="BY413" t="n">
        <v>167725</v>
      </c>
      <c r="BZ413" t="n">
        <v>5.793609671848014</v>
      </c>
      <c r="CP413" t="inlineStr">
        <is>
          <t>FiT财务管理</t>
        </is>
      </c>
      <c r="CQ413" t="inlineStr">
        <is>
          <t>3,3</t>
        </is>
      </c>
      <c r="CR413" t="n">
        <v>8</v>
      </c>
      <c r="CS413" t="inlineStr">
        <is>
          <t>T1</t>
        </is>
      </c>
      <c r="CT413" t="inlineStr">
        <is>
          <t>N</t>
        </is>
      </c>
    </row>
    <row r="414">
      <c r="A414" t="inlineStr">
        <is>
          <t>barbaraXu(徐雅)</t>
        </is>
      </c>
      <c r="C414" t="n">
        <v>99360253</v>
      </c>
      <c r="D414" t="inlineStr">
        <is>
          <t>CSIG财务管理</t>
        </is>
      </c>
      <c r="E414" t="inlineStr">
        <is>
          <t>行业财务管理1中心</t>
        </is>
      </c>
      <c r="G414" t="inlineStr">
        <is>
          <t>S2职能系统－财经线/CSIG财务管理/行业财务管理1中心</t>
        </is>
      </c>
      <c r="H414" s="188" t="n">
        <v>39169</v>
      </c>
      <c r="I414" t="inlineStr">
        <is>
          <t>社会招聘</t>
        </is>
      </c>
      <c r="J414" t="inlineStr">
        <is>
          <t>财经类－FN</t>
        </is>
      </c>
      <c r="K414" t="inlineStr">
        <is>
          <t>财务管理</t>
        </is>
      </c>
      <c r="L414" t="inlineStr">
        <is>
          <t>S8</t>
        </is>
      </c>
      <c r="N414" t="inlineStr">
        <is>
          <t>T1#</t>
        </is>
      </c>
      <c r="Q414" t="inlineStr">
        <is>
          <t>G,G</t>
        </is>
      </c>
      <c r="U414" t="n">
        <v>47815.3</v>
      </c>
      <c r="V414" t="n">
        <v>0.083333</v>
      </c>
      <c r="W414" t="inlineStr">
        <is>
          <t>CNY</t>
        </is>
      </c>
      <c r="X414" t="n">
        <v>1</v>
      </c>
      <c r="Y414" t="n">
        <v>44488.28</v>
      </c>
      <c r="Z414" t="n">
        <v>0</v>
      </c>
      <c r="AA414" t="n">
        <v>95630.60000000001</v>
      </c>
      <c r="AF414" t="n">
        <v>0</v>
      </c>
      <c r="AG414" t="n">
        <v>309935.6</v>
      </c>
      <c r="AH414" t="n">
        <v>6.966679763749014</v>
      </c>
      <c r="AJ414" t="n">
        <v>6.966679763749014</v>
      </c>
      <c r="AK414" t="n">
        <v>5.806823729755343</v>
      </c>
      <c r="AQ414" t="n">
        <v>309935.6</v>
      </c>
      <c r="AR414" t="n">
        <v>6.966679763749014</v>
      </c>
      <c r="AS414" t="n">
        <v>1.089194004673965</v>
      </c>
      <c r="BL414" t="n">
        <v>1</v>
      </c>
      <c r="BM414" t="n">
        <v>39540</v>
      </c>
      <c r="BN414" t="n">
        <v>0</v>
      </c>
      <c r="BO414" t="n">
        <v>42550</v>
      </c>
      <c r="BP414" t="inlineStr">
        <is>
          <t>G,G</t>
        </is>
      </c>
      <c r="BQ414" t="inlineStr">
        <is>
          <t>T1#</t>
        </is>
      </c>
      <c r="BS414" t="n">
        <v>5.715604451188669</v>
      </c>
      <c r="BT414" t="n">
        <v>58560</v>
      </c>
      <c r="BV414" t="n">
        <v>7.196636317653009</v>
      </c>
      <c r="BY414" t="n">
        <v>284555</v>
      </c>
      <c r="BZ414" t="n">
        <v>7.196636317653009</v>
      </c>
      <c r="CP414" t="inlineStr">
        <is>
          <t>CSIG财务管理</t>
        </is>
      </c>
      <c r="CQ414" t="inlineStr">
        <is>
          <t>3,3</t>
        </is>
      </c>
      <c r="CR414" t="n">
        <v>8</v>
      </c>
      <c r="CS414" t="inlineStr">
        <is>
          <t>T1#</t>
        </is>
      </c>
      <c r="CT414" t="inlineStr">
        <is>
          <t>N</t>
        </is>
      </c>
    </row>
    <row r="415">
      <c r="A415" t="inlineStr">
        <is>
          <t>robertRen(任安帆)</t>
        </is>
      </c>
      <c r="C415" t="n">
        <v>55802098</v>
      </c>
      <c r="D415" t="inlineStr">
        <is>
          <t>税务部</t>
        </is>
      </c>
      <c r="E415" t="inlineStr">
        <is>
          <t>海外税务中心</t>
        </is>
      </c>
      <c r="G415" t="inlineStr">
        <is>
          <t>S2职能系统－财经线/税务部/海外税务中心</t>
        </is>
      </c>
      <c r="H415" s="188" t="n">
        <v>37583</v>
      </c>
      <c r="I415" t="inlineStr">
        <is>
          <t>社会招聘</t>
        </is>
      </c>
      <c r="J415" t="inlineStr">
        <is>
          <t>财经类－FN</t>
        </is>
      </c>
      <c r="K415" t="inlineStr">
        <is>
          <t>税务</t>
        </is>
      </c>
      <c r="L415" t="inlineStr">
        <is>
          <t>S11</t>
        </is>
      </c>
      <c r="N415" t="inlineStr">
        <is>
          <t>T2</t>
        </is>
      </c>
      <c r="Q415" t="inlineStr">
        <is>
          <t>G,G</t>
        </is>
      </c>
      <c r="U415" t="n">
        <v>61544.75</v>
      </c>
      <c r="V415" t="n">
        <v>0.083333</v>
      </c>
      <c r="W415" t="inlineStr">
        <is>
          <t>CNY</t>
        </is>
      </c>
      <c r="X415" t="n">
        <v>1</v>
      </c>
      <c r="Y415" t="n">
        <v>57807.75</v>
      </c>
      <c r="Z415" t="n">
        <v>0</v>
      </c>
      <c r="AA415" t="n">
        <v>123089.5</v>
      </c>
      <c r="AF415" t="n">
        <v>0</v>
      </c>
      <c r="AG415" t="n">
        <v>200839.5</v>
      </c>
      <c r="AH415" t="n">
        <v>3.474265993746513</v>
      </c>
      <c r="AJ415" t="n">
        <v>3.474265993746513</v>
      </c>
      <c r="AK415" t="n">
        <v>3.474265993746513</v>
      </c>
      <c r="AQ415" t="n">
        <v>200839.5</v>
      </c>
      <c r="AR415" t="n">
        <v>3.474265993746513</v>
      </c>
      <c r="AS415" t="n">
        <v>1.642590169297456</v>
      </c>
      <c r="BL415" t="n">
        <v>1</v>
      </c>
      <c r="BM415" t="n">
        <v>52285</v>
      </c>
      <c r="BN415" t="n">
        <v>0</v>
      </c>
      <c r="BO415" t="n">
        <v>52900</v>
      </c>
      <c r="BP415" t="inlineStr">
        <is>
          <t>G,U</t>
        </is>
      </c>
      <c r="BQ415" t="inlineStr">
        <is>
          <t>T2</t>
        </is>
      </c>
      <c r="BS415" t="n">
        <v>2.338529214879985</v>
      </c>
      <c r="BT415" t="n">
        <v>0</v>
      </c>
      <c r="BV415" t="n">
        <v>2.338529214879985</v>
      </c>
      <c r="BY415" t="n">
        <v>122270</v>
      </c>
      <c r="BZ415" t="n">
        <v>2.338529214879985</v>
      </c>
      <c r="CP415" t="inlineStr">
        <is>
          <t>税务部</t>
        </is>
      </c>
      <c r="CQ415" t="inlineStr">
        <is>
          <t>3,3</t>
        </is>
      </c>
      <c r="CR415" t="n">
        <v>11</v>
      </c>
      <c r="CS415" t="inlineStr">
        <is>
          <t>T2</t>
        </is>
      </c>
      <c r="CT415" t="inlineStr">
        <is>
          <t>N</t>
        </is>
      </c>
    </row>
    <row r="416">
      <c r="A416" t="inlineStr">
        <is>
          <t>frankQiu(邱飞)</t>
        </is>
      </c>
      <c r="C416" t="n">
        <v>10486928</v>
      </c>
      <c r="D416" t="inlineStr">
        <is>
          <t>IEG财务管理</t>
        </is>
      </c>
      <c r="E416" t="inlineStr">
        <is>
          <t>自研财务管理组</t>
        </is>
      </c>
      <c r="G416" t="inlineStr">
        <is>
          <t>S2职能系统－财经线/IEG财务管理/自研财务管理组</t>
        </is>
      </c>
      <c r="H416" s="188" t="n">
        <v>42166</v>
      </c>
      <c r="I416" t="inlineStr">
        <is>
          <t>社会招聘</t>
        </is>
      </c>
      <c r="J416" t="inlineStr">
        <is>
          <t>财经类－FN</t>
        </is>
      </c>
      <c r="K416" t="inlineStr">
        <is>
          <t>财务管理</t>
        </is>
      </c>
      <c r="L416" t="inlineStr">
        <is>
          <t>S12</t>
        </is>
      </c>
      <c r="M416" t="inlineStr">
        <is>
          <t>L1-2</t>
        </is>
      </c>
      <c r="N416" t="inlineStr">
        <is>
          <t>T1</t>
        </is>
      </c>
      <c r="Q416" t="inlineStr">
        <is>
          <t>O,G</t>
        </is>
      </c>
      <c r="U416" t="n">
        <v>51538.75</v>
      </c>
      <c r="V416" t="n">
        <v>0.083333</v>
      </c>
      <c r="W416" t="inlineStr">
        <is>
          <t>CNY</t>
        </is>
      </c>
      <c r="X416" t="n">
        <v>1</v>
      </c>
      <c r="Y416" t="n">
        <v>47066.66</v>
      </c>
      <c r="Z416" t="n">
        <v>0</v>
      </c>
      <c r="AA416" t="n">
        <v>154616.25</v>
      </c>
      <c r="AF416" t="n">
        <v>14795</v>
      </c>
      <c r="AG416" t="n">
        <v>331116.25</v>
      </c>
      <c r="AH416" t="n">
        <v>7.035048800998413</v>
      </c>
      <c r="AJ416" t="n">
        <v>7.349390205296062</v>
      </c>
      <c r="AK416" t="n">
        <v>6.058561410561106</v>
      </c>
      <c r="AQ416" t="n">
        <v>345911.25</v>
      </c>
      <c r="AR416" t="n">
        <v>7.349390205296062</v>
      </c>
      <c r="AS416" t="n">
        <v>1.554622368036673</v>
      </c>
      <c r="BL416" t="n">
        <v>1</v>
      </c>
      <c r="BM416" t="n">
        <v>42755</v>
      </c>
      <c r="BN416" t="n">
        <v>0</v>
      </c>
      <c r="BO416" t="n">
        <v>46030</v>
      </c>
      <c r="BP416" t="inlineStr">
        <is>
          <t>G,G</t>
        </is>
      </c>
      <c r="BQ416" t="inlineStr">
        <is>
          <t>T1</t>
        </is>
      </c>
      <c r="BS416" t="n">
        <v>3.499356800374225</v>
      </c>
      <c r="BT416" t="n">
        <v>72890</v>
      </c>
      <c r="BV416" t="n">
        <v>5.204186644836861</v>
      </c>
      <c r="BY416" t="n">
        <v>222505</v>
      </c>
      <c r="BZ416" t="n">
        <v>5.204186644836861</v>
      </c>
      <c r="CP416" t="inlineStr">
        <is>
          <t>IEG财务管理</t>
        </is>
      </c>
      <c r="CQ416" t="inlineStr">
        <is>
          <t>5,3</t>
        </is>
      </c>
      <c r="CR416" t="n">
        <v>12</v>
      </c>
      <c r="CS416" t="inlineStr">
        <is>
          <t>T1</t>
        </is>
      </c>
      <c r="CT416" t="inlineStr">
        <is>
          <t>N</t>
        </is>
      </c>
    </row>
    <row r="417">
      <c r="A417" t="inlineStr">
        <is>
          <t>nancyYin(尹珊菲)</t>
        </is>
      </c>
      <c r="C417" t="n">
        <v>75518173</v>
      </c>
      <c r="D417" t="inlineStr">
        <is>
          <t>财经IT管理部</t>
        </is>
      </c>
      <c r="E417" t="inlineStr">
        <is>
          <t>国际业务支持中心</t>
        </is>
      </c>
      <c r="G417" t="inlineStr">
        <is>
          <t>S2职能系统－财经线/财经IT管理部/国际业务支持中心</t>
        </is>
      </c>
      <c r="H417" s="188" t="n">
        <v>44856</v>
      </c>
      <c r="I417" t="inlineStr">
        <is>
          <t>社会招聘</t>
        </is>
      </c>
      <c r="J417" t="inlineStr">
        <is>
          <t>技术研发类－TRD</t>
        </is>
      </c>
      <c r="K417" t="inlineStr">
        <is>
          <t>应用开发</t>
        </is>
      </c>
      <c r="L417" t="inlineStr">
        <is>
          <t>T10</t>
        </is>
      </c>
      <c r="N417" t="inlineStr">
        <is>
          <t>Others</t>
        </is>
      </c>
      <c r="Q417" t="inlineStr">
        <is>
          <t>G,G</t>
        </is>
      </c>
      <c r="U417" t="n">
        <v>58749.1</v>
      </c>
      <c r="V417" t="n">
        <v>0.083333</v>
      </c>
      <c r="W417" t="inlineStr">
        <is>
          <t>CNY</t>
        </is>
      </c>
      <c r="X417" t="n">
        <v>1</v>
      </c>
      <c r="Y417" t="n">
        <v>54685.94</v>
      </c>
      <c r="Z417" t="n">
        <v>0</v>
      </c>
      <c r="AA417" t="n">
        <v>117498.2</v>
      </c>
      <c r="AF417" t="n">
        <v>0</v>
      </c>
      <c r="AG417" t="n">
        <v>152278.2</v>
      </c>
      <c r="AH417" t="n">
        <v>2.784595089706788</v>
      </c>
      <c r="AJ417" t="n">
        <v>2.784595089706788</v>
      </c>
      <c r="AK417" t="n">
        <v>2.784595089706788</v>
      </c>
      <c r="AQ417" t="n">
        <v>152278.2</v>
      </c>
      <c r="AR417" t="n">
        <v>2.784595089706788</v>
      </c>
      <c r="AS417" t="n">
        <v>0.733464345061773</v>
      </c>
      <c r="BL417" t="n">
        <v>1</v>
      </c>
      <c r="BM417" t="n">
        <v>48280</v>
      </c>
      <c r="BN417" t="n">
        <v>0</v>
      </c>
      <c r="BO417" t="n">
        <v>51225</v>
      </c>
      <c r="BP417" t="inlineStr">
        <is>
          <t>O,G</t>
        </is>
      </c>
      <c r="BQ417" t="inlineStr">
        <is>
          <t>Others</t>
        </is>
      </c>
      <c r="BS417" t="n">
        <v>4.300227837613919</v>
      </c>
      <c r="BT417" t="n">
        <v>0</v>
      </c>
      <c r="BV417" t="n">
        <v>4.300227837613919</v>
      </c>
      <c r="BY417" t="n">
        <v>207615</v>
      </c>
      <c r="BZ417" t="n">
        <v>4.300227837613919</v>
      </c>
      <c r="CP417" t="inlineStr">
        <is>
          <t>财经IT管理部</t>
        </is>
      </c>
      <c r="CQ417" t="inlineStr">
        <is>
          <t>3,3</t>
        </is>
      </c>
      <c r="CR417" t="n">
        <v>10</v>
      </c>
      <c r="CS417" t="inlineStr">
        <is>
          <t>Others</t>
        </is>
      </c>
      <c r="CT417" t="inlineStr">
        <is>
          <t>N</t>
        </is>
      </c>
    </row>
    <row r="418">
      <c r="A418" t="inlineStr">
        <is>
          <t>sophiaMeng(孟苑)</t>
        </is>
      </c>
      <c r="C418" t="n">
        <v>99207267</v>
      </c>
      <c r="D418" t="inlineStr">
        <is>
          <t>CSIG财务管理</t>
        </is>
      </c>
      <c r="E418" t="inlineStr">
        <is>
          <t>行业财务管理2中心</t>
        </is>
      </c>
      <c r="G418" t="inlineStr">
        <is>
          <t>S2职能系统－财经线/CSIG财务管理/行业财务管理2中心</t>
        </is>
      </c>
      <c r="H418" s="188" t="n">
        <v>36884</v>
      </c>
      <c r="I418" t="inlineStr">
        <is>
          <t>社会招聘</t>
        </is>
      </c>
      <c r="J418" t="inlineStr">
        <is>
          <t>财经类－FN</t>
        </is>
      </c>
      <c r="K418" t="inlineStr">
        <is>
          <t>财务管理</t>
        </is>
      </c>
      <c r="L418" t="inlineStr">
        <is>
          <t>S6</t>
        </is>
      </c>
      <c r="N418" t="inlineStr">
        <is>
          <t>T1</t>
        </is>
      </c>
      <c r="Q418" t="inlineStr">
        <is>
          <t>G,G</t>
        </is>
      </c>
      <c r="U418" t="n">
        <v>38218.55</v>
      </c>
      <c r="V418" t="n">
        <v>0.083333</v>
      </c>
      <c r="W418" t="inlineStr">
        <is>
          <t>CNY</t>
        </is>
      </c>
      <c r="X418" t="n">
        <v>1</v>
      </c>
      <c r="Y418" t="n">
        <v>36754.3</v>
      </c>
      <c r="Z418" t="n">
        <v>0</v>
      </c>
      <c r="AA418" t="n">
        <v>76437.10000000001</v>
      </c>
      <c r="AF418" t="n">
        <v>0</v>
      </c>
      <c r="AG418" t="n">
        <v>237837.1</v>
      </c>
      <c r="AH418" t="n">
        <v>6.471000672030211</v>
      </c>
      <c r="AJ418" t="n">
        <v>6.471000672030211</v>
      </c>
      <c r="AK418" t="n">
        <v>4.55231360684328</v>
      </c>
      <c r="AQ418" t="n">
        <v>237837.1</v>
      </c>
      <c r="AR418" t="n">
        <v>6.471000672030211</v>
      </c>
      <c r="AS418" t="n">
        <v>3.067282692803714</v>
      </c>
      <c r="BL418" t="n">
        <v>1</v>
      </c>
      <c r="BM418" t="n">
        <v>33135</v>
      </c>
      <c r="BN418" t="n">
        <v>0</v>
      </c>
      <c r="BO418" t="n">
        <v>35435</v>
      </c>
      <c r="BP418" t="inlineStr">
        <is>
          <t>G,U</t>
        </is>
      </c>
      <c r="BQ418" t="inlineStr">
        <is>
          <t>T1</t>
        </is>
      </c>
      <c r="BS418" t="n">
        <v>2.340123736230572</v>
      </c>
      <c r="BT418" t="n">
        <v>0</v>
      </c>
      <c r="BV418" t="n">
        <v>2.340123736230572</v>
      </c>
      <c r="BY418" t="n">
        <v>77540</v>
      </c>
      <c r="BZ418" t="n">
        <v>2.340123736230572</v>
      </c>
      <c r="CP418" t="inlineStr">
        <is>
          <t>CSIG财务管理</t>
        </is>
      </c>
      <c r="CQ418" t="inlineStr">
        <is>
          <t>3,3</t>
        </is>
      </c>
      <c r="CR418" t="n">
        <v>6</v>
      </c>
      <c r="CS418" t="inlineStr">
        <is>
          <t>T1</t>
        </is>
      </c>
      <c r="CT418" t="inlineStr">
        <is>
          <t>N</t>
        </is>
      </c>
    </row>
    <row r="419">
      <c r="A419" t="inlineStr">
        <is>
          <t>brandonShao(邵建)</t>
        </is>
      </c>
      <c r="C419" t="n">
        <v>32515316</v>
      </c>
      <c r="D419" t="inlineStr">
        <is>
          <t>PCG财务管理</t>
        </is>
      </c>
      <c r="E419" t="inlineStr">
        <is>
          <t>内平财务管理组</t>
        </is>
      </c>
      <c r="G419" t="inlineStr">
        <is>
          <t>S2职能系统－财经线/PCG财务管理/内平财务管理组</t>
        </is>
      </c>
      <c r="H419" s="188" t="n">
        <v>38525</v>
      </c>
      <c r="I419" t="inlineStr">
        <is>
          <t>社会招聘</t>
        </is>
      </c>
      <c r="J419" t="inlineStr">
        <is>
          <t>财经类－FN</t>
        </is>
      </c>
      <c r="K419" t="inlineStr">
        <is>
          <t>财务管理</t>
        </is>
      </c>
      <c r="L419" t="inlineStr">
        <is>
          <t>S8</t>
        </is>
      </c>
      <c r="N419" t="inlineStr">
        <is>
          <t>Others</t>
        </is>
      </c>
      <c r="Q419" t="inlineStr">
        <is>
          <t>U,O</t>
        </is>
      </c>
      <c r="U419" t="n">
        <v>50247.6</v>
      </c>
      <c r="V419" t="n">
        <v>0.083333</v>
      </c>
      <c r="W419" t="inlineStr">
        <is>
          <t>CNY</t>
        </is>
      </c>
      <c r="X419" t="n">
        <v>1</v>
      </c>
      <c r="Y419" t="n">
        <v>46196.2</v>
      </c>
      <c r="Z419" t="n">
        <v>0</v>
      </c>
      <c r="AA419" t="n">
        <v>100495.2</v>
      </c>
      <c r="AF419" t="n">
        <v>0</v>
      </c>
      <c r="AG419" t="n">
        <v>126285.2</v>
      </c>
      <c r="AH419" t="n">
        <v>2.733670734822345</v>
      </c>
      <c r="AJ419" t="n">
        <v>2.733670734822345</v>
      </c>
      <c r="AK419" t="n">
        <v>2.733670734822345</v>
      </c>
      <c r="AQ419" t="n">
        <v>126285.2</v>
      </c>
      <c r="AR419" t="n">
        <v>2.733670734822345</v>
      </c>
      <c r="AS419" t="n">
        <v>0.5378530207202027</v>
      </c>
      <c r="BL419" t="n">
        <v>1</v>
      </c>
      <c r="BM419" t="n">
        <v>41140</v>
      </c>
      <c r="BN419" t="n">
        <v>0</v>
      </c>
      <c r="BO419" t="n">
        <v>43205</v>
      </c>
      <c r="BP419" t="inlineStr">
        <is>
          <t>O,O</t>
        </is>
      </c>
      <c r="BQ419" t="inlineStr">
        <is>
          <t>Others</t>
        </is>
      </c>
      <c r="BS419" t="n">
        <v>5.707219251336898</v>
      </c>
      <c r="BT419" t="n">
        <v>0</v>
      </c>
      <c r="BV419" t="n">
        <v>5.707219251336898</v>
      </c>
      <c r="BY419" t="n">
        <v>234795</v>
      </c>
      <c r="BZ419" t="n">
        <v>5.707219251336898</v>
      </c>
      <c r="CP419" t="inlineStr">
        <is>
          <t>PCG财务管理</t>
        </is>
      </c>
      <c r="CQ419" t="inlineStr">
        <is>
          <t>5,1</t>
        </is>
      </c>
      <c r="CR419" t="n">
        <v>8</v>
      </c>
      <c r="CS419" t="inlineStr">
        <is>
          <t>Others</t>
        </is>
      </c>
      <c r="CT419" t="inlineStr">
        <is>
          <t>N</t>
        </is>
      </c>
    </row>
    <row r="420">
      <c r="A420" t="inlineStr">
        <is>
          <t>victoriaLi(李月)</t>
        </is>
      </c>
      <c r="C420" t="n">
        <v>70241121</v>
      </c>
      <c r="D420" t="inlineStr">
        <is>
          <t>CDG财务管理</t>
        </is>
      </c>
      <c r="E420" t="inlineStr">
        <is>
          <t>AMS客户管理中心</t>
        </is>
      </c>
      <c r="G420" t="inlineStr">
        <is>
          <t>S2职能系统－财经线/CDG财务管理/AMS客户管理中心</t>
        </is>
      </c>
      <c r="H420" s="188" t="n">
        <v>42546</v>
      </c>
      <c r="I420" t="inlineStr">
        <is>
          <t>社会招聘</t>
        </is>
      </c>
      <c r="J420" t="inlineStr">
        <is>
          <t>财经类－FN</t>
        </is>
      </c>
      <c r="K420" t="inlineStr">
        <is>
          <t>财务管理</t>
        </is>
      </c>
      <c r="L420" t="inlineStr">
        <is>
          <t>S5</t>
        </is>
      </c>
      <c r="N420" t="inlineStr">
        <is>
          <t>T2</t>
        </is>
      </c>
      <c r="Q420" t="inlineStr">
        <is>
          <t>U,G</t>
        </is>
      </c>
      <c r="U420" t="n">
        <v>20390.45</v>
      </c>
      <c r="V420" t="n">
        <v>0.083333</v>
      </c>
      <c r="W420" t="inlineStr">
        <is>
          <t>CNY</t>
        </is>
      </c>
      <c r="X420" t="n">
        <v>1</v>
      </c>
      <c r="Y420" t="n">
        <v>18970.89</v>
      </c>
      <c r="Z420" t="n">
        <v>0</v>
      </c>
      <c r="AA420" t="n">
        <v>20390.45</v>
      </c>
      <c r="AF420" t="n">
        <v>0</v>
      </c>
      <c r="AG420" t="n">
        <v>46865.45</v>
      </c>
      <c r="AH420" t="n">
        <v>2.470387525308512</v>
      </c>
      <c r="AJ420" t="n">
        <v>2.470387525308512</v>
      </c>
      <c r="AK420" t="n">
        <v>2.470387525308512</v>
      </c>
      <c r="AQ420" t="n">
        <v>46865.45</v>
      </c>
      <c r="AR420" t="n">
        <v>2.470387525308512</v>
      </c>
      <c r="AS420" t="n">
        <v>0.7585247228291656</v>
      </c>
      <c r="BL420" t="n">
        <v>1</v>
      </c>
      <c r="BM420" t="n">
        <v>17225</v>
      </c>
      <c r="BN420" t="n">
        <v>0</v>
      </c>
      <c r="BO420" t="n">
        <v>18520</v>
      </c>
      <c r="BP420" t="inlineStr">
        <is>
          <t>G,G</t>
        </is>
      </c>
      <c r="BQ420" t="inlineStr">
        <is>
          <t>T2</t>
        </is>
      </c>
      <c r="BS420" t="n">
        <v>3.586937590711176</v>
      </c>
      <c r="BT420" t="n">
        <v>0</v>
      </c>
      <c r="BV420" t="n">
        <v>3.586937590711176</v>
      </c>
      <c r="BY420" t="n">
        <v>61785</v>
      </c>
      <c r="BZ420" t="n">
        <v>3.586937590711176</v>
      </c>
      <c r="CP420" t="inlineStr">
        <is>
          <t>CDG财务管理</t>
        </is>
      </c>
      <c r="CQ420" t="inlineStr">
        <is>
          <t>3,1</t>
        </is>
      </c>
      <c r="CR420" t="n">
        <v>5</v>
      </c>
      <c r="CS420" t="inlineStr">
        <is>
          <t>T2</t>
        </is>
      </c>
      <c r="CT420" t="inlineStr">
        <is>
          <t>N</t>
        </is>
      </c>
    </row>
    <row r="421">
      <c r="A421" t="inlineStr">
        <is>
          <t>audreyZhong(钟娇君)</t>
        </is>
      </c>
      <c r="C421" t="n">
        <v>71834408</v>
      </c>
      <c r="D421" t="inlineStr">
        <is>
          <t>审计监察</t>
        </is>
      </c>
      <c r="E421" t="inlineStr">
        <is>
          <t>常规审计组</t>
        </is>
      </c>
      <c r="G421" t="inlineStr">
        <is>
          <t>S2职能系统－财经线/审计监察/常规审计组</t>
        </is>
      </c>
      <c r="H421" s="188" t="n">
        <v>43701</v>
      </c>
      <c r="I421" t="inlineStr">
        <is>
          <t>社会招聘</t>
        </is>
      </c>
      <c r="J421" t="inlineStr">
        <is>
          <t>财经类－FN</t>
        </is>
      </c>
      <c r="K421" t="inlineStr">
        <is>
          <t>风险管理</t>
        </is>
      </c>
      <c r="L421" t="inlineStr">
        <is>
          <t>S10</t>
        </is>
      </c>
      <c r="N421" t="inlineStr">
        <is>
          <t>T1#</t>
        </is>
      </c>
      <c r="Q421" t="inlineStr">
        <is>
          <t>U,G</t>
        </is>
      </c>
      <c r="U421" t="n">
        <v>37754.4</v>
      </c>
      <c r="V421" t="n">
        <v>0.083333</v>
      </c>
      <c r="W421" t="inlineStr">
        <is>
          <t>CNY</t>
        </is>
      </c>
      <c r="X421" t="n">
        <v>1</v>
      </c>
      <c r="Y421" t="n">
        <v>35429.44</v>
      </c>
      <c r="Z421" t="n">
        <v>0</v>
      </c>
      <c r="AA421" t="n">
        <v>37754.4</v>
      </c>
      <c r="AF421" t="n">
        <v>0</v>
      </c>
      <c r="AG421" t="n">
        <v>151564.4</v>
      </c>
      <c r="AH421" t="n">
        <v>4.277922541253827</v>
      </c>
      <c r="AJ421" t="n">
        <v>4.277922541253827</v>
      </c>
      <c r="AK421" t="n">
        <v>4.277922541253827</v>
      </c>
      <c r="AQ421" t="n">
        <v>151564.4</v>
      </c>
      <c r="AR421" t="n">
        <v>4.277922541253827</v>
      </c>
      <c r="AS421" t="n">
        <v>0.8566590363148227</v>
      </c>
      <c r="BL421" t="n">
        <v>1</v>
      </c>
      <c r="BM421" t="n">
        <v>31965</v>
      </c>
      <c r="BN421" t="n">
        <v>0</v>
      </c>
      <c r="BO421" t="n">
        <v>34200</v>
      </c>
      <c r="BP421" t="inlineStr">
        <is>
          <t>U,O</t>
        </is>
      </c>
      <c r="BQ421" t="inlineStr">
        <is>
          <t>T1#</t>
        </is>
      </c>
      <c r="BS421" t="n">
        <v>5.534960112623182</v>
      </c>
      <c r="BT421" t="n">
        <v>0</v>
      </c>
      <c r="BV421" t="n">
        <v>5.534960112623182</v>
      </c>
      <c r="BY421" t="n">
        <v>176925</v>
      </c>
      <c r="BZ421" t="n">
        <v>5.534960112623182</v>
      </c>
      <c r="CP421" t="inlineStr">
        <is>
          <t>审计监察</t>
        </is>
      </c>
      <c r="CQ421" t="inlineStr">
        <is>
          <t>3,1</t>
        </is>
      </c>
      <c r="CR421" t="n">
        <v>10</v>
      </c>
      <c r="CS421" t="inlineStr">
        <is>
          <t>T1#</t>
        </is>
      </c>
      <c r="CT421" t="inlineStr">
        <is>
          <t>N</t>
        </is>
      </c>
    </row>
    <row r="422">
      <c r="A422" t="inlineStr">
        <is>
          <t>elizabethFu(傅怀丹)</t>
        </is>
      </c>
      <c r="C422" t="n">
        <v>49514124</v>
      </c>
      <c r="D422" t="inlineStr">
        <is>
          <t>财经线-公共</t>
        </is>
      </c>
      <c r="E422" t="inlineStr">
        <is>
          <t>财经线-公共</t>
        </is>
      </c>
      <c r="G422" t="inlineStr">
        <is>
          <t>S2职能系统－财经线/财经线-公共</t>
        </is>
      </c>
      <c r="H422" s="188" t="n">
        <v>40152</v>
      </c>
      <c r="I422" t="inlineStr">
        <is>
          <t>社会招聘</t>
        </is>
      </c>
      <c r="J422" t="inlineStr">
        <is>
          <t>财经类－FN</t>
        </is>
      </c>
      <c r="K422" t="inlineStr">
        <is>
          <t>财务管理</t>
        </is>
      </c>
      <c r="L422" t="inlineStr">
        <is>
          <t>S7</t>
        </is>
      </c>
      <c r="N422" t="inlineStr">
        <is>
          <t>T1</t>
        </is>
      </c>
      <c r="Q422" t="inlineStr">
        <is>
          <t>G,O</t>
        </is>
      </c>
      <c r="U422" t="n">
        <v>42008.05</v>
      </c>
      <c r="V422" t="n">
        <v>0.083333</v>
      </c>
      <c r="W422" t="inlineStr">
        <is>
          <t>CNY</t>
        </is>
      </c>
      <c r="X422" t="n">
        <v>1</v>
      </c>
      <c r="Y422" t="n">
        <v>38175.19</v>
      </c>
      <c r="Z422" t="n">
        <v>0</v>
      </c>
      <c r="AA422" t="n">
        <v>126024.15</v>
      </c>
      <c r="AF422" t="n">
        <v>0</v>
      </c>
      <c r="AG422" t="n">
        <v>276334.15</v>
      </c>
      <c r="AH422" t="n">
        <v>7.238579559132515</v>
      </c>
      <c r="AJ422" t="n">
        <v>7.238579559132515</v>
      </c>
      <c r="AK422" t="n">
        <v>5.814880030721523</v>
      </c>
      <c r="AQ422" t="n">
        <v>276334.15</v>
      </c>
      <c r="AR422" t="n">
        <v>7.238579559132515</v>
      </c>
      <c r="AS422" t="n">
        <v>1.846783064893404</v>
      </c>
      <c r="BL422" t="n">
        <v>1</v>
      </c>
      <c r="BM422" t="n">
        <v>34365</v>
      </c>
      <c r="BN422" t="n">
        <v>0</v>
      </c>
      <c r="BO422" t="n">
        <v>34720</v>
      </c>
      <c r="BP422" t="inlineStr">
        <is>
          <t>G,G</t>
        </is>
      </c>
      <c r="BQ422" t="inlineStr">
        <is>
          <t>T1</t>
        </is>
      </c>
      <c r="BS422" t="n">
        <v>3.299141568456278</v>
      </c>
      <c r="BT422" t="n">
        <v>36255</v>
      </c>
      <c r="BV422" t="n">
        <v>4.354139386003201</v>
      </c>
      <c r="BY422" t="n">
        <v>149630</v>
      </c>
      <c r="BZ422" t="n">
        <v>4.354139386003201</v>
      </c>
      <c r="CP422" t="inlineStr">
        <is>
          <t>财经线-公共</t>
        </is>
      </c>
      <c r="CQ422" t="inlineStr">
        <is>
          <t>5,3</t>
        </is>
      </c>
      <c r="CR422" t="n">
        <v>7</v>
      </c>
      <c r="CS422" t="inlineStr">
        <is>
          <t>T1</t>
        </is>
      </c>
      <c r="CT422" t="inlineStr">
        <is>
          <t>N</t>
        </is>
      </c>
    </row>
    <row r="423">
      <c r="A423" t="inlineStr">
        <is>
          <t>bryanZheng(郑杰旭)</t>
        </is>
      </c>
      <c r="C423" t="n">
        <v>55452305</v>
      </c>
      <c r="D423" t="inlineStr">
        <is>
          <t>财经投资并购及管理部</t>
        </is>
      </c>
      <c r="E423" t="inlineStr">
        <is>
          <t>运营支持中心</t>
        </is>
      </c>
      <c r="G423" t="inlineStr">
        <is>
          <t>S2职能系统－财经线/财经投资并购及管理部/运营支持中心</t>
        </is>
      </c>
      <c r="H423" s="188" t="n">
        <v>41359</v>
      </c>
      <c r="I423" t="inlineStr">
        <is>
          <t>高校招聘</t>
        </is>
      </c>
      <c r="J423" t="inlineStr">
        <is>
          <t>财经类－FN</t>
        </is>
      </c>
      <c r="K423" t="inlineStr">
        <is>
          <t>投资并购</t>
        </is>
      </c>
      <c r="L423" t="inlineStr">
        <is>
          <t>S12</t>
        </is>
      </c>
      <c r="M423" t="inlineStr">
        <is>
          <t>L1-2</t>
        </is>
      </c>
      <c r="N423" t="inlineStr">
        <is>
          <t>T2</t>
        </is>
      </c>
      <c r="Q423" t="inlineStr">
        <is>
          <t>G,G</t>
        </is>
      </c>
      <c r="U423" t="n">
        <v>72572.10000000001</v>
      </c>
      <c r="V423" t="n">
        <v>0.083333</v>
      </c>
      <c r="W423" t="inlineStr">
        <is>
          <t>CNY</t>
        </is>
      </c>
      <c r="X423" t="n">
        <v>1</v>
      </c>
      <c r="Y423" t="n">
        <v>71620.24000000001</v>
      </c>
      <c r="Z423" t="n">
        <v>0</v>
      </c>
      <c r="AA423" t="n">
        <v>145144.2</v>
      </c>
      <c r="AF423" t="n">
        <v>37395</v>
      </c>
      <c r="AG423" t="n">
        <v>220759.2</v>
      </c>
      <c r="AH423" t="n">
        <v>3.082357724576181</v>
      </c>
      <c r="AJ423" t="n">
        <v>3.604486664663508</v>
      </c>
      <c r="AK423" t="n">
        <v>3.604486664663508</v>
      </c>
      <c r="AQ423" t="n">
        <v>258154.2</v>
      </c>
      <c r="AR423" t="n">
        <v>3.604486664663508</v>
      </c>
      <c r="AS423" t="n">
        <v>1.271288503681087</v>
      </c>
      <c r="BL423" t="n">
        <v>1</v>
      </c>
      <c r="BM423" t="n">
        <v>59650</v>
      </c>
      <c r="BN423" t="n">
        <v>0</v>
      </c>
      <c r="BO423" t="n">
        <v>65325</v>
      </c>
      <c r="BP423" t="inlineStr">
        <is>
          <t>G,G</t>
        </is>
      </c>
      <c r="BQ423" t="inlineStr">
        <is>
          <t>T2</t>
        </is>
      </c>
      <c r="BS423" t="n">
        <v>3.404274937133278</v>
      </c>
      <c r="BT423" t="n">
        <v>0</v>
      </c>
      <c r="BV423" t="n">
        <v>3.404274937133278</v>
      </c>
      <c r="BY423" t="n">
        <v>203065</v>
      </c>
      <c r="BZ423" t="n">
        <v>3.404274937133278</v>
      </c>
      <c r="CP423" t="inlineStr">
        <is>
          <t>财经投资并购及管理部</t>
        </is>
      </c>
      <c r="CQ423" t="inlineStr">
        <is>
          <t>3,3</t>
        </is>
      </c>
      <c r="CR423" t="n">
        <v>12</v>
      </c>
      <c r="CS423" t="inlineStr">
        <is>
          <t>T2</t>
        </is>
      </c>
      <c r="CT423" t="inlineStr">
        <is>
          <t>N</t>
        </is>
      </c>
    </row>
    <row r="424">
      <c r="A424" t="inlineStr">
        <is>
          <t>rogerShao(邵威轩)</t>
        </is>
      </c>
      <c r="C424" t="n">
        <v>74199097</v>
      </c>
      <c r="D424" t="inlineStr">
        <is>
          <t>海外财经中心</t>
        </is>
      </c>
      <c r="E424" t="inlineStr">
        <is>
          <t>海外财经办公室</t>
        </is>
      </c>
      <c r="G424" t="inlineStr">
        <is>
          <t>S2职能系统－财经线/海外财经中心/海外财经办公室</t>
        </is>
      </c>
      <c r="H424" s="188" t="n">
        <v>42696</v>
      </c>
      <c r="I424" t="inlineStr">
        <is>
          <t>社会招聘</t>
        </is>
      </c>
      <c r="J424" t="inlineStr">
        <is>
          <t>财经类－FN</t>
        </is>
      </c>
      <c r="K424" t="inlineStr">
        <is>
          <t>财务管理</t>
        </is>
      </c>
      <c r="L424" t="inlineStr">
        <is>
          <t>S9</t>
        </is>
      </c>
      <c r="N424" t="inlineStr">
        <is>
          <t>T1</t>
        </is>
      </c>
      <c r="Q424" t="inlineStr">
        <is>
          <t>O,G</t>
        </is>
      </c>
      <c r="U424" t="n">
        <v>46610.25</v>
      </c>
      <c r="V424" t="n">
        <v>0.083333</v>
      </c>
      <c r="W424" t="inlineStr">
        <is>
          <t>CNY</t>
        </is>
      </c>
      <c r="X424" t="n">
        <v>1</v>
      </c>
      <c r="Y424" t="n">
        <v>45202.33</v>
      </c>
      <c r="Z424" t="n">
        <v>0</v>
      </c>
      <c r="AA424" t="n">
        <v>139830.75</v>
      </c>
      <c r="AF424" t="n">
        <v>0</v>
      </c>
      <c r="AG424" t="n">
        <v>289385.75</v>
      </c>
      <c r="AH424" t="n">
        <v>6.402009586673961</v>
      </c>
      <c r="AJ424" t="n">
        <v>6.402009586673961</v>
      </c>
      <c r="AK424" t="n">
        <v>5.282487650525979</v>
      </c>
      <c r="AQ424" t="n">
        <v>289385.75</v>
      </c>
      <c r="AR424" t="n">
        <v>6.402009586673961</v>
      </c>
      <c r="AS424" t="n">
        <v>1.469933204652817</v>
      </c>
      <c r="BL424" t="n">
        <v>1</v>
      </c>
      <c r="BM424" t="n">
        <v>37875</v>
      </c>
      <c r="BN424" t="n">
        <v>0</v>
      </c>
      <c r="BO424" t="n">
        <v>39710</v>
      </c>
      <c r="BP424" t="inlineStr">
        <is>
          <t>G,G</t>
        </is>
      </c>
      <c r="BQ424" t="inlineStr">
        <is>
          <t>T1</t>
        </is>
      </c>
      <c r="BS424" t="n">
        <v>3.419009900990099</v>
      </c>
      <c r="BT424" t="n">
        <v>67375</v>
      </c>
      <c r="BV424" t="n">
        <v>5.197887788778877</v>
      </c>
      <c r="BY424" t="n">
        <v>196870</v>
      </c>
      <c r="BZ424" t="n">
        <v>5.197887788778877</v>
      </c>
      <c r="CP424" t="inlineStr">
        <is>
          <t>海外财经中心</t>
        </is>
      </c>
      <c r="CQ424" t="inlineStr">
        <is>
          <t>5,3</t>
        </is>
      </c>
      <c r="CR424" t="n">
        <v>9</v>
      </c>
      <c r="CS424" t="inlineStr">
        <is>
          <t>T1</t>
        </is>
      </c>
      <c r="CT424" t="inlineStr">
        <is>
          <t>N</t>
        </is>
      </c>
    </row>
    <row r="425">
      <c r="A425" t="inlineStr">
        <is>
          <t>claireZhang(张柔)</t>
        </is>
      </c>
      <c r="C425" t="n">
        <v>61798332</v>
      </c>
      <c r="D425" t="inlineStr">
        <is>
          <t>财会及报告管理部</t>
        </is>
      </c>
      <c r="E425" t="inlineStr">
        <is>
          <t>账务中心</t>
        </is>
      </c>
      <c r="G425" t="inlineStr">
        <is>
          <t>S2职能系统－财经线/财会及报告管理部/账务中心</t>
        </is>
      </c>
      <c r="H425" s="188" t="n">
        <v>38820</v>
      </c>
      <c r="I425" t="inlineStr">
        <is>
          <t>社会招聘</t>
        </is>
      </c>
      <c r="J425" t="inlineStr">
        <is>
          <t>财经类－FN</t>
        </is>
      </c>
      <c r="K425" t="inlineStr">
        <is>
          <t>会计</t>
        </is>
      </c>
      <c r="L425" t="inlineStr">
        <is>
          <t>S6</t>
        </is>
      </c>
      <c r="N425" t="inlineStr">
        <is>
          <t>T1</t>
        </is>
      </c>
      <c r="Q425" t="inlineStr">
        <is>
          <t>U,G</t>
        </is>
      </c>
      <c r="U425" t="n">
        <v>21655.8</v>
      </c>
      <c r="V425" t="n">
        <v>0.083333</v>
      </c>
      <c r="W425" t="inlineStr">
        <is>
          <t>CNY</t>
        </is>
      </c>
      <c r="X425" t="n">
        <v>1</v>
      </c>
      <c r="Y425" t="n">
        <v>19645.65</v>
      </c>
      <c r="Z425" t="n">
        <v>0</v>
      </c>
      <c r="AA425" t="n">
        <v>21655.8</v>
      </c>
      <c r="AF425" t="n">
        <v>0</v>
      </c>
      <c r="AG425" t="n">
        <v>74490.8</v>
      </c>
      <c r="AH425" t="n">
        <v>3.791719795476352</v>
      </c>
      <c r="AJ425" t="n">
        <v>3.791719795476352</v>
      </c>
      <c r="AK425" t="n">
        <v>3.791719795476352</v>
      </c>
      <c r="AQ425" t="n">
        <v>74490.8</v>
      </c>
      <c r="AR425" t="n">
        <v>3.791719795476352</v>
      </c>
      <c r="AS425" t="n">
        <v>0.5903066804025676</v>
      </c>
      <c r="BL425" t="n">
        <v>1</v>
      </c>
      <c r="BM425" t="n">
        <v>17775</v>
      </c>
      <c r="BN425" t="n">
        <v>0</v>
      </c>
      <c r="BO425" t="n">
        <v>18000</v>
      </c>
      <c r="BP425" t="inlineStr">
        <is>
          <t>O,O</t>
        </is>
      </c>
      <c r="BQ425" t="inlineStr">
        <is>
          <t>T1</t>
        </is>
      </c>
      <c r="BS425" t="n">
        <v>5.561744022503516</v>
      </c>
      <c r="BT425" t="n">
        <v>27330</v>
      </c>
      <c r="BV425" t="n">
        <v>7.09929676511955</v>
      </c>
      <c r="BY425" t="n">
        <v>126190</v>
      </c>
      <c r="BZ425" t="n">
        <v>7.09929676511955</v>
      </c>
      <c r="CP425" t="inlineStr">
        <is>
          <t>财会及报告管理部</t>
        </is>
      </c>
      <c r="CQ425" t="inlineStr">
        <is>
          <t>3,1</t>
        </is>
      </c>
      <c r="CR425" t="n">
        <v>6</v>
      </c>
      <c r="CS425" t="inlineStr">
        <is>
          <t>T1</t>
        </is>
      </c>
      <c r="CT425" t="inlineStr">
        <is>
          <t>N</t>
        </is>
      </c>
    </row>
    <row r="426">
      <c r="A426" t="inlineStr">
        <is>
          <t>geraldZhao(赵恒)</t>
        </is>
      </c>
      <c r="C426" t="n">
        <v>12444955</v>
      </c>
      <c r="D426" t="inlineStr">
        <is>
          <t>财经IT管理部</t>
        </is>
      </c>
      <c r="E426" t="inlineStr">
        <is>
          <t>国际业务支持中心</t>
        </is>
      </c>
      <c r="G426" t="inlineStr">
        <is>
          <t>S2职能系统－财经线/财经IT管理部/国际业务支持中心</t>
        </is>
      </c>
      <c r="H426" s="188" t="n">
        <v>39106</v>
      </c>
      <c r="I426" t="inlineStr">
        <is>
          <t>社会招聘</t>
        </is>
      </c>
      <c r="J426" t="inlineStr">
        <is>
          <t>技术研发类－TRD</t>
        </is>
      </c>
      <c r="K426" t="inlineStr">
        <is>
          <t>应用开发</t>
        </is>
      </c>
      <c r="L426" t="inlineStr">
        <is>
          <t>T8</t>
        </is>
      </c>
      <c r="N426" t="inlineStr">
        <is>
          <t>Others</t>
        </is>
      </c>
      <c r="Q426" t="inlineStr">
        <is>
          <t>U,U</t>
        </is>
      </c>
      <c r="U426" t="n">
        <v>39048.05</v>
      </c>
      <c r="V426" t="n">
        <v>0.083333</v>
      </c>
      <c r="W426" t="inlineStr">
        <is>
          <t>CNY</t>
        </is>
      </c>
      <c r="X426" t="n">
        <v>1</v>
      </c>
      <c r="Y426" t="n">
        <v>37052.97</v>
      </c>
      <c r="Z426" t="n">
        <v>0</v>
      </c>
      <c r="AA426" t="n">
        <v>0</v>
      </c>
      <c r="AF426" t="n">
        <v>0</v>
      </c>
      <c r="AG426" t="n">
        <v>31080</v>
      </c>
      <c r="AH426" t="n">
        <v>0.8387991569906542</v>
      </c>
      <c r="AJ426" t="n">
        <v>0.8387991569906542</v>
      </c>
      <c r="AK426" t="n">
        <v>0.8387991569906542</v>
      </c>
      <c r="AQ426" t="n">
        <v>31080</v>
      </c>
      <c r="AR426" t="n">
        <v>0.8387991569906542</v>
      </c>
      <c r="AS426" t="n">
        <v>0.2981580966999233</v>
      </c>
      <c r="BL426" t="n">
        <v>1</v>
      </c>
      <c r="BM426" t="n">
        <v>32905</v>
      </c>
      <c r="BN426" t="n">
        <v>0</v>
      </c>
      <c r="BO426" t="n">
        <v>33410</v>
      </c>
      <c r="BP426" t="inlineStr">
        <is>
          <t>G,G</t>
        </is>
      </c>
      <c r="BQ426" t="inlineStr">
        <is>
          <t>Others</t>
        </is>
      </c>
      <c r="BS426" t="n">
        <v>3.167907612824798</v>
      </c>
      <c r="BT426" t="n">
        <v>0</v>
      </c>
      <c r="BV426" t="n">
        <v>3.167907612824798</v>
      </c>
      <c r="BY426" t="n">
        <v>104240</v>
      </c>
      <c r="BZ426" t="n">
        <v>3.167907612824798</v>
      </c>
      <c r="CP426" t="inlineStr">
        <is>
          <t>财经IT管理部</t>
        </is>
      </c>
      <c r="CQ426" t="inlineStr">
        <is>
          <t>1,1</t>
        </is>
      </c>
      <c r="CR426" t="n">
        <v>8</v>
      </c>
      <c r="CS426" t="inlineStr">
        <is>
          <t>Others</t>
        </is>
      </c>
      <c r="CT426" t="inlineStr">
        <is>
          <t>N</t>
        </is>
      </c>
    </row>
    <row r="427">
      <c r="A427" t="inlineStr">
        <is>
          <t>eugeneYu(于韬杰)</t>
        </is>
      </c>
      <c r="C427" t="n">
        <v>64342838</v>
      </c>
      <c r="D427" t="inlineStr">
        <is>
          <t>CDG财务管理</t>
        </is>
      </c>
      <c r="E427" t="inlineStr">
        <is>
          <t>综合财务管理中心</t>
        </is>
      </c>
      <c r="G427" t="inlineStr">
        <is>
          <t>S2职能系统－财经线/CDG财务管理/综合财务管理中心</t>
        </is>
      </c>
      <c r="H427" s="188" t="n">
        <v>39222</v>
      </c>
      <c r="I427" t="inlineStr">
        <is>
          <t>高校招聘</t>
        </is>
      </c>
      <c r="J427" t="inlineStr">
        <is>
          <t>财经类－FN</t>
        </is>
      </c>
      <c r="K427" t="inlineStr">
        <is>
          <t>财务管理</t>
        </is>
      </c>
      <c r="L427" t="inlineStr">
        <is>
          <t>S7</t>
        </is>
      </c>
      <c r="N427" t="inlineStr">
        <is>
          <t>T2</t>
        </is>
      </c>
      <c r="Q427" t="inlineStr">
        <is>
          <t>G,G</t>
        </is>
      </c>
      <c r="U427" t="n">
        <v>43680.55</v>
      </c>
      <c r="V427" t="n">
        <v>0.083333</v>
      </c>
      <c r="W427" t="inlineStr">
        <is>
          <t>CNY</t>
        </is>
      </c>
      <c r="X427" t="n">
        <v>1</v>
      </c>
      <c r="Y427" t="n">
        <v>39330.85</v>
      </c>
      <c r="Z427" t="n">
        <v>0</v>
      </c>
      <c r="AA427" t="n">
        <v>87361.10000000001</v>
      </c>
      <c r="AF427" t="n">
        <v>0</v>
      </c>
      <c r="AG427" t="n">
        <v>140911.1</v>
      </c>
      <c r="AH427" t="n">
        <v>3.582711789854529</v>
      </c>
      <c r="AJ427" t="n">
        <v>3.582711789854529</v>
      </c>
      <c r="AK427" t="n">
        <v>3.582711789854529</v>
      </c>
      <c r="AQ427" t="n">
        <v>140911.1</v>
      </c>
      <c r="AR427" t="n">
        <v>3.582711789854529</v>
      </c>
      <c r="AS427" t="n">
        <v>0.8351772166903746</v>
      </c>
      <c r="BL427" t="n">
        <v>1</v>
      </c>
      <c r="BM427" t="n">
        <v>39105</v>
      </c>
      <c r="BN427" t="n">
        <v>0</v>
      </c>
      <c r="BO427" t="n">
        <v>41080</v>
      </c>
      <c r="BP427" t="inlineStr">
        <is>
          <t>G,O</t>
        </is>
      </c>
      <c r="BQ427" t="inlineStr">
        <is>
          <t>T2</t>
        </is>
      </c>
      <c r="BS427" t="n">
        <v>4.314537782892213</v>
      </c>
      <c r="BT427" t="n">
        <v>0</v>
      </c>
      <c r="BV427" t="n">
        <v>4.314537782892213</v>
      </c>
      <c r="BY427" t="n">
        <v>168720</v>
      </c>
      <c r="BZ427" t="n">
        <v>4.314537782892213</v>
      </c>
      <c r="CP427" t="inlineStr">
        <is>
          <t>CDG财务管理</t>
        </is>
      </c>
      <c r="CQ427" t="inlineStr">
        <is>
          <t>3,3</t>
        </is>
      </c>
      <c r="CR427" t="n">
        <v>7</v>
      </c>
      <c r="CS427" t="inlineStr">
        <is>
          <t>T2</t>
        </is>
      </c>
      <c r="CT427" t="inlineStr">
        <is>
          <t>N</t>
        </is>
      </c>
    </row>
    <row r="428">
      <c r="A428" t="inlineStr">
        <is>
          <t>elijahPeng(彭鹏荣)</t>
        </is>
      </c>
      <c r="C428" t="n">
        <v>75237097</v>
      </c>
      <c r="D428" t="inlineStr">
        <is>
          <t>FiT财务管理</t>
        </is>
      </c>
      <c r="E428" t="inlineStr">
        <is>
          <t>结算支持中心</t>
        </is>
      </c>
      <c r="G428" t="inlineStr">
        <is>
          <t>S2职能系统－财经线/FiT财务管理/结算支持中心</t>
        </is>
      </c>
      <c r="H428" s="188" t="n">
        <v>40891</v>
      </c>
      <c r="I428" t="inlineStr">
        <is>
          <t>社会招聘</t>
        </is>
      </c>
      <c r="J428" t="inlineStr">
        <is>
          <t>财经类－FN</t>
        </is>
      </c>
      <c r="K428" t="inlineStr">
        <is>
          <t>财务管理</t>
        </is>
      </c>
      <c r="L428" t="inlineStr">
        <is>
          <t>S9</t>
        </is>
      </c>
      <c r="N428" t="inlineStr">
        <is>
          <t>T1</t>
        </is>
      </c>
      <c r="Q428" t="inlineStr">
        <is>
          <t>U,G</t>
        </is>
      </c>
      <c r="U428" t="n">
        <v>35034.95</v>
      </c>
      <c r="V428" t="n">
        <v>0.083333</v>
      </c>
      <c r="W428" t="inlineStr">
        <is>
          <t>CNY</t>
        </is>
      </c>
      <c r="X428" t="n">
        <v>1</v>
      </c>
      <c r="Y428" t="n">
        <v>34007.18</v>
      </c>
      <c r="Z428" t="n">
        <v>0</v>
      </c>
      <c r="AA428" t="n">
        <v>35034.95</v>
      </c>
      <c r="AF428" t="n">
        <v>0</v>
      </c>
      <c r="AG428" t="n">
        <v>107014.95</v>
      </c>
      <c r="AH428" t="n">
        <v>3.146833992115782</v>
      </c>
      <c r="AJ428" t="n">
        <v>3.146833992115782</v>
      </c>
      <c r="AK428" t="n">
        <v>3.146833992115782</v>
      </c>
      <c r="AQ428" t="n">
        <v>107014.95</v>
      </c>
      <c r="AR428" t="n">
        <v>3.146833992115782</v>
      </c>
      <c r="AS428" t="n">
        <v>0.782130093184725</v>
      </c>
      <c r="BL428" t="n">
        <v>1</v>
      </c>
      <c r="BM428" t="n">
        <v>28990</v>
      </c>
      <c r="BN428" t="n">
        <v>0</v>
      </c>
      <c r="BO428" t="n">
        <v>29525</v>
      </c>
      <c r="BP428" t="inlineStr">
        <is>
          <t>G,G</t>
        </is>
      </c>
      <c r="BQ428" t="inlineStr">
        <is>
          <t>T1</t>
        </is>
      </c>
      <c r="BS428" t="n">
        <v>3.204035874439462</v>
      </c>
      <c r="BT428" t="n">
        <v>43940</v>
      </c>
      <c r="BV428" t="n">
        <v>4.719730941704036</v>
      </c>
      <c r="BY428" t="n">
        <v>136825</v>
      </c>
      <c r="BZ428" t="n">
        <v>4.719730941704036</v>
      </c>
      <c r="CP428" t="inlineStr">
        <is>
          <t>FiT财务管理</t>
        </is>
      </c>
      <c r="CQ428" t="inlineStr">
        <is>
          <t>3,1</t>
        </is>
      </c>
      <c r="CR428" t="n">
        <v>9</v>
      </c>
      <c r="CS428" t="inlineStr">
        <is>
          <t>T1</t>
        </is>
      </c>
      <c r="CT428" t="inlineStr">
        <is>
          <t>N</t>
        </is>
      </c>
    </row>
    <row r="429">
      <c r="A429" t="inlineStr">
        <is>
          <t>dianaLong(龙婧云)</t>
        </is>
      </c>
      <c r="C429" t="n">
        <v>61650797</v>
      </c>
      <c r="D429" t="inlineStr">
        <is>
          <t>财会及报告管理部</t>
        </is>
      </c>
      <c r="E429" t="inlineStr">
        <is>
          <t>供应商支付管理中心</t>
        </is>
      </c>
      <c r="G429" t="inlineStr">
        <is>
          <t>S2职能系统－财经线/财会及报告管理部/供应商支付管理中心</t>
        </is>
      </c>
      <c r="H429" s="188" t="n">
        <v>40714</v>
      </c>
      <c r="I429" t="inlineStr">
        <is>
          <t>高校招聘</t>
        </is>
      </c>
      <c r="J429" t="inlineStr">
        <is>
          <t>财经类－FN</t>
        </is>
      </c>
      <c r="K429" t="inlineStr">
        <is>
          <t>会计</t>
        </is>
      </c>
      <c r="L429" t="inlineStr">
        <is>
          <t>S8</t>
        </is>
      </c>
      <c r="N429" t="inlineStr">
        <is>
          <t>T1#</t>
        </is>
      </c>
      <c r="Q429" t="inlineStr">
        <is>
          <t>O,G</t>
        </is>
      </c>
      <c r="U429" t="n">
        <v>33436.55</v>
      </c>
      <c r="V429" t="n">
        <v>0.083333</v>
      </c>
      <c r="W429" t="inlineStr">
        <is>
          <t>CNY</t>
        </is>
      </c>
      <c r="X429" t="n">
        <v>1</v>
      </c>
      <c r="Y429" t="n">
        <v>32078.37</v>
      </c>
      <c r="Z429" t="n">
        <v>0</v>
      </c>
      <c r="AA429" t="n">
        <v>100309.65</v>
      </c>
      <c r="AF429" t="n">
        <v>0</v>
      </c>
      <c r="AG429" t="n">
        <v>277719.65</v>
      </c>
      <c r="AH429" t="n">
        <v>8.65753621521293</v>
      </c>
      <c r="AJ429" t="n">
        <v>8.65753621521293</v>
      </c>
      <c r="AK429" t="n">
        <v>6.645744468936545</v>
      </c>
      <c r="AQ429" t="n">
        <v>277719.65</v>
      </c>
      <c r="AR429" t="n">
        <v>8.65753621521293</v>
      </c>
      <c r="AS429" t="n">
        <v>1.382549595519602</v>
      </c>
      <c r="BL429" t="n">
        <v>1</v>
      </c>
      <c r="BM429" t="n">
        <v>29445</v>
      </c>
      <c r="BN429" t="n">
        <v>0</v>
      </c>
      <c r="BO429" t="n">
        <v>29660</v>
      </c>
      <c r="BP429" t="inlineStr">
        <is>
          <t>G,G</t>
        </is>
      </c>
      <c r="BQ429" t="inlineStr">
        <is>
          <t>T1#</t>
        </is>
      </c>
      <c r="BS429" t="n">
        <v>5.037527593818985</v>
      </c>
      <c r="BT429" t="n">
        <v>52545</v>
      </c>
      <c r="BV429" t="n">
        <v>6.822041093564272</v>
      </c>
      <c r="BY429" t="n">
        <v>200875</v>
      </c>
      <c r="BZ429" t="n">
        <v>6.822041093564272</v>
      </c>
      <c r="CP429" t="inlineStr">
        <is>
          <t>财会及报告管理部</t>
        </is>
      </c>
      <c r="CQ429" t="inlineStr">
        <is>
          <t>5,3</t>
        </is>
      </c>
      <c r="CR429" t="n">
        <v>8</v>
      </c>
      <c r="CS429" t="inlineStr">
        <is>
          <t>T1#</t>
        </is>
      </c>
      <c r="CT429" t="inlineStr">
        <is>
          <t>N</t>
        </is>
      </c>
    </row>
    <row r="430">
      <c r="A430" t="inlineStr">
        <is>
          <t>claireNiu(牛思)</t>
        </is>
      </c>
      <c r="C430" t="n">
        <v>41368509</v>
      </c>
      <c r="D430" t="inlineStr">
        <is>
          <t>IEG财务管理</t>
        </is>
      </c>
      <c r="E430" t="inlineStr">
        <is>
          <t>自研财务管理组</t>
        </is>
      </c>
      <c r="G430" t="inlineStr">
        <is>
          <t>S2职能系统－财经线/IEG财务管理/自研财务管理组</t>
        </is>
      </c>
      <c r="H430" s="188" t="n">
        <v>43236</v>
      </c>
      <c r="I430" t="inlineStr">
        <is>
          <t>高校招聘</t>
        </is>
      </c>
      <c r="J430" t="inlineStr">
        <is>
          <t>财经类－FN</t>
        </is>
      </c>
      <c r="K430" t="inlineStr">
        <is>
          <t>财务管理</t>
        </is>
      </c>
      <c r="L430" t="inlineStr">
        <is>
          <t>S11</t>
        </is>
      </c>
      <c r="N430" t="inlineStr">
        <is>
          <t>T1</t>
        </is>
      </c>
      <c r="Q430" t="inlineStr">
        <is>
          <t>O,G</t>
        </is>
      </c>
      <c r="U430" t="n">
        <v>62826.4</v>
      </c>
      <c r="V430" t="n">
        <v>0.083333</v>
      </c>
      <c r="W430" t="inlineStr">
        <is>
          <t>CNY</t>
        </is>
      </c>
      <c r="X430" t="n">
        <v>1</v>
      </c>
      <c r="Y430" t="n">
        <v>60804.59</v>
      </c>
      <c r="Z430" t="n">
        <v>0</v>
      </c>
      <c r="AA430" t="n">
        <v>188479.2</v>
      </c>
      <c r="AF430" t="n">
        <v>0</v>
      </c>
      <c r="AG430" t="n">
        <v>406839.2</v>
      </c>
      <c r="AH430" t="n">
        <v>6.690929089399337</v>
      </c>
      <c r="AJ430" t="n">
        <v>6.690929089399337</v>
      </c>
      <c r="AK430" t="n">
        <v>5.577526301879513</v>
      </c>
      <c r="AQ430" t="n">
        <v>406839.2</v>
      </c>
      <c r="AR430" t="n">
        <v>6.690929089399337</v>
      </c>
      <c r="AS430" t="n">
        <v>1.335168520888714</v>
      </c>
      <c r="BL430" t="n">
        <v>1</v>
      </c>
      <c r="BM430" t="n">
        <v>55295</v>
      </c>
      <c r="BN430" t="n">
        <v>0</v>
      </c>
      <c r="BO430" t="n">
        <v>59650</v>
      </c>
      <c r="BP430" t="inlineStr">
        <is>
          <t>G,G</t>
        </is>
      </c>
      <c r="BQ430" t="inlineStr">
        <is>
          <t>T1</t>
        </is>
      </c>
      <c r="BS430" t="n">
        <v>3.451487476263677</v>
      </c>
      <c r="BT430" t="n">
        <v>113860</v>
      </c>
      <c r="BV430" t="n">
        <v>5.510624830454833</v>
      </c>
      <c r="BY430" t="n">
        <v>304710</v>
      </c>
      <c r="BZ430" t="n">
        <v>5.510624830454833</v>
      </c>
      <c r="CP430" t="inlineStr">
        <is>
          <t>IEG财务管理</t>
        </is>
      </c>
      <c r="CQ430" t="inlineStr">
        <is>
          <t>5,3</t>
        </is>
      </c>
      <c r="CR430" t="n">
        <v>11</v>
      </c>
      <c r="CS430" t="inlineStr">
        <is>
          <t>T1</t>
        </is>
      </c>
      <c r="CT430" t="inlineStr">
        <is>
          <t>N</t>
        </is>
      </c>
    </row>
    <row r="431">
      <c r="A431" t="inlineStr">
        <is>
          <t>melissaXu(徐珊悦)</t>
        </is>
      </c>
      <c r="C431" t="n">
        <v>32781872</v>
      </c>
      <c r="D431" t="inlineStr">
        <is>
          <t>财经IT管理部</t>
        </is>
      </c>
      <c r="E431" t="inlineStr">
        <is>
          <t>业务开发中心</t>
        </is>
      </c>
      <c r="G431" t="inlineStr">
        <is>
          <t>S2职能系统－财经线/财经IT管理部/业务开发中心</t>
        </is>
      </c>
      <c r="H431" s="188" t="n">
        <v>44904</v>
      </c>
      <c r="I431" t="inlineStr">
        <is>
          <t>社会招聘</t>
        </is>
      </c>
      <c r="J431" t="inlineStr">
        <is>
          <t>技术研发类－TRD</t>
        </is>
      </c>
      <c r="K431" t="inlineStr">
        <is>
          <t>应用开发</t>
        </is>
      </c>
      <c r="L431" t="inlineStr">
        <is>
          <t>T6</t>
        </is>
      </c>
      <c r="N431" t="inlineStr">
        <is>
          <t>T1</t>
        </is>
      </c>
      <c r="Q431" t="inlineStr">
        <is>
          <t>U,G</t>
        </is>
      </c>
      <c r="U431" t="n">
        <v>35500.65</v>
      </c>
      <c r="V431" t="n">
        <v>0.083333</v>
      </c>
      <c r="W431" t="inlineStr">
        <is>
          <t>CNY</t>
        </is>
      </c>
      <c r="X431" t="n">
        <v>1</v>
      </c>
      <c r="Y431" t="n">
        <v>34504.51</v>
      </c>
      <c r="Z431" t="n">
        <v>0</v>
      </c>
      <c r="AA431" t="n">
        <v>35500.65</v>
      </c>
      <c r="AF431" t="n">
        <v>0</v>
      </c>
      <c r="AG431" t="n">
        <v>109795.65</v>
      </c>
      <c r="AH431" t="n">
        <v>3.18206663418782</v>
      </c>
      <c r="AJ431" t="n">
        <v>3.18206663418782</v>
      </c>
      <c r="AK431" t="n">
        <v>3.18206663418782</v>
      </c>
      <c r="AQ431" t="n">
        <v>109795.65</v>
      </c>
      <c r="AR431" t="n">
        <v>3.18206663418782</v>
      </c>
      <c r="AS431" t="n">
        <v>0.7827729654582397</v>
      </c>
      <c r="BL431" t="n">
        <v>1</v>
      </c>
      <c r="BM431" t="n">
        <v>29095</v>
      </c>
      <c r="BN431" t="n">
        <v>0</v>
      </c>
      <c r="BO431" t="n">
        <v>31445</v>
      </c>
      <c r="BP431" t="inlineStr">
        <is>
          <t>G,G</t>
        </is>
      </c>
      <c r="BQ431" t="inlineStr">
        <is>
          <t>T1</t>
        </is>
      </c>
      <c r="BS431" t="n">
        <v>3.262588073552157</v>
      </c>
      <c r="BT431" t="n">
        <v>45340</v>
      </c>
      <c r="BV431" t="n">
        <v>4.820931431517443</v>
      </c>
      <c r="BY431" t="n">
        <v>140265</v>
      </c>
      <c r="BZ431" t="n">
        <v>4.820931431517443</v>
      </c>
      <c r="CP431" t="inlineStr">
        <is>
          <t>财经IT管理部</t>
        </is>
      </c>
      <c r="CQ431" t="inlineStr">
        <is>
          <t>3,1</t>
        </is>
      </c>
      <c r="CR431" t="n">
        <v>6</v>
      </c>
      <c r="CS431" t="inlineStr">
        <is>
          <t>T1</t>
        </is>
      </c>
      <c r="CT431" t="inlineStr">
        <is>
          <t>N</t>
        </is>
      </c>
    </row>
    <row r="432">
      <c r="A432" t="inlineStr">
        <is>
          <t>addisonZou(邹涵丹)</t>
        </is>
      </c>
      <c r="C432" t="n">
        <v>78510654</v>
      </c>
      <c r="D432" t="inlineStr">
        <is>
          <t>财经IT管理部</t>
        </is>
      </c>
      <c r="E432" t="inlineStr">
        <is>
          <t>国际业务支持中心</t>
        </is>
      </c>
      <c r="G432" t="inlineStr">
        <is>
          <t>S2职能系统－财经线/财经IT管理部/国际业务支持中心</t>
        </is>
      </c>
      <c r="H432" s="188" t="n">
        <v>43974</v>
      </c>
      <c r="I432" t="inlineStr">
        <is>
          <t>社会招聘</t>
        </is>
      </c>
      <c r="J432" t="inlineStr">
        <is>
          <t>技术研发类－TRD</t>
        </is>
      </c>
      <c r="K432" t="inlineStr">
        <is>
          <t>应用开发</t>
        </is>
      </c>
      <c r="L432" t="inlineStr">
        <is>
          <t>T8</t>
        </is>
      </c>
      <c r="N432" t="inlineStr">
        <is>
          <t>T2</t>
        </is>
      </c>
      <c r="Q432" t="inlineStr">
        <is>
          <t>O,U</t>
        </is>
      </c>
      <c r="U432" t="n">
        <v>29392.8</v>
      </c>
      <c r="V432" t="n">
        <v>0.083333</v>
      </c>
      <c r="W432" t="inlineStr">
        <is>
          <t>CNY</t>
        </is>
      </c>
      <c r="X432" t="n">
        <v>1</v>
      </c>
      <c r="Y432" t="n">
        <v>27918.73</v>
      </c>
      <c r="Z432" t="n">
        <v>0</v>
      </c>
      <c r="AA432" t="n">
        <v>58785.6</v>
      </c>
      <c r="AF432" t="n">
        <v>0</v>
      </c>
      <c r="AG432" t="n">
        <v>97530.60000000001</v>
      </c>
      <c r="AH432" t="n">
        <v>3.493375235907938</v>
      </c>
      <c r="AJ432" t="n">
        <v>3.493375235907938</v>
      </c>
      <c r="AK432" t="n">
        <v>3.493375235907938</v>
      </c>
      <c r="AQ432" t="n">
        <v>97530.60000000001</v>
      </c>
      <c r="AR432" t="n">
        <v>3.493375235907938</v>
      </c>
      <c r="AS432" t="n">
        <v>0.8711978561857973</v>
      </c>
      <c r="BL432" t="n">
        <v>1</v>
      </c>
      <c r="BM432" t="n">
        <v>25030</v>
      </c>
      <c r="BN432" t="n">
        <v>0</v>
      </c>
      <c r="BO432" t="n">
        <v>26710</v>
      </c>
      <c r="BP432" t="inlineStr">
        <is>
          <t>O,G</t>
        </is>
      </c>
      <c r="BQ432" t="inlineStr">
        <is>
          <t>T2</t>
        </is>
      </c>
      <c r="BS432" t="n">
        <v>4.472632840591291</v>
      </c>
      <c r="BT432" t="n">
        <v>0</v>
      </c>
      <c r="BV432" t="n">
        <v>4.472632840591291</v>
      </c>
      <c r="BY432" t="n">
        <v>111950</v>
      </c>
      <c r="BZ432" t="n">
        <v>4.472632840591291</v>
      </c>
      <c r="CP432" t="inlineStr">
        <is>
          <t>财经IT管理部</t>
        </is>
      </c>
      <c r="CQ432" t="inlineStr">
        <is>
          <t>5,1</t>
        </is>
      </c>
      <c r="CR432" t="n">
        <v>8</v>
      </c>
      <c r="CS432" t="inlineStr">
        <is>
          <t>T2</t>
        </is>
      </c>
      <c r="CT432" t="inlineStr">
        <is>
          <t>N</t>
        </is>
      </c>
    </row>
    <row r="433">
      <c r="A433" t="inlineStr">
        <is>
          <t>sharonGong(龚妍)</t>
        </is>
      </c>
      <c r="C433" t="n">
        <v>13576720</v>
      </c>
      <c r="D433" t="inlineStr">
        <is>
          <t>财会及报告管理部</t>
        </is>
      </c>
      <c r="E433" t="inlineStr">
        <is>
          <t>财报中心</t>
        </is>
      </c>
      <c r="G433" t="inlineStr">
        <is>
          <t>S2职能系统－财经线/财会及报告管理部/财报中心</t>
        </is>
      </c>
      <c r="H433" s="188" t="n">
        <v>44061</v>
      </c>
      <c r="I433" t="inlineStr">
        <is>
          <t>高校招聘</t>
        </is>
      </c>
      <c r="J433" t="inlineStr">
        <is>
          <t>财经类－FN</t>
        </is>
      </c>
      <c r="K433" t="inlineStr">
        <is>
          <t>会计</t>
        </is>
      </c>
      <c r="L433" t="inlineStr">
        <is>
          <t>S6</t>
        </is>
      </c>
      <c r="N433" t="inlineStr">
        <is>
          <t>T1</t>
        </is>
      </c>
      <c r="Q433" t="inlineStr">
        <is>
          <t>O,O</t>
        </is>
      </c>
      <c r="U433" t="n">
        <v>23247.75</v>
      </c>
      <c r="V433" t="n">
        <v>0.083333</v>
      </c>
      <c r="W433" t="inlineStr">
        <is>
          <t>CNY</t>
        </is>
      </c>
      <c r="X433" t="n">
        <v>1</v>
      </c>
      <c r="Y433" t="n">
        <v>21653.63</v>
      </c>
      <c r="Z433" t="n">
        <v>0</v>
      </c>
      <c r="AA433" t="n">
        <v>92991</v>
      </c>
      <c r="AF433" t="n">
        <v>0</v>
      </c>
      <c r="AG433" t="n">
        <v>178321</v>
      </c>
      <c r="AH433" t="n">
        <v>8.235155029433864</v>
      </c>
      <c r="AJ433" t="n">
        <v>8.235155029433864</v>
      </c>
      <c r="AK433" t="n">
        <v>6.749491886579755</v>
      </c>
      <c r="AQ433" t="n">
        <v>178321</v>
      </c>
      <c r="AR433" t="n">
        <v>8.235155029433864</v>
      </c>
      <c r="AS433" t="n">
        <v>1.804594444163335</v>
      </c>
      <c r="BL433" t="n">
        <v>1</v>
      </c>
      <c r="BM433" t="n">
        <v>20775</v>
      </c>
      <c r="BN433" t="n">
        <v>0</v>
      </c>
      <c r="BO433" t="n">
        <v>22640</v>
      </c>
      <c r="BP433" t="inlineStr">
        <is>
          <t>G,O</t>
        </is>
      </c>
      <c r="BQ433" t="inlineStr">
        <is>
          <t>T2</t>
        </is>
      </c>
      <c r="BS433" t="n">
        <v>4.756438026474128</v>
      </c>
      <c r="BT433" t="n">
        <v>0</v>
      </c>
      <c r="BV433" t="n">
        <v>4.756438026474128</v>
      </c>
      <c r="BY433" t="n">
        <v>98815</v>
      </c>
      <c r="BZ433" t="n">
        <v>4.756438026474128</v>
      </c>
      <c r="CP433" t="inlineStr">
        <is>
          <t>财会及报告管理部</t>
        </is>
      </c>
      <c r="CQ433" t="inlineStr">
        <is>
          <t>5,5</t>
        </is>
      </c>
      <c r="CR433" t="n">
        <v>6</v>
      </c>
      <c r="CS433" t="inlineStr">
        <is>
          <t>T1</t>
        </is>
      </c>
      <c r="CT433" t="inlineStr">
        <is>
          <t>N</t>
        </is>
      </c>
    </row>
    <row r="434">
      <c r="A434" t="inlineStr">
        <is>
          <t>eugeneZeng(曾骏锐)</t>
        </is>
      </c>
      <c r="C434" t="n">
        <v>89781309</v>
      </c>
      <c r="D434" t="inlineStr">
        <is>
          <t>财会及报告管理部</t>
        </is>
      </c>
      <c r="E434" t="inlineStr">
        <is>
          <t>员工报销服务中心</t>
        </is>
      </c>
      <c r="G434" t="inlineStr">
        <is>
          <t>S2职能系统－财经线/财会及报告管理部/员工报销服务中心</t>
        </is>
      </c>
      <c r="H434" s="188" t="n">
        <v>41552</v>
      </c>
      <c r="I434" t="inlineStr">
        <is>
          <t>社会招聘</t>
        </is>
      </c>
      <c r="J434" t="inlineStr">
        <is>
          <t>财经类－FN</t>
        </is>
      </c>
      <c r="K434" t="inlineStr">
        <is>
          <t>会计</t>
        </is>
      </c>
      <c r="L434" t="inlineStr">
        <is>
          <t>S10</t>
        </is>
      </c>
      <c r="N434" t="inlineStr">
        <is>
          <t>T1#</t>
        </is>
      </c>
      <c r="Q434" t="inlineStr">
        <is>
          <t>G,O</t>
        </is>
      </c>
      <c r="U434" t="n">
        <v>48259.55</v>
      </c>
      <c r="V434" t="n">
        <v>0.083333</v>
      </c>
      <c r="W434" t="inlineStr">
        <is>
          <t>CNY</t>
        </is>
      </c>
      <c r="X434" t="n">
        <v>1</v>
      </c>
      <c r="Y434" t="n">
        <v>47132.38</v>
      </c>
      <c r="Z434" t="n">
        <v>0</v>
      </c>
      <c r="AA434" t="n">
        <v>144778.65</v>
      </c>
      <c r="AF434" t="n">
        <v>0</v>
      </c>
      <c r="AG434" t="n">
        <v>367343.65</v>
      </c>
      <c r="AH434" t="n">
        <v>7.793870158901377</v>
      </c>
      <c r="AJ434" t="n">
        <v>7.793870158901377</v>
      </c>
      <c r="AK434" t="n">
        <v>6.484048757987609</v>
      </c>
      <c r="AQ434" t="n">
        <v>367343.65</v>
      </c>
      <c r="AR434" t="n">
        <v>7.793870158901377</v>
      </c>
      <c r="AS434" t="n">
        <v>1.468845815506418</v>
      </c>
      <c r="BL434" t="n">
        <v>1</v>
      </c>
      <c r="BM434" t="n">
        <v>39985</v>
      </c>
      <c r="BN434" t="n">
        <v>0</v>
      </c>
      <c r="BO434" t="n">
        <v>40435</v>
      </c>
      <c r="BP434" t="inlineStr">
        <is>
          <t>G,G</t>
        </is>
      </c>
      <c r="BQ434" t="inlineStr">
        <is>
          <t>T1#</t>
        </is>
      </c>
      <c r="BS434" t="n">
        <v>5.216206077278979</v>
      </c>
      <c r="BT434" t="n">
        <v>41520</v>
      </c>
      <c r="BV434" t="n">
        <v>6.254595473302488</v>
      </c>
      <c r="BY434" t="n">
        <v>250090</v>
      </c>
      <c r="BZ434" t="n">
        <v>6.254595473302488</v>
      </c>
      <c r="CP434" t="inlineStr">
        <is>
          <t>财会及报告管理部</t>
        </is>
      </c>
      <c r="CQ434" t="inlineStr">
        <is>
          <t>5,3</t>
        </is>
      </c>
      <c r="CR434" t="n">
        <v>10</v>
      </c>
      <c r="CS434" t="inlineStr">
        <is>
          <t>T1#</t>
        </is>
      </c>
      <c r="CT434" t="inlineStr">
        <is>
          <t>N</t>
        </is>
      </c>
    </row>
    <row r="435">
      <c r="A435" t="inlineStr">
        <is>
          <t>joshuaFang(方刚)</t>
        </is>
      </c>
      <c r="C435" t="n">
        <v>90614676</v>
      </c>
      <c r="D435" t="inlineStr">
        <is>
          <t>CDG财务管理</t>
        </is>
      </c>
      <c r="E435" t="inlineStr">
        <is>
          <t>AMS收入支持中心</t>
        </is>
      </c>
      <c r="G435" t="inlineStr">
        <is>
          <t>S2职能系统－财经线/CDG财务管理/AMS收入支持中心</t>
        </is>
      </c>
      <c r="H435" s="188" t="n">
        <v>45441</v>
      </c>
      <c r="I435" t="inlineStr">
        <is>
          <t>高校招聘</t>
        </is>
      </c>
      <c r="J435" t="inlineStr">
        <is>
          <t>财经类－FN</t>
        </is>
      </c>
      <c r="K435" t="inlineStr">
        <is>
          <t>财务管理</t>
        </is>
      </c>
      <c r="L435" t="inlineStr">
        <is>
          <t>S8</t>
        </is>
      </c>
      <c r="N435" t="inlineStr">
        <is>
          <t>T2</t>
        </is>
      </c>
      <c r="Q435" t="inlineStr">
        <is>
          <t>N,G</t>
        </is>
      </c>
      <c r="U435" t="n">
        <v>38916.35</v>
      </c>
      <c r="V435" t="n">
        <v>0.083333</v>
      </c>
      <c r="W435" t="inlineStr">
        <is>
          <t>CNY</t>
        </is>
      </c>
      <c r="X435" t="n">
        <v>0.591781</v>
      </c>
      <c r="Y435" t="n">
        <v>37798.73</v>
      </c>
      <c r="Z435" t="n">
        <v>0</v>
      </c>
      <c r="AA435" t="n">
        <v>23029.96</v>
      </c>
      <c r="AF435" t="n">
        <v>0</v>
      </c>
      <c r="AG435" t="n">
        <v>23029.96</v>
      </c>
      <c r="AH435" t="n">
        <v>0.6092786715320858</v>
      </c>
      <c r="AJ435" t="n">
        <v>0.6092786715320858</v>
      </c>
      <c r="AK435" t="n">
        <v>0.6092786715320858</v>
      </c>
      <c r="AQ435" t="n">
        <v>23029.96</v>
      </c>
      <c r="AR435" t="n">
        <v>0.6092786715320858</v>
      </c>
      <c r="BM435" t="n">
        <v>0</v>
      </c>
      <c r="BN435" t="n">
        <v>0</v>
      </c>
      <c r="BO435" t="n">
        <v>0</v>
      </c>
      <c r="BT435" t="n">
        <v>0</v>
      </c>
      <c r="BY435" t="n">
        <v>0</v>
      </c>
      <c r="CP435" t="inlineStr">
        <is>
          <t>CDG财务管理</t>
        </is>
      </c>
      <c r="CQ435" t="n">
        <v>3</v>
      </c>
      <c r="CR435" t="n">
        <v>8</v>
      </c>
      <c r="CS435" t="inlineStr">
        <is>
          <t>T2</t>
        </is>
      </c>
      <c r="CT435" t="inlineStr">
        <is>
          <t>N</t>
        </is>
      </c>
    </row>
    <row r="436">
      <c r="A436" t="inlineStr">
        <is>
          <t>scarlettHong(洪蕾玲)</t>
        </is>
      </c>
      <c r="C436" t="n">
        <v>7495885</v>
      </c>
      <c r="D436" t="inlineStr">
        <is>
          <t>税务部</t>
        </is>
      </c>
      <c r="E436" t="inlineStr">
        <is>
          <t>国内主体税务中心</t>
        </is>
      </c>
      <c r="G436" t="inlineStr">
        <is>
          <t>S2职能系统－财经线/税务部/国内主体税务中心</t>
        </is>
      </c>
      <c r="H436" s="188" t="n">
        <v>43717</v>
      </c>
      <c r="I436" t="inlineStr">
        <is>
          <t>社会招聘</t>
        </is>
      </c>
      <c r="J436" t="inlineStr">
        <is>
          <t>财经类－FN</t>
        </is>
      </c>
      <c r="K436" t="inlineStr">
        <is>
          <t>税务</t>
        </is>
      </c>
      <c r="L436" t="inlineStr">
        <is>
          <t>S5</t>
        </is>
      </c>
      <c r="N436" t="inlineStr">
        <is>
          <t>T2</t>
        </is>
      </c>
      <c r="Q436" t="inlineStr">
        <is>
          <t>O,G</t>
        </is>
      </c>
      <c r="U436" t="n">
        <v>20533.8</v>
      </c>
      <c r="V436" t="n">
        <v>0.083333</v>
      </c>
      <c r="W436" t="inlineStr">
        <is>
          <t>CNY</t>
        </is>
      </c>
      <c r="X436" t="n">
        <v>1</v>
      </c>
      <c r="Y436" t="n">
        <v>18794.11</v>
      </c>
      <c r="Z436" t="n">
        <v>0</v>
      </c>
      <c r="AA436" t="n">
        <v>61601.4</v>
      </c>
      <c r="AF436" t="n">
        <v>0</v>
      </c>
      <c r="AG436" t="n">
        <v>92166.39999999999</v>
      </c>
      <c r="AH436" t="n">
        <v>4.904004499281956</v>
      </c>
      <c r="AJ436" t="n">
        <v>4.904004499281956</v>
      </c>
      <c r="AK436" t="n">
        <v>4.904004499281956</v>
      </c>
      <c r="AQ436" t="n">
        <v>92166.39999999999</v>
      </c>
      <c r="AR436" t="n">
        <v>4.904004499281956</v>
      </c>
      <c r="AS436" t="n">
        <v>0.7248920523811396</v>
      </c>
      <c r="BL436" t="n">
        <v>1</v>
      </c>
      <c r="BM436" t="n">
        <v>17870</v>
      </c>
      <c r="BN436" t="n">
        <v>0</v>
      </c>
      <c r="BO436" t="n">
        <v>19235</v>
      </c>
      <c r="BP436" t="inlineStr">
        <is>
          <t>G,G</t>
        </is>
      </c>
      <c r="BQ436" t="inlineStr">
        <is>
          <t>T1#</t>
        </is>
      </c>
      <c r="BS436" t="n">
        <v>5.878007834359261</v>
      </c>
      <c r="BT436" t="n">
        <v>22105</v>
      </c>
      <c r="BV436" t="n">
        <v>7.11499720201455</v>
      </c>
      <c r="BY436" t="n">
        <v>127145</v>
      </c>
      <c r="BZ436" t="n">
        <v>7.11499720201455</v>
      </c>
      <c r="CP436" t="inlineStr">
        <is>
          <t>税务部</t>
        </is>
      </c>
      <c r="CQ436" t="inlineStr">
        <is>
          <t>5,3</t>
        </is>
      </c>
      <c r="CR436" t="n">
        <v>5</v>
      </c>
      <c r="CS436" t="inlineStr">
        <is>
          <t>T2</t>
        </is>
      </c>
      <c r="CT436" t="inlineStr">
        <is>
          <t>N</t>
        </is>
      </c>
    </row>
    <row r="437">
      <c r="A437" t="inlineStr">
        <is>
          <t>miaDing(丁荷)</t>
        </is>
      </c>
      <c r="C437" t="n">
        <v>97002457</v>
      </c>
      <c r="D437" t="inlineStr">
        <is>
          <t>财经IT管理部</t>
        </is>
      </c>
      <c r="E437" t="inlineStr">
        <is>
          <t>财经IT管理部</t>
        </is>
      </c>
      <c r="G437" t="inlineStr">
        <is>
          <t>S2职能系统－财经线/财经IT管理部</t>
        </is>
      </c>
      <c r="H437" s="188" t="n">
        <v>39094</v>
      </c>
      <c r="I437" t="inlineStr">
        <is>
          <t>社会招聘</t>
        </is>
      </c>
      <c r="J437" t="inlineStr">
        <is>
          <t>技术研发类－TRD</t>
        </is>
      </c>
      <c r="K437" t="inlineStr">
        <is>
          <t>应用开发</t>
        </is>
      </c>
      <c r="L437" t="inlineStr">
        <is>
          <t>T6</t>
        </is>
      </c>
      <c r="N437" t="inlineStr">
        <is>
          <t>T1</t>
        </is>
      </c>
      <c r="Q437" t="inlineStr">
        <is>
          <t>G,G</t>
        </is>
      </c>
      <c r="U437" t="n">
        <v>37737.65</v>
      </c>
      <c r="V437" t="n">
        <v>0.083333</v>
      </c>
      <c r="W437" t="inlineStr">
        <is>
          <t>CNY</t>
        </is>
      </c>
      <c r="X437" t="n">
        <v>1</v>
      </c>
      <c r="Y437" t="n">
        <v>34802.1</v>
      </c>
      <c r="Z437" t="n">
        <v>0</v>
      </c>
      <c r="AA437" t="n">
        <v>75475.3</v>
      </c>
      <c r="AF437" t="n">
        <v>0</v>
      </c>
      <c r="AG437" t="n">
        <v>216245.3</v>
      </c>
      <c r="AH437" t="n">
        <v>6.213570445461625</v>
      </c>
      <c r="AJ437" t="n">
        <v>6.213570445461625</v>
      </c>
      <c r="AK437" t="n">
        <v>4.714235635205921</v>
      </c>
      <c r="AQ437" t="n">
        <v>216245.3</v>
      </c>
      <c r="AR437" t="n">
        <v>6.213570445461625</v>
      </c>
      <c r="AS437" t="n">
        <v>3.027585579278964</v>
      </c>
      <c r="BL437" t="n">
        <v>1</v>
      </c>
      <c r="BM437" t="n">
        <v>32560</v>
      </c>
      <c r="BN437" t="n">
        <v>0</v>
      </c>
      <c r="BO437" t="n">
        <v>32565</v>
      </c>
      <c r="BP437" t="inlineStr">
        <is>
          <t>G,U</t>
        </is>
      </c>
      <c r="BQ437" t="inlineStr">
        <is>
          <t>Others</t>
        </is>
      </c>
      <c r="BS437" t="n">
        <v>2.193642506142506</v>
      </c>
      <c r="BT437" t="n">
        <v>0</v>
      </c>
      <c r="BV437" t="n">
        <v>2.193642506142506</v>
      </c>
      <c r="BY437" t="n">
        <v>71425</v>
      </c>
      <c r="BZ437" t="n">
        <v>2.193642506142506</v>
      </c>
      <c r="CP437" t="inlineStr">
        <is>
          <t>财经IT管理部</t>
        </is>
      </c>
      <c r="CQ437" t="inlineStr">
        <is>
          <t>3,3</t>
        </is>
      </c>
      <c r="CR437" t="n">
        <v>6</v>
      </c>
      <c r="CS437" t="inlineStr">
        <is>
          <t>T1</t>
        </is>
      </c>
      <c r="CT437" t="inlineStr">
        <is>
          <t>N</t>
        </is>
      </c>
    </row>
    <row r="438">
      <c r="A438" t="inlineStr">
        <is>
          <t>allisonKong(孔涵洁)</t>
        </is>
      </c>
      <c r="C438" t="n">
        <v>9865962</v>
      </c>
      <c r="D438" t="inlineStr">
        <is>
          <t>CSIG财务管理</t>
        </is>
      </c>
      <c r="E438" t="inlineStr">
        <is>
          <t>应收账款管理中心</t>
        </is>
      </c>
      <c r="G438" t="inlineStr">
        <is>
          <t>S2职能系统－财经线/CSIG财务管理/应收账款管理中心</t>
        </is>
      </c>
      <c r="H438" s="188" t="n">
        <v>45420</v>
      </c>
      <c r="I438" t="inlineStr">
        <is>
          <t>高校招聘</t>
        </is>
      </c>
      <c r="J438" t="inlineStr">
        <is>
          <t>财经类－FN</t>
        </is>
      </c>
      <c r="K438" t="inlineStr">
        <is>
          <t>财务管理</t>
        </is>
      </c>
      <c r="L438" t="inlineStr">
        <is>
          <t>S6</t>
        </is>
      </c>
      <c r="N438" t="inlineStr">
        <is>
          <t>T1#</t>
        </is>
      </c>
      <c r="Q438" t="inlineStr">
        <is>
          <t>N,O</t>
        </is>
      </c>
      <c r="U438" t="n">
        <v>24312.4</v>
      </c>
      <c r="V438" t="n">
        <v>0.083333</v>
      </c>
      <c r="W438" t="inlineStr">
        <is>
          <t>CNY</t>
        </is>
      </c>
      <c r="X438" t="n">
        <v>0.649315</v>
      </c>
      <c r="Y438" t="n">
        <v>22421.71</v>
      </c>
      <c r="Z438" t="n">
        <v>0</v>
      </c>
      <c r="AA438" t="n">
        <v>15786.41</v>
      </c>
      <c r="AF438" t="n">
        <v>0</v>
      </c>
      <c r="AG438" t="n">
        <v>15786.41</v>
      </c>
      <c r="AH438" t="n">
        <v>0.704068066173365</v>
      </c>
      <c r="AJ438" t="n">
        <v>0.704068066173365</v>
      </c>
      <c r="AK438" t="n">
        <v>0.704068066173365</v>
      </c>
      <c r="AQ438" t="n">
        <v>15786.41</v>
      </c>
      <c r="AR438" t="n">
        <v>0.704068066173365</v>
      </c>
      <c r="BM438" t="n">
        <v>0</v>
      </c>
      <c r="BN438" t="n">
        <v>0</v>
      </c>
      <c r="BO438" t="n">
        <v>0</v>
      </c>
      <c r="BT438" t="n">
        <v>0</v>
      </c>
      <c r="BY438" t="n">
        <v>0</v>
      </c>
      <c r="CP438" t="inlineStr">
        <is>
          <t>CSIG财务管理</t>
        </is>
      </c>
      <c r="CQ438" t="n">
        <v>5</v>
      </c>
      <c r="CR438" t="n">
        <v>6</v>
      </c>
      <c r="CS438" t="inlineStr">
        <is>
          <t>T1#</t>
        </is>
      </c>
      <c r="CT438" t="inlineStr">
        <is>
          <t>N</t>
        </is>
      </c>
    </row>
    <row r="439">
      <c r="A439" t="inlineStr">
        <is>
          <t>sophieWei(魏璇)</t>
        </is>
      </c>
      <c r="C439" t="n">
        <v>32541986</v>
      </c>
      <c r="D439" t="inlineStr">
        <is>
          <t>海外财经中心</t>
        </is>
      </c>
      <c r="E439" t="inlineStr">
        <is>
          <t>海外财经中心</t>
        </is>
      </c>
      <c r="G439" t="inlineStr">
        <is>
          <t>S2职能系统－财经线/海外财经中心</t>
        </is>
      </c>
      <c r="H439" s="188" t="n">
        <v>40457</v>
      </c>
      <c r="I439" t="inlineStr">
        <is>
          <t>高校招聘</t>
        </is>
      </c>
      <c r="J439" t="inlineStr">
        <is>
          <t>财经类－FN</t>
        </is>
      </c>
      <c r="K439" t="inlineStr">
        <is>
          <t>财务管理</t>
        </is>
      </c>
      <c r="L439" t="inlineStr">
        <is>
          <t>S11</t>
        </is>
      </c>
      <c r="N439" t="inlineStr">
        <is>
          <t>T1#</t>
        </is>
      </c>
      <c r="Q439" t="inlineStr">
        <is>
          <t>G,G</t>
        </is>
      </c>
      <c r="U439" t="n">
        <v>52124.65</v>
      </c>
      <c r="V439" t="n">
        <v>0.083333</v>
      </c>
      <c r="W439" t="inlineStr">
        <is>
          <t>CNY</t>
        </is>
      </c>
      <c r="X439" t="n">
        <v>1</v>
      </c>
      <c r="Y439" t="n">
        <v>47787.39</v>
      </c>
      <c r="Z439" t="n">
        <v>0</v>
      </c>
      <c r="AA439" t="n">
        <v>104249.3</v>
      </c>
      <c r="AF439" t="n">
        <v>0</v>
      </c>
      <c r="AG439" t="n">
        <v>340174.3</v>
      </c>
      <c r="AH439" t="n">
        <v>7.118495067422598</v>
      </c>
      <c r="AJ439" t="n">
        <v>7.118495067422598</v>
      </c>
      <c r="AK439" t="n">
        <v>5.503215387992523</v>
      </c>
      <c r="AQ439" t="n">
        <v>340174.3</v>
      </c>
      <c r="AR439" t="n">
        <v>7.118495067422598</v>
      </c>
      <c r="AS439" t="n">
        <v>1.098151208961488</v>
      </c>
      <c r="BL439" t="n">
        <v>1</v>
      </c>
      <c r="BM439" t="n">
        <v>43680</v>
      </c>
      <c r="BN439" t="n">
        <v>0</v>
      </c>
      <c r="BO439" t="n">
        <v>44620</v>
      </c>
      <c r="BP439" t="inlineStr">
        <is>
          <t>G,G</t>
        </is>
      </c>
      <c r="BQ439" t="inlineStr">
        <is>
          <t>T1#</t>
        </is>
      </c>
      <c r="BS439" t="n">
        <v>5.408081501831502</v>
      </c>
      <c r="BT439" t="n">
        <v>73545</v>
      </c>
      <c r="BV439" t="n">
        <v>7.091804029304029</v>
      </c>
      <c r="BY439" t="n">
        <v>309770</v>
      </c>
      <c r="BZ439" t="n">
        <v>7.091804029304029</v>
      </c>
      <c r="CP439" t="inlineStr">
        <is>
          <t>海外财经中心</t>
        </is>
      </c>
      <c r="CQ439" t="inlineStr">
        <is>
          <t>3,3</t>
        </is>
      </c>
      <c r="CR439" t="n">
        <v>11</v>
      </c>
      <c r="CS439" t="inlineStr">
        <is>
          <t>T1#</t>
        </is>
      </c>
      <c r="CT439" t="inlineStr">
        <is>
          <t>N</t>
        </is>
      </c>
    </row>
    <row r="440">
      <c r="A440" t="inlineStr">
        <is>
          <t>carlHe(何旭海)</t>
        </is>
      </c>
      <c r="C440" t="n">
        <v>71774236</v>
      </c>
      <c r="D440" t="inlineStr">
        <is>
          <t>财经IT管理部</t>
        </is>
      </c>
      <c r="E440" t="inlineStr">
        <is>
          <t>业务开发中心</t>
        </is>
      </c>
      <c r="G440" t="inlineStr">
        <is>
          <t>S2职能系统－财经线/财经IT管理部/业务开发中心</t>
        </is>
      </c>
      <c r="H440" s="188" t="n">
        <v>38404</v>
      </c>
      <c r="I440" t="inlineStr">
        <is>
          <t>社会招聘</t>
        </is>
      </c>
      <c r="J440" t="inlineStr">
        <is>
          <t>技术研发类－TRD</t>
        </is>
      </c>
      <c r="K440" t="inlineStr">
        <is>
          <t>应用开发</t>
        </is>
      </c>
      <c r="L440" t="inlineStr">
        <is>
          <t>T7</t>
        </is>
      </c>
      <c r="N440" t="inlineStr">
        <is>
          <t>T2</t>
        </is>
      </c>
      <c r="Q440" t="inlineStr">
        <is>
          <t>G,G</t>
        </is>
      </c>
      <c r="U440" t="n">
        <v>35857.2</v>
      </c>
      <c r="V440" t="n">
        <v>0.083333</v>
      </c>
      <c r="W440" t="inlineStr">
        <is>
          <t>CNY</t>
        </is>
      </c>
      <c r="X440" t="n">
        <v>1</v>
      </c>
      <c r="Y440" t="n">
        <v>34614.94</v>
      </c>
      <c r="Z440" t="n">
        <v>0</v>
      </c>
      <c r="AA440" t="n">
        <v>71714.39999999999</v>
      </c>
      <c r="AF440" t="n">
        <v>0</v>
      </c>
      <c r="AG440" t="n">
        <v>124279.4</v>
      </c>
      <c r="AH440" t="n">
        <v>3.590339893699078</v>
      </c>
      <c r="AJ440" t="n">
        <v>3.590339893699078</v>
      </c>
      <c r="AK440" t="n">
        <v>3.590339893699078</v>
      </c>
      <c r="AQ440" t="n">
        <v>124279.4</v>
      </c>
      <c r="AR440" t="n">
        <v>3.590339893699078</v>
      </c>
      <c r="AS440" t="n">
        <v>1.065952483060297</v>
      </c>
      <c r="BL440" t="n">
        <v>1</v>
      </c>
      <c r="BM440" t="n">
        <v>32235</v>
      </c>
      <c r="BN440" t="n">
        <v>0</v>
      </c>
      <c r="BO440" t="n">
        <v>33995</v>
      </c>
      <c r="BP440" t="inlineStr">
        <is>
          <t>G,G</t>
        </is>
      </c>
      <c r="BQ440" t="inlineStr">
        <is>
          <t>T2</t>
        </is>
      </c>
      <c r="BS440" t="n">
        <v>3.616876066387467</v>
      </c>
      <c r="BT440" t="n">
        <v>0</v>
      </c>
      <c r="BV440" t="n">
        <v>3.616876066387467</v>
      </c>
      <c r="BY440" t="n">
        <v>116590</v>
      </c>
      <c r="BZ440" t="n">
        <v>3.616876066387467</v>
      </c>
      <c r="CP440" t="inlineStr">
        <is>
          <t>财经IT管理部</t>
        </is>
      </c>
      <c r="CQ440" t="inlineStr">
        <is>
          <t>3,3</t>
        </is>
      </c>
      <c r="CR440" t="n">
        <v>7</v>
      </c>
      <c r="CS440" t="inlineStr">
        <is>
          <t>T2</t>
        </is>
      </c>
      <c r="CT440" t="inlineStr">
        <is>
          <t>N</t>
        </is>
      </c>
    </row>
    <row r="441">
      <c r="A441" t="inlineStr">
        <is>
          <t>rachelZhong(钟蕾红)</t>
        </is>
      </c>
      <c r="C441" t="n">
        <v>61058748</v>
      </c>
      <c r="D441" t="inlineStr">
        <is>
          <t>CDG财务管理</t>
        </is>
      </c>
      <c r="E441" t="inlineStr">
        <is>
          <t>AMS客户管理中心</t>
        </is>
      </c>
      <c r="G441" t="inlineStr">
        <is>
          <t>S2职能系统－财经线/CDG财务管理/AMS客户管理中心</t>
        </is>
      </c>
      <c r="H441" s="188" t="n">
        <v>36214</v>
      </c>
      <c r="I441" t="inlineStr">
        <is>
          <t>社会招聘</t>
        </is>
      </c>
      <c r="J441" t="inlineStr">
        <is>
          <t>财经类－FN</t>
        </is>
      </c>
      <c r="K441" t="inlineStr">
        <is>
          <t>财务管理</t>
        </is>
      </c>
      <c r="L441" t="inlineStr">
        <is>
          <t>S11</t>
        </is>
      </c>
      <c r="N441" t="inlineStr">
        <is>
          <t>T1#</t>
        </is>
      </c>
      <c r="Q441" t="inlineStr">
        <is>
          <t>O,G</t>
        </is>
      </c>
      <c r="U441" t="n">
        <v>64325.4</v>
      </c>
      <c r="V441" t="n">
        <v>0.083333</v>
      </c>
      <c r="W441" t="inlineStr">
        <is>
          <t>CNY</t>
        </is>
      </c>
      <c r="X441" t="n">
        <v>1</v>
      </c>
      <c r="Y441" t="n">
        <v>57962.46</v>
      </c>
      <c r="Z441" t="n">
        <v>0</v>
      </c>
      <c r="AA441" t="n">
        <v>192976.2</v>
      </c>
      <c r="AF441" t="n">
        <v>0</v>
      </c>
      <c r="AG441" t="n">
        <v>512221.2</v>
      </c>
      <c r="AH441" t="n">
        <v>8.837119749575846</v>
      </c>
      <c r="AJ441" t="n">
        <v>8.837119749575846</v>
      </c>
      <c r="AK441" t="n">
        <v>6.686676169368933</v>
      </c>
      <c r="AQ441" t="n">
        <v>512221.2</v>
      </c>
      <c r="AR441" t="n">
        <v>8.837119749575846</v>
      </c>
      <c r="AS441" t="n">
        <v>1.1074214924276</v>
      </c>
      <c r="BL441" t="n">
        <v>1</v>
      </c>
      <c r="BM441" t="n">
        <v>53110</v>
      </c>
      <c r="BN441" t="n">
        <v>0</v>
      </c>
      <c r="BO441" t="n">
        <v>57015</v>
      </c>
      <c r="BP441" t="inlineStr">
        <is>
          <t>G,O</t>
        </is>
      </c>
      <c r="BQ441" t="inlineStr">
        <is>
          <t>T1#</t>
        </is>
      </c>
      <c r="BS441" t="n">
        <v>6.656185275842591</v>
      </c>
      <c r="BT441" t="n">
        <v>109025</v>
      </c>
      <c r="BV441" t="n">
        <v>8.709000188288458</v>
      </c>
      <c r="BY441" t="n">
        <v>462535</v>
      </c>
      <c r="BZ441" t="n">
        <v>8.709000188288458</v>
      </c>
      <c r="CP441" t="inlineStr">
        <is>
          <t>CDG财务管理</t>
        </is>
      </c>
      <c r="CQ441" t="inlineStr">
        <is>
          <t>5,3</t>
        </is>
      </c>
      <c r="CR441" t="n">
        <v>11</v>
      </c>
      <c r="CS441" t="inlineStr">
        <is>
          <t>T1#</t>
        </is>
      </c>
      <c r="CT441" t="inlineStr">
        <is>
          <t>N</t>
        </is>
      </c>
    </row>
    <row r="442">
      <c r="A442" t="inlineStr">
        <is>
          <t>miaLai(赖璇妍)</t>
        </is>
      </c>
      <c r="C442" t="n">
        <v>49253412</v>
      </c>
      <c r="D442" t="inlineStr">
        <is>
          <t>风险管理和内部控制</t>
        </is>
      </c>
      <c r="E442" t="inlineStr">
        <is>
          <t>IEG风控中心</t>
        </is>
      </c>
      <c r="G442" t="inlineStr">
        <is>
          <t>S2职能系统－财经线/风险管理和内部控制/IEG风控中心</t>
        </is>
      </c>
      <c r="H442" s="188" t="n">
        <v>36554</v>
      </c>
      <c r="I442" t="inlineStr">
        <is>
          <t>社会招聘</t>
        </is>
      </c>
      <c r="J442" t="inlineStr">
        <is>
          <t>财经类－FN</t>
        </is>
      </c>
      <c r="K442" t="inlineStr">
        <is>
          <t>风险管理</t>
        </is>
      </c>
      <c r="L442" t="inlineStr">
        <is>
          <t>S7</t>
        </is>
      </c>
      <c r="N442" t="inlineStr">
        <is>
          <t>T1</t>
        </is>
      </c>
      <c r="Q442" t="inlineStr">
        <is>
          <t>G,G</t>
        </is>
      </c>
      <c r="U442" t="n">
        <v>38436.1</v>
      </c>
      <c r="V442" t="n">
        <v>0.083333</v>
      </c>
      <c r="W442" t="inlineStr">
        <is>
          <t>CNY</t>
        </is>
      </c>
      <c r="X442" t="n">
        <v>1</v>
      </c>
      <c r="Y442" t="n">
        <v>37120.92</v>
      </c>
      <c r="Z442" t="n">
        <v>0</v>
      </c>
      <c r="AA442" t="n">
        <v>76872.2</v>
      </c>
      <c r="AF442" t="n">
        <v>0</v>
      </c>
      <c r="AG442" t="n">
        <v>212062.2</v>
      </c>
      <c r="AH442" t="n">
        <v>5.712740955773726</v>
      </c>
      <c r="AJ442" t="n">
        <v>5.712740955773726</v>
      </c>
      <c r="AK442" t="n">
        <v>4.324979014528735</v>
      </c>
      <c r="AQ442" t="n">
        <v>212062.2</v>
      </c>
      <c r="AR442" t="n">
        <v>5.712740955773726</v>
      </c>
      <c r="AS442" t="n">
        <v>1.35144632444317</v>
      </c>
      <c r="BL442" t="n">
        <v>1</v>
      </c>
      <c r="BM442" t="n">
        <v>31610</v>
      </c>
      <c r="BN442" t="n">
        <v>0</v>
      </c>
      <c r="BO442" t="n">
        <v>33055</v>
      </c>
      <c r="BP442" t="inlineStr">
        <is>
          <t>G,G</t>
        </is>
      </c>
      <c r="BQ442" t="inlineStr">
        <is>
          <t>T1</t>
        </is>
      </c>
      <c r="BS442" t="n">
        <v>3.213856374565011</v>
      </c>
      <c r="BT442" t="n">
        <v>55325</v>
      </c>
      <c r="BV442" t="n">
        <v>4.964093641252768</v>
      </c>
      <c r="BY442" t="n">
        <v>156915</v>
      </c>
      <c r="BZ442" t="n">
        <v>4.964093641252768</v>
      </c>
      <c r="CP442" t="inlineStr">
        <is>
          <t>风险管理和内部控制</t>
        </is>
      </c>
      <c r="CQ442" t="inlineStr">
        <is>
          <t>3,3</t>
        </is>
      </c>
      <c r="CR442" t="n">
        <v>7</v>
      </c>
      <c r="CS442" t="inlineStr">
        <is>
          <t>T1</t>
        </is>
      </c>
      <c r="CT442" t="inlineStr">
        <is>
          <t>N</t>
        </is>
      </c>
    </row>
    <row r="443">
      <c r="A443" t="inlineStr">
        <is>
          <t>ernestSu(苏成勋)</t>
        </is>
      </c>
      <c r="C443" t="n">
        <v>2801020</v>
      </c>
      <c r="D443" t="inlineStr">
        <is>
          <t>董事会办公室</t>
        </is>
      </c>
      <c r="E443" t="inlineStr">
        <is>
          <t>董事会办公室</t>
        </is>
      </c>
      <c r="G443" t="inlineStr">
        <is>
          <t>S2职能系统－财经线/董事会办公室</t>
        </is>
      </c>
      <c r="H443" s="188" t="n">
        <v>45243</v>
      </c>
      <c r="I443" t="inlineStr">
        <is>
          <t>社会招聘</t>
        </is>
      </c>
      <c r="J443" t="inlineStr">
        <is>
          <t>财经类－FN</t>
        </is>
      </c>
      <c r="K443" t="inlineStr">
        <is>
          <t>公司秘书</t>
        </is>
      </c>
      <c r="L443" t="inlineStr">
        <is>
          <t>S5</t>
        </is>
      </c>
      <c r="N443" t="inlineStr">
        <is>
          <t>T1</t>
        </is>
      </c>
      <c r="Q443" t="inlineStr">
        <is>
          <t>O,G</t>
        </is>
      </c>
      <c r="U443" t="n">
        <v>18666.6</v>
      </c>
      <c r="V443" t="n">
        <v>0.083333</v>
      </c>
      <c r="W443" t="inlineStr">
        <is>
          <t>CNY</t>
        </is>
      </c>
      <c r="X443" t="n">
        <v>1</v>
      </c>
      <c r="Y443" t="n">
        <v>17347.98</v>
      </c>
      <c r="Z443" t="n">
        <v>0</v>
      </c>
      <c r="AA443" t="n">
        <v>55999.8</v>
      </c>
      <c r="AF443" t="n">
        <v>0</v>
      </c>
      <c r="AG443" t="n">
        <v>128504.8</v>
      </c>
      <c r="AH443" t="n">
        <v>7.407479141663756</v>
      </c>
      <c r="AJ443" t="n">
        <v>7.407479141663756</v>
      </c>
      <c r="AK443" t="n">
        <v>5.465178078369932</v>
      </c>
      <c r="AQ443" t="n">
        <v>128504.8</v>
      </c>
      <c r="AR443" t="n">
        <v>7.407479141663756</v>
      </c>
      <c r="AS443" t="n">
        <v>64.4134335839599</v>
      </c>
      <c r="BL443" t="n">
        <v>0.131506849315068</v>
      </c>
      <c r="BM443" t="n">
        <v>15195</v>
      </c>
      <c r="BN443" t="n">
        <v>0</v>
      </c>
      <c r="BO443" t="n">
        <v>15195</v>
      </c>
      <c r="BP443" t="inlineStr">
        <is>
          <t>N,N</t>
        </is>
      </c>
      <c r="BQ443" t="inlineStr">
        <is>
          <t>T1</t>
        </is>
      </c>
      <c r="BS443" t="n">
        <v>0.1312931885488648</v>
      </c>
      <c r="BT443" t="n">
        <v>0</v>
      </c>
      <c r="BV443" t="n">
        <v>0.1312931885488648</v>
      </c>
      <c r="BY443" t="n">
        <v>1995</v>
      </c>
      <c r="BZ443" t="n">
        <v>0.1312931885488648</v>
      </c>
      <c r="CP443" t="inlineStr">
        <is>
          <t>董事会办公室</t>
        </is>
      </c>
      <c r="CQ443" t="inlineStr">
        <is>
          <t>5,3</t>
        </is>
      </c>
      <c r="CR443" t="n">
        <v>5</v>
      </c>
      <c r="CS443" t="inlineStr">
        <is>
          <t>T1</t>
        </is>
      </c>
      <c r="CT443" t="inlineStr">
        <is>
          <t>N</t>
        </is>
      </c>
    </row>
    <row r="444">
      <c r="A444" t="inlineStr">
        <is>
          <t>douglasHe(何胜平)</t>
        </is>
      </c>
      <c r="C444" t="n">
        <v>57636839</v>
      </c>
      <c r="D444" t="inlineStr">
        <is>
          <t>税务部</t>
        </is>
      </c>
      <c r="E444" t="inlineStr">
        <is>
          <t>印章及文档管理组</t>
        </is>
      </c>
      <c r="G444" t="inlineStr">
        <is>
          <t>S2职能系统－财经线/税务部/印章及文档管理组</t>
        </is>
      </c>
      <c r="H444" s="188" t="n">
        <v>41337</v>
      </c>
      <c r="I444" t="inlineStr">
        <is>
          <t>社会招聘</t>
        </is>
      </c>
      <c r="J444" t="inlineStr">
        <is>
          <t>财经类－FN</t>
        </is>
      </c>
      <c r="K444" t="inlineStr">
        <is>
          <t>税务</t>
        </is>
      </c>
      <c r="L444" t="inlineStr">
        <is>
          <t>S7</t>
        </is>
      </c>
      <c r="N444" t="inlineStr">
        <is>
          <t>T1#</t>
        </is>
      </c>
      <c r="Q444" t="inlineStr">
        <is>
          <t>G,G</t>
        </is>
      </c>
      <c r="U444" t="n">
        <v>34394.65</v>
      </c>
      <c r="V444" t="n">
        <v>0.083333</v>
      </c>
      <c r="W444" t="inlineStr">
        <is>
          <t>CNY</t>
        </is>
      </c>
      <c r="X444" t="n">
        <v>1</v>
      </c>
      <c r="Y444" t="n">
        <v>31305.97</v>
      </c>
      <c r="Z444" t="n">
        <v>0</v>
      </c>
      <c r="AA444" t="n">
        <v>68789.3</v>
      </c>
      <c r="AF444" t="n">
        <v>0</v>
      </c>
      <c r="AG444" t="n">
        <v>223044.3</v>
      </c>
      <c r="AH444" t="n">
        <v>7.124657054229592</v>
      </c>
      <c r="AJ444" t="n">
        <v>7.124657054229592</v>
      </c>
      <c r="AK444" t="n">
        <v>5.807336428163701</v>
      </c>
      <c r="AQ444" t="n">
        <v>223044.3</v>
      </c>
      <c r="AR444" t="n">
        <v>7.124657054229592</v>
      </c>
      <c r="AS444" t="n">
        <v>1.177076890601087</v>
      </c>
      <c r="BL444" t="n">
        <v>1</v>
      </c>
      <c r="BM444" t="n">
        <v>29695</v>
      </c>
      <c r="BN444" t="n">
        <v>0</v>
      </c>
      <c r="BO444" t="n">
        <v>30280</v>
      </c>
      <c r="BP444" t="inlineStr">
        <is>
          <t>O,G</t>
        </is>
      </c>
      <c r="BQ444" t="inlineStr">
        <is>
          <t>T1</t>
        </is>
      </c>
      <c r="BS444" t="n">
        <v>4.473480383903014</v>
      </c>
      <c r="BT444" t="n">
        <v>56650</v>
      </c>
      <c r="BV444" t="n">
        <v>6.381208957736993</v>
      </c>
      <c r="BY444" t="n">
        <v>189490</v>
      </c>
      <c r="BZ444" t="n">
        <v>6.381208957736993</v>
      </c>
      <c r="CP444" t="inlineStr">
        <is>
          <t>税务部</t>
        </is>
      </c>
      <c r="CQ444" t="inlineStr">
        <is>
          <t>3,3</t>
        </is>
      </c>
      <c r="CR444" t="n">
        <v>7</v>
      </c>
      <c r="CS444" t="inlineStr">
        <is>
          <t>T1#</t>
        </is>
      </c>
      <c r="CT444" t="inlineStr">
        <is>
          <t>N</t>
        </is>
      </c>
    </row>
    <row r="445">
      <c r="A445" t="inlineStr">
        <is>
          <t>oliviaWan(万嫦)</t>
        </is>
      </c>
      <c r="C445" t="n">
        <v>32846053</v>
      </c>
      <c r="D445" t="inlineStr">
        <is>
          <t>预算及职能系统财务管理部</t>
        </is>
      </c>
      <c r="E445" t="inlineStr">
        <is>
          <t>预算管理中心</t>
        </is>
      </c>
      <c r="G445" t="inlineStr">
        <is>
          <t>S2职能系统－财经线/预算及职能系统财务管理部/预算管理中心</t>
        </is>
      </c>
      <c r="H445" s="188" t="n">
        <v>38972</v>
      </c>
      <c r="I445" t="inlineStr">
        <is>
          <t>高校招聘</t>
        </is>
      </c>
      <c r="J445" t="inlineStr">
        <is>
          <t>财经类－FN</t>
        </is>
      </c>
      <c r="K445" t="inlineStr">
        <is>
          <t>预算管理</t>
        </is>
      </c>
      <c r="L445" t="inlineStr">
        <is>
          <t>S5</t>
        </is>
      </c>
      <c r="N445" t="inlineStr">
        <is>
          <t>T2</t>
        </is>
      </c>
      <c r="Q445" t="inlineStr">
        <is>
          <t>U,U</t>
        </is>
      </c>
      <c r="U445" t="n">
        <v>25125.55</v>
      </c>
      <c r="V445" t="n">
        <v>0.083333</v>
      </c>
      <c r="W445" t="inlineStr">
        <is>
          <t>CNY</t>
        </is>
      </c>
      <c r="X445" t="n">
        <v>1</v>
      </c>
      <c r="Y445" t="n">
        <v>24040.78</v>
      </c>
      <c r="Z445" t="n">
        <v>0</v>
      </c>
      <c r="AA445" t="n">
        <v>0</v>
      </c>
      <c r="AF445" t="n">
        <v>0</v>
      </c>
      <c r="AG445" t="n">
        <v>31850</v>
      </c>
      <c r="AH445" t="n">
        <v>1.324832222581797</v>
      </c>
      <c r="AJ445" t="n">
        <v>1.324832222581797</v>
      </c>
      <c r="AK445" t="n">
        <v>1.324832222581797</v>
      </c>
      <c r="AQ445" t="n">
        <v>31850</v>
      </c>
      <c r="AR445" t="n">
        <v>1.324832222581797</v>
      </c>
      <c r="AS445" t="n">
        <v>0.7327734959162544</v>
      </c>
      <c r="BL445" t="n">
        <v>1</v>
      </c>
      <c r="BM445" t="n">
        <v>20675</v>
      </c>
      <c r="BN445" t="n">
        <v>0</v>
      </c>
      <c r="BO445" t="n">
        <v>21400</v>
      </c>
      <c r="BP445" t="inlineStr">
        <is>
          <t>G,U</t>
        </is>
      </c>
      <c r="BQ445" t="inlineStr">
        <is>
          <t>Others</t>
        </is>
      </c>
      <c r="BS445" t="n">
        <v>2.10229746070133</v>
      </c>
      <c r="BT445" t="n">
        <v>0</v>
      </c>
      <c r="BV445" t="n">
        <v>2.10229746070133</v>
      </c>
      <c r="BY445" t="n">
        <v>43465</v>
      </c>
      <c r="BZ445" t="n">
        <v>2.10229746070133</v>
      </c>
      <c r="CP445" t="inlineStr">
        <is>
          <t>预算及职能系统财务管理部</t>
        </is>
      </c>
      <c r="CQ445" t="inlineStr">
        <is>
          <t>1,1</t>
        </is>
      </c>
      <c r="CR445" t="n">
        <v>5</v>
      </c>
      <c r="CS445" t="inlineStr">
        <is>
          <t>T2</t>
        </is>
      </c>
      <c r="CT445" t="inlineStr">
        <is>
          <t>N</t>
        </is>
      </c>
    </row>
    <row r="446">
      <c r="A446" t="inlineStr">
        <is>
          <t>bradleyXie(谢宇恒)</t>
        </is>
      </c>
      <c r="C446" t="n">
        <v>58364519</v>
      </c>
      <c r="D446" t="inlineStr">
        <is>
          <t>风险管理和内部控制</t>
        </is>
      </c>
      <c r="E446" t="inlineStr">
        <is>
          <t>风险管理和内部控制</t>
        </is>
      </c>
      <c r="G446" t="inlineStr">
        <is>
          <t>S2职能系统－财经线/风险管理和内部控制</t>
        </is>
      </c>
      <c r="H446" s="188" t="n">
        <v>36405</v>
      </c>
      <c r="I446" t="inlineStr">
        <is>
          <t>社会招聘</t>
        </is>
      </c>
      <c r="J446" t="inlineStr">
        <is>
          <t>财经类－FN</t>
        </is>
      </c>
      <c r="K446" t="inlineStr">
        <is>
          <t>风险管理</t>
        </is>
      </c>
      <c r="L446" t="inlineStr">
        <is>
          <t>S9</t>
        </is>
      </c>
      <c r="N446" t="inlineStr">
        <is>
          <t>T1</t>
        </is>
      </c>
      <c r="Q446" t="inlineStr">
        <is>
          <t>O,G</t>
        </is>
      </c>
      <c r="U446" t="n">
        <v>57956.35</v>
      </c>
      <c r="V446" t="n">
        <v>0.083333</v>
      </c>
      <c r="W446" t="inlineStr">
        <is>
          <t>CNY</t>
        </is>
      </c>
      <c r="X446" t="n">
        <v>1</v>
      </c>
      <c r="Y446" t="n">
        <v>52613.33</v>
      </c>
      <c r="Z446" t="n">
        <v>0</v>
      </c>
      <c r="AA446" t="n">
        <v>173869.05</v>
      </c>
      <c r="AF446" t="n">
        <v>0</v>
      </c>
      <c r="AG446" t="n">
        <v>386094.05</v>
      </c>
      <c r="AH446" t="n">
        <v>7.338331369635793</v>
      </c>
      <c r="AJ446" t="n">
        <v>7.338331369635793</v>
      </c>
      <c r="AK446" t="n">
        <v>6.036474976968764</v>
      </c>
      <c r="AQ446" t="n">
        <v>386094.05</v>
      </c>
      <c r="AR446" t="n">
        <v>7.338331369635793</v>
      </c>
      <c r="AS446" t="n">
        <v>3.477384941006935</v>
      </c>
      <c r="BL446" t="n">
        <v>1</v>
      </c>
      <c r="BM446" t="n">
        <v>48725</v>
      </c>
      <c r="BN446" t="n">
        <v>0</v>
      </c>
      <c r="BO446" t="n">
        <v>50025</v>
      </c>
      <c r="BP446" t="inlineStr">
        <is>
          <t>U,G</t>
        </is>
      </c>
      <c r="BQ446" t="inlineStr">
        <is>
          <t>T1</t>
        </is>
      </c>
      <c r="BS446" t="n">
        <v>2.278707029245767</v>
      </c>
      <c r="BT446" t="n">
        <v>0</v>
      </c>
      <c r="BV446" t="n">
        <v>2.278707029245767</v>
      </c>
      <c r="BY446" t="n">
        <v>111030</v>
      </c>
      <c r="BZ446" t="n">
        <v>2.278707029245767</v>
      </c>
      <c r="CP446" t="inlineStr">
        <is>
          <t>风险管理和内部控制</t>
        </is>
      </c>
      <c r="CQ446" t="inlineStr">
        <is>
          <t>5,3</t>
        </is>
      </c>
      <c r="CR446" t="n">
        <v>9</v>
      </c>
      <c r="CS446" t="inlineStr">
        <is>
          <t>T1</t>
        </is>
      </c>
      <c r="CT446" t="inlineStr">
        <is>
          <t>N</t>
        </is>
      </c>
    </row>
    <row r="447">
      <c r="A447" t="inlineStr">
        <is>
          <t>virginiaLu(卢曼)</t>
        </is>
      </c>
      <c r="C447" t="n">
        <v>36591127</v>
      </c>
      <c r="D447" t="inlineStr">
        <is>
          <t>行政支持中心</t>
        </is>
      </c>
      <c r="E447" t="inlineStr">
        <is>
          <t>组织建设组</t>
        </is>
      </c>
      <c r="G447" t="inlineStr">
        <is>
          <t>S2职能系统－财经线/行政支持中心/组织建设组</t>
        </is>
      </c>
      <c r="H447" s="188" t="n">
        <v>44621</v>
      </c>
      <c r="I447" t="inlineStr">
        <is>
          <t>社会招聘</t>
        </is>
      </c>
      <c r="J447" t="inlineStr">
        <is>
          <t>财经类－FN</t>
        </is>
      </c>
      <c r="K447" t="inlineStr">
        <is>
          <t>公司秘书</t>
        </is>
      </c>
      <c r="L447" t="inlineStr">
        <is>
          <t>S5</t>
        </is>
      </c>
      <c r="N447" t="inlineStr">
        <is>
          <t>T2</t>
        </is>
      </c>
      <c r="Q447" t="inlineStr">
        <is>
          <t>G,G</t>
        </is>
      </c>
      <c r="U447" t="n">
        <v>30686</v>
      </c>
      <c r="V447" t="n">
        <v>0.083333</v>
      </c>
      <c r="W447" t="inlineStr">
        <is>
          <t>CNY</t>
        </is>
      </c>
      <c r="X447" t="n">
        <v>1</v>
      </c>
      <c r="Y447" t="n">
        <v>29895.2</v>
      </c>
      <c r="Z447" t="n">
        <v>0</v>
      </c>
      <c r="AA447" t="n">
        <v>61372</v>
      </c>
      <c r="AF447" t="n">
        <v>0</v>
      </c>
      <c r="AG447" t="n">
        <v>94712</v>
      </c>
      <c r="AH447" t="n">
        <v>3.168134014825122</v>
      </c>
      <c r="AJ447" t="n">
        <v>3.168134014825122</v>
      </c>
      <c r="AK447" t="n">
        <v>3.168134014825122</v>
      </c>
      <c r="AQ447" t="n">
        <v>94712</v>
      </c>
      <c r="AR447" t="n">
        <v>3.168134014825122</v>
      </c>
      <c r="AS447" t="n">
        <v>0.5899772635250879</v>
      </c>
      <c r="BL447" t="n">
        <v>1</v>
      </c>
      <c r="BM447" t="n">
        <v>27390</v>
      </c>
      <c r="BN447" t="n">
        <v>0</v>
      </c>
      <c r="BO447" t="n">
        <v>29245</v>
      </c>
      <c r="BP447" t="inlineStr">
        <is>
          <t>O,O</t>
        </is>
      </c>
      <c r="BQ447" t="inlineStr">
        <is>
          <t>T2</t>
        </is>
      </c>
      <c r="BS447" t="n">
        <v>5.861080686381891</v>
      </c>
      <c r="BT447" t="n">
        <v>0</v>
      </c>
      <c r="BV447" t="n">
        <v>5.861080686381891</v>
      </c>
      <c r="BY447" t="n">
        <v>160535</v>
      </c>
      <c r="BZ447" t="n">
        <v>5.861080686381891</v>
      </c>
      <c r="CP447" t="inlineStr">
        <is>
          <t>行政支持中心</t>
        </is>
      </c>
      <c r="CQ447" t="inlineStr">
        <is>
          <t>3,3</t>
        </is>
      </c>
      <c r="CR447" t="n">
        <v>5</v>
      </c>
      <c r="CS447" t="inlineStr">
        <is>
          <t>T2</t>
        </is>
      </c>
      <c r="CT447" t="inlineStr">
        <is>
          <t>N</t>
        </is>
      </c>
    </row>
    <row r="448">
      <c r="A448" t="inlineStr">
        <is>
          <t>stephanieHuang(黄姗茹)</t>
        </is>
      </c>
      <c r="C448" t="n">
        <v>50484696</v>
      </c>
      <c r="D448" t="inlineStr">
        <is>
          <t>反舞弊调查部</t>
        </is>
      </c>
      <c r="E448" t="inlineStr">
        <is>
          <t>反舞弊调查部</t>
        </is>
      </c>
      <c r="G448" t="inlineStr">
        <is>
          <t>S2职能系统－财经线/反舞弊调查部</t>
        </is>
      </c>
      <c r="H448" s="188" t="n">
        <v>39302</v>
      </c>
      <c r="I448" t="inlineStr">
        <is>
          <t>社会招聘</t>
        </is>
      </c>
      <c r="J448" t="inlineStr">
        <is>
          <t>财经类－FN</t>
        </is>
      </c>
      <c r="K448" t="inlineStr">
        <is>
          <t>风险管理</t>
        </is>
      </c>
      <c r="L448" t="inlineStr">
        <is>
          <t>S11</t>
        </is>
      </c>
      <c r="N448" t="inlineStr">
        <is>
          <t>T1#</t>
        </is>
      </c>
      <c r="Q448" t="inlineStr">
        <is>
          <t>G,G</t>
        </is>
      </c>
      <c r="U448" t="n">
        <v>58399.95</v>
      </c>
      <c r="V448" t="n">
        <v>0.083333</v>
      </c>
      <c r="W448" t="inlineStr">
        <is>
          <t>CNY</t>
        </is>
      </c>
      <c r="X448" t="n">
        <v>1</v>
      </c>
      <c r="Y448" t="n">
        <v>55197.81</v>
      </c>
      <c r="Z448" t="n">
        <v>0</v>
      </c>
      <c r="AA448" t="n">
        <v>116799.9</v>
      </c>
      <c r="AF448" t="n">
        <v>0</v>
      </c>
      <c r="AG448" t="n">
        <v>376084.9</v>
      </c>
      <c r="AH448" t="n">
        <v>6.813402560717536</v>
      </c>
      <c r="AJ448" t="n">
        <v>6.813402560717536</v>
      </c>
      <c r="AK448" t="n">
        <v>5.593607789874273</v>
      </c>
      <c r="AQ448" t="n">
        <v>376084.9</v>
      </c>
      <c r="AR448" t="n">
        <v>6.813402560717536</v>
      </c>
      <c r="AS448" t="n">
        <v>1.133861645838672</v>
      </c>
      <c r="BL448" t="n">
        <v>1</v>
      </c>
      <c r="BM448" t="n">
        <v>48885</v>
      </c>
      <c r="BN448" t="n">
        <v>0</v>
      </c>
      <c r="BO448" t="n">
        <v>50805</v>
      </c>
      <c r="BP448" t="inlineStr">
        <is>
          <t>G,G</t>
        </is>
      </c>
      <c r="BQ448" t="inlineStr">
        <is>
          <t>T1#</t>
        </is>
      </c>
      <c r="BS448" t="n">
        <v>5.389076403804848</v>
      </c>
      <c r="BT448" t="n">
        <v>68240</v>
      </c>
      <c r="BV448" t="n">
        <v>6.785005625447479</v>
      </c>
      <c r="BY448" t="n">
        <v>331685</v>
      </c>
      <c r="BZ448" t="n">
        <v>6.785005625447479</v>
      </c>
      <c r="CP448" t="inlineStr">
        <is>
          <t>反舞弊调查部</t>
        </is>
      </c>
      <c r="CQ448" t="inlineStr">
        <is>
          <t>3,3</t>
        </is>
      </c>
      <c r="CR448" t="n">
        <v>11</v>
      </c>
      <c r="CS448" t="inlineStr">
        <is>
          <t>T1#</t>
        </is>
      </c>
      <c r="CT448" t="inlineStr">
        <is>
          <t>N</t>
        </is>
      </c>
    </row>
    <row r="449">
      <c r="A449" t="inlineStr">
        <is>
          <t>rogerZeng(曾翔曦)</t>
        </is>
      </c>
      <c r="C449" t="n">
        <v>40920197</v>
      </c>
      <c r="D449" t="inlineStr">
        <is>
          <t>财会及报告管理部</t>
        </is>
      </c>
      <c r="E449" t="inlineStr">
        <is>
          <t>专业支持中心</t>
        </is>
      </c>
      <c r="G449" t="inlineStr">
        <is>
          <t>S2职能系统－财经线/财会及报告管理部/专业支持中心</t>
        </is>
      </c>
      <c r="H449" s="188" t="n">
        <v>41680</v>
      </c>
      <c r="I449" t="inlineStr">
        <is>
          <t>社会招聘</t>
        </is>
      </c>
      <c r="J449" t="inlineStr">
        <is>
          <t>财经类－FN</t>
        </is>
      </c>
      <c r="K449" t="inlineStr">
        <is>
          <t>会计</t>
        </is>
      </c>
      <c r="L449" t="inlineStr">
        <is>
          <t>S11</t>
        </is>
      </c>
      <c r="N449" t="inlineStr">
        <is>
          <t>Others</t>
        </is>
      </c>
      <c r="Q449" t="inlineStr">
        <is>
          <t>G,G</t>
        </is>
      </c>
      <c r="U449" t="n">
        <v>50342.05</v>
      </c>
      <c r="V449" t="n">
        <v>0.083333</v>
      </c>
      <c r="W449" t="inlineStr">
        <is>
          <t>CNY</t>
        </is>
      </c>
      <c r="X449" t="n">
        <v>1</v>
      </c>
      <c r="Y449" t="n">
        <v>48541.21</v>
      </c>
      <c r="Z449" t="n">
        <v>0</v>
      </c>
      <c r="AA449" t="n">
        <v>100684.1</v>
      </c>
      <c r="AF449" t="n">
        <v>0</v>
      </c>
      <c r="AG449" t="n">
        <v>139934.1</v>
      </c>
      <c r="AH449" t="n">
        <v>2.882789695600913</v>
      </c>
      <c r="AJ449" t="n">
        <v>2.882789695600913</v>
      </c>
      <c r="AK449" t="n">
        <v>2.882789695600913</v>
      </c>
      <c r="AQ449" t="n">
        <v>139934.1</v>
      </c>
      <c r="AR449" t="n">
        <v>2.882789695600913</v>
      </c>
      <c r="AS449" t="n">
        <v>1.052294329974432</v>
      </c>
      <c r="BL449" t="n">
        <v>1</v>
      </c>
      <c r="BM449" t="n">
        <v>41220</v>
      </c>
      <c r="BN449" t="n">
        <v>0</v>
      </c>
      <c r="BO449" t="n">
        <v>42240</v>
      </c>
      <c r="BP449" t="inlineStr">
        <is>
          <t>G,G</t>
        </is>
      </c>
      <c r="BQ449" t="inlineStr">
        <is>
          <t>Others</t>
        </is>
      </c>
      <c r="BS449" t="n">
        <v>3.226103833090733</v>
      </c>
      <c r="BT449" t="n">
        <v>0</v>
      </c>
      <c r="BV449" t="n">
        <v>3.226103833090733</v>
      </c>
      <c r="BY449" t="n">
        <v>132980</v>
      </c>
      <c r="BZ449" t="n">
        <v>3.226103833090733</v>
      </c>
      <c r="CP449" t="inlineStr">
        <is>
          <t>财会及报告管理部</t>
        </is>
      </c>
      <c r="CQ449" t="inlineStr">
        <is>
          <t>3,3</t>
        </is>
      </c>
      <c r="CR449" t="n">
        <v>11</v>
      </c>
      <c r="CS449" t="inlineStr">
        <is>
          <t>Others</t>
        </is>
      </c>
      <c r="CT449" t="inlineStr">
        <is>
          <t>N</t>
        </is>
      </c>
    </row>
    <row r="450">
      <c r="A450" t="inlineStr">
        <is>
          <t>nicholasYuan(袁阳曦)</t>
        </is>
      </c>
      <c r="C450" t="n">
        <v>56174873</v>
      </c>
      <c r="D450" t="inlineStr">
        <is>
          <t>FiT财务管理</t>
        </is>
      </c>
      <c r="E450" t="inlineStr">
        <is>
          <t>结算支持中心</t>
        </is>
      </c>
      <c r="G450" t="inlineStr">
        <is>
          <t>S2职能系统－财经线/FiT财务管理/结算支持中心</t>
        </is>
      </c>
      <c r="H450" s="188" t="n">
        <v>40564</v>
      </c>
      <c r="I450" t="inlineStr">
        <is>
          <t>社会招聘</t>
        </is>
      </c>
      <c r="J450" t="inlineStr">
        <is>
          <t>财经类－FN</t>
        </is>
      </c>
      <c r="K450" t="inlineStr">
        <is>
          <t>财务管理</t>
        </is>
      </c>
      <c r="L450" t="inlineStr">
        <is>
          <t>S11</t>
        </is>
      </c>
      <c r="N450" t="inlineStr">
        <is>
          <t>T1</t>
        </is>
      </c>
      <c r="Q450" t="inlineStr">
        <is>
          <t>G,O</t>
        </is>
      </c>
      <c r="U450" t="n">
        <v>42374.45</v>
      </c>
      <c r="V450" t="n">
        <v>0.083333</v>
      </c>
      <c r="W450" t="inlineStr">
        <is>
          <t>CNY</t>
        </is>
      </c>
      <c r="X450" t="n">
        <v>1</v>
      </c>
      <c r="Y450" t="n">
        <v>39668.33</v>
      </c>
      <c r="Z450" t="n">
        <v>0</v>
      </c>
      <c r="AA450" t="n">
        <v>127123.35</v>
      </c>
      <c r="AF450" t="n">
        <v>0</v>
      </c>
      <c r="AG450" t="n">
        <v>267843.35</v>
      </c>
      <c r="AH450" t="n">
        <v>6.752070228315636</v>
      </c>
      <c r="AJ450" t="n">
        <v>6.752070228315636</v>
      </c>
      <c r="AK450" t="n">
        <v>5.635688469870045</v>
      </c>
      <c r="AQ450" t="n">
        <v>267843.35</v>
      </c>
      <c r="AR450" t="n">
        <v>6.752070228315636</v>
      </c>
      <c r="AS450" t="n">
        <v>2.409421580533441</v>
      </c>
      <c r="BL450" t="n">
        <v>1</v>
      </c>
      <c r="BM450" t="n">
        <v>34825</v>
      </c>
      <c r="BN450" t="n">
        <v>0</v>
      </c>
      <c r="BO450" t="n">
        <v>35865</v>
      </c>
      <c r="BP450" t="inlineStr">
        <is>
          <t>G,G</t>
        </is>
      </c>
      <c r="BQ450" t="inlineStr">
        <is>
          <t>T2</t>
        </is>
      </c>
      <c r="BS450" t="n">
        <v>3.192103374012922</v>
      </c>
      <c r="BT450" t="n">
        <v>0</v>
      </c>
      <c r="BV450" t="n">
        <v>3.192103374012922</v>
      </c>
      <c r="BY450" t="n">
        <v>111165</v>
      </c>
      <c r="BZ450" t="n">
        <v>3.192103374012922</v>
      </c>
      <c r="CP450" t="inlineStr">
        <is>
          <t>FiT财务管理</t>
        </is>
      </c>
      <c r="CQ450" t="inlineStr">
        <is>
          <t>5,3</t>
        </is>
      </c>
      <c r="CR450" t="n">
        <v>11</v>
      </c>
      <c r="CS450" t="inlineStr">
        <is>
          <t>T1</t>
        </is>
      </c>
      <c r="CT450" t="inlineStr">
        <is>
          <t>N</t>
        </is>
      </c>
    </row>
    <row r="451">
      <c r="A451" t="inlineStr">
        <is>
          <t>michelleLiang(梁欣)</t>
        </is>
      </c>
      <c r="C451" t="n">
        <v>94108934</v>
      </c>
      <c r="D451" t="inlineStr">
        <is>
          <t>CDG财务管理</t>
        </is>
      </c>
      <c r="E451" t="inlineStr">
        <is>
          <t>AMS客户管理中心</t>
        </is>
      </c>
      <c r="G451" t="inlineStr">
        <is>
          <t>S2职能系统－财经线/CDG财务管理/AMS客户管理中心</t>
        </is>
      </c>
      <c r="H451" s="188" t="n">
        <v>44173</v>
      </c>
      <c r="I451" t="inlineStr">
        <is>
          <t>社会招聘</t>
        </is>
      </c>
      <c r="J451" t="inlineStr">
        <is>
          <t>财经类－FN</t>
        </is>
      </c>
      <c r="K451" t="inlineStr">
        <is>
          <t>财务管理</t>
        </is>
      </c>
      <c r="L451" t="inlineStr">
        <is>
          <t>S7</t>
        </is>
      </c>
      <c r="N451" t="inlineStr">
        <is>
          <t>T1#</t>
        </is>
      </c>
      <c r="Q451" t="inlineStr">
        <is>
          <t>G,O</t>
        </is>
      </c>
      <c r="U451" t="n">
        <v>29670.3</v>
      </c>
      <c r="V451" t="n">
        <v>0.083333</v>
      </c>
      <c r="W451" t="inlineStr">
        <is>
          <t>CNY</t>
        </is>
      </c>
      <c r="X451" t="n">
        <v>1</v>
      </c>
      <c r="Y451" t="n">
        <v>28668.3</v>
      </c>
      <c r="Z451" t="n">
        <v>0</v>
      </c>
      <c r="AA451" t="n">
        <v>89010.89999999999</v>
      </c>
      <c r="AF451" t="n">
        <v>0</v>
      </c>
      <c r="AG451" t="n">
        <v>234360.9</v>
      </c>
      <c r="AH451" t="n">
        <v>8.174914452548634</v>
      </c>
      <c r="AJ451" t="n">
        <v>8.174914452548634</v>
      </c>
      <c r="AK451" t="n">
        <v>6.285196541127307</v>
      </c>
      <c r="AQ451" t="n">
        <v>234360.9</v>
      </c>
      <c r="AR451" t="n">
        <v>8.174914452548634</v>
      </c>
      <c r="AS451" t="n">
        <v>1.986193482774694</v>
      </c>
      <c r="BL451" t="n">
        <v>1</v>
      </c>
      <c r="BM451" t="n">
        <v>24225</v>
      </c>
      <c r="BN451" t="n">
        <v>0</v>
      </c>
      <c r="BO451" t="n">
        <v>26410</v>
      </c>
      <c r="BP451" t="inlineStr">
        <is>
          <t>G,U</t>
        </is>
      </c>
      <c r="BQ451" t="inlineStr">
        <is>
          <t>T1#</t>
        </is>
      </c>
      <c r="BS451" t="n">
        <v>4.870794633642931</v>
      </c>
      <c r="BT451" t="n">
        <v>0</v>
      </c>
      <c r="BV451" t="n">
        <v>4.870794633642931</v>
      </c>
      <c r="BY451" t="n">
        <v>117995</v>
      </c>
      <c r="BZ451" t="n">
        <v>4.870794633642931</v>
      </c>
      <c r="CP451" t="inlineStr">
        <is>
          <t>CDG财务管理</t>
        </is>
      </c>
      <c r="CQ451" t="inlineStr">
        <is>
          <t>5,3</t>
        </is>
      </c>
      <c r="CR451" t="n">
        <v>7</v>
      </c>
      <c r="CS451" t="inlineStr">
        <is>
          <t>T1#</t>
        </is>
      </c>
      <c r="CT451" t="inlineStr">
        <is>
          <t>N</t>
        </is>
      </c>
    </row>
    <row r="452">
      <c r="A452" t="inlineStr">
        <is>
          <t>ralphYuan(袁嘉东)</t>
        </is>
      </c>
      <c r="C452" t="n">
        <v>80026361</v>
      </c>
      <c r="D452" t="inlineStr">
        <is>
          <t>风险管理和内部控制</t>
        </is>
      </c>
      <c r="E452" t="inlineStr">
        <is>
          <t>IEG风控中心</t>
        </is>
      </c>
      <c r="G452" t="inlineStr">
        <is>
          <t>S2职能系统－财经线/风险管理和内部控制/IEG风控中心</t>
        </is>
      </c>
      <c r="H452" s="188" t="n">
        <v>36251</v>
      </c>
      <c r="I452" t="inlineStr">
        <is>
          <t>社会招聘</t>
        </is>
      </c>
      <c r="J452" t="inlineStr">
        <is>
          <t>财经类－FN</t>
        </is>
      </c>
      <c r="K452" t="inlineStr">
        <is>
          <t>风险管理</t>
        </is>
      </c>
      <c r="L452" t="inlineStr">
        <is>
          <t>S6</t>
        </is>
      </c>
      <c r="N452" t="inlineStr">
        <is>
          <t>Others</t>
        </is>
      </c>
      <c r="Q452" t="inlineStr">
        <is>
          <t>U,G</t>
        </is>
      </c>
      <c r="U452" t="n">
        <v>37876.2</v>
      </c>
      <c r="V452" t="n">
        <v>0.083333</v>
      </c>
      <c r="W452" t="inlineStr">
        <is>
          <t>CNY</t>
        </is>
      </c>
      <c r="X452" t="n">
        <v>1</v>
      </c>
      <c r="Y452" t="n">
        <v>37065.91</v>
      </c>
      <c r="Z452" t="n">
        <v>0</v>
      </c>
      <c r="AA452" t="n">
        <v>37876.2</v>
      </c>
      <c r="AF452" t="n">
        <v>0</v>
      </c>
      <c r="AG452" t="n">
        <v>57731.2</v>
      </c>
      <c r="AH452" t="n">
        <v>1.557528197742885</v>
      </c>
      <c r="AJ452" t="n">
        <v>1.557528197742885</v>
      </c>
      <c r="AK452" t="n">
        <v>1.557528197742885</v>
      </c>
      <c r="AQ452" t="n">
        <v>57731.2</v>
      </c>
      <c r="AR452" t="n">
        <v>1.557528197742885</v>
      </c>
      <c r="AS452" t="n">
        <v>0.527586931688371</v>
      </c>
      <c r="BL452" t="n">
        <v>1</v>
      </c>
      <c r="BM452" t="n">
        <v>30915</v>
      </c>
      <c r="BN452" t="n">
        <v>0</v>
      </c>
      <c r="BO452" t="n">
        <v>33630</v>
      </c>
      <c r="BP452" t="inlineStr">
        <is>
          <t>G,G</t>
        </is>
      </c>
      <c r="BQ452" t="inlineStr">
        <is>
          <t>Others</t>
        </is>
      </c>
      <c r="BS452" t="n">
        <v>3.53954391072295</v>
      </c>
      <c r="BT452" t="n">
        <v>0</v>
      </c>
      <c r="BV452" t="n">
        <v>3.53954391072295</v>
      </c>
      <c r="BY452" t="n">
        <v>109425</v>
      </c>
      <c r="BZ452" t="n">
        <v>3.53954391072295</v>
      </c>
      <c r="CP452" t="inlineStr">
        <is>
          <t>风险管理和内部控制</t>
        </is>
      </c>
      <c r="CQ452" t="inlineStr">
        <is>
          <t>3,1</t>
        </is>
      </c>
      <c r="CR452" t="n">
        <v>6</v>
      </c>
      <c r="CS452" t="inlineStr">
        <is>
          <t>Others</t>
        </is>
      </c>
      <c r="CT452" t="inlineStr">
        <is>
          <t>N</t>
        </is>
      </c>
    </row>
    <row r="453">
      <c r="A453" t="inlineStr">
        <is>
          <t>annaHan(韩青)</t>
        </is>
      </c>
      <c r="C453" t="n">
        <v>39752208</v>
      </c>
      <c r="D453" t="inlineStr">
        <is>
          <t>财经投资并购及管理部</t>
        </is>
      </c>
      <c r="E453" t="inlineStr">
        <is>
          <t>行业及项目管理中心</t>
        </is>
      </c>
      <c r="G453" t="inlineStr">
        <is>
          <t>S2职能系统－财经线/财经投资并购及管理部/行业及项目管理中心</t>
        </is>
      </c>
      <c r="H453" s="188" t="n">
        <v>44514</v>
      </c>
      <c r="I453" t="inlineStr">
        <is>
          <t>社会招聘</t>
        </is>
      </c>
      <c r="J453" t="inlineStr">
        <is>
          <t>财经类－FN</t>
        </is>
      </c>
      <c r="K453" t="inlineStr">
        <is>
          <t>投资并购</t>
        </is>
      </c>
      <c r="L453" t="inlineStr">
        <is>
          <t>S6</t>
        </is>
      </c>
      <c r="N453" t="inlineStr">
        <is>
          <t>T1</t>
        </is>
      </c>
      <c r="Q453" t="inlineStr">
        <is>
          <t>O,G</t>
        </is>
      </c>
      <c r="U453" t="n">
        <v>29140.15</v>
      </c>
      <c r="V453" t="n">
        <v>0.083333</v>
      </c>
      <c r="W453" t="inlineStr">
        <is>
          <t>CNY</t>
        </is>
      </c>
      <c r="X453" t="n">
        <v>1</v>
      </c>
      <c r="Y453" t="n">
        <v>27931.86</v>
      </c>
      <c r="Z453" t="n">
        <v>0</v>
      </c>
      <c r="AA453" t="n">
        <v>87420.45</v>
      </c>
      <c r="AF453" t="n">
        <v>0</v>
      </c>
      <c r="AG453" t="n">
        <v>188880.45</v>
      </c>
      <c r="AH453" t="n">
        <v>6.762186621299119</v>
      </c>
      <c r="AJ453" t="n">
        <v>6.762186621299119</v>
      </c>
      <c r="AK453" t="n">
        <v>5.621732673728137</v>
      </c>
      <c r="AQ453" t="n">
        <v>188880.45</v>
      </c>
      <c r="AR453" t="n">
        <v>6.762186621299119</v>
      </c>
      <c r="AS453" t="n">
        <v>3.347460345591494</v>
      </c>
      <c r="BL453" t="n">
        <v>1</v>
      </c>
      <c r="BM453" t="n">
        <v>25695</v>
      </c>
      <c r="BN453" t="n">
        <v>0</v>
      </c>
      <c r="BO453" t="n">
        <v>27310</v>
      </c>
      <c r="BP453" t="inlineStr">
        <is>
          <t>U,G</t>
        </is>
      </c>
      <c r="BQ453" t="inlineStr">
        <is>
          <t>T1</t>
        </is>
      </c>
      <c r="BS453" t="n">
        <v>2.195952519945515</v>
      </c>
      <c r="BT453" t="n">
        <v>0</v>
      </c>
      <c r="BV453" t="n">
        <v>2.195952519945515</v>
      </c>
      <c r="BY453" t="n">
        <v>56425</v>
      </c>
      <c r="BZ453" t="n">
        <v>2.195952519945515</v>
      </c>
      <c r="CP453" t="inlineStr">
        <is>
          <t>财经投资并购及管理部</t>
        </is>
      </c>
      <c r="CQ453" t="inlineStr">
        <is>
          <t>5,3</t>
        </is>
      </c>
      <c r="CR453" t="n">
        <v>6</v>
      </c>
      <c r="CS453" t="inlineStr">
        <is>
          <t>T1</t>
        </is>
      </c>
      <c r="CT453" t="inlineStr">
        <is>
          <t>N</t>
        </is>
      </c>
    </row>
    <row r="454">
      <c r="A454" t="inlineStr">
        <is>
          <t>vincentHou(侯明龙)</t>
        </is>
      </c>
      <c r="C454" t="n">
        <v>80426583</v>
      </c>
      <c r="D454" t="inlineStr">
        <is>
          <t>CSIG财务管理</t>
        </is>
      </c>
      <c r="E454" t="inlineStr">
        <is>
          <t>行业财务管理3中心</t>
        </is>
      </c>
      <c r="G454" t="inlineStr">
        <is>
          <t>S2职能系统－财经线/CSIG财务管理/行业财务管理3中心</t>
        </is>
      </c>
      <c r="H454" s="188" t="n">
        <v>43391</v>
      </c>
      <c r="I454" t="inlineStr">
        <is>
          <t>高校招聘</t>
        </is>
      </c>
      <c r="J454" t="inlineStr">
        <is>
          <t>财经类－FN</t>
        </is>
      </c>
      <c r="K454" t="inlineStr">
        <is>
          <t>财务管理</t>
        </is>
      </c>
      <c r="L454" t="inlineStr">
        <is>
          <t>S9</t>
        </is>
      </c>
      <c r="N454" t="inlineStr">
        <is>
          <t>T1#</t>
        </is>
      </c>
      <c r="Q454" t="inlineStr">
        <is>
          <t>O,O</t>
        </is>
      </c>
      <c r="U454" t="n">
        <v>53577.3</v>
      </c>
      <c r="V454" t="n">
        <v>0.083333</v>
      </c>
      <c r="W454" t="inlineStr">
        <is>
          <t>CNY</t>
        </is>
      </c>
      <c r="X454" t="n">
        <v>1</v>
      </c>
      <c r="Y454" t="n">
        <v>48348.66</v>
      </c>
      <c r="Z454" t="n">
        <v>0</v>
      </c>
      <c r="AA454" t="n">
        <v>214309.2</v>
      </c>
      <c r="AF454" t="n">
        <v>0</v>
      </c>
      <c r="AG454" t="n">
        <v>451474.2</v>
      </c>
      <c r="AH454" t="n">
        <v>9.337884441885256</v>
      </c>
      <c r="AJ454" t="n">
        <v>9.337884441885256</v>
      </c>
      <c r="AK454" t="n">
        <v>7.783136078642096</v>
      </c>
      <c r="AQ454" t="n">
        <v>451474.2</v>
      </c>
      <c r="AR454" t="n">
        <v>9.337884441885256</v>
      </c>
      <c r="AS454" t="n">
        <v>1.381753687947604</v>
      </c>
      <c r="BL454" t="n">
        <v>1</v>
      </c>
      <c r="BM454" t="n">
        <v>43230</v>
      </c>
      <c r="BN454" t="n">
        <v>0</v>
      </c>
      <c r="BO454" t="n">
        <v>43795</v>
      </c>
      <c r="BP454" t="inlineStr">
        <is>
          <t>O,G</t>
        </is>
      </c>
      <c r="BQ454" t="inlineStr">
        <is>
          <t>T1#</t>
        </is>
      </c>
      <c r="BS454" t="n">
        <v>6.48265093684941</v>
      </c>
      <c r="BT454" t="n">
        <v>46495</v>
      </c>
      <c r="BV454" t="n">
        <v>7.558177191764978</v>
      </c>
      <c r="BY454" t="n">
        <v>326740</v>
      </c>
      <c r="BZ454" t="n">
        <v>7.558177191764978</v>
      </c>
      <c r="CP454" t="inlineStr">
        <is>
          <t>CSIG财务管理</t>
        </is>
      </c>
      <c r="CQ454" t="inlineStr">
        <is>
          <t>5,5</t>
        </is>
      </c>
      <c r="CR454" t="n">
        <v>9</v>
      </c>
      <c r="CS454" t="inlineStr">
        <is>
          <t>T1#</t>
        </is>
      </c>
      <c r="CT454" t="inlineStr">
        <is>
          <t>N</t>
        </is>
      </c>
    </row>
    <row r="455">
      <c r="A455" t="inlineStr">
        <is>
          <t>amandaGao(高兰)</t>
        </is>
      </c>
      <c r="C455" t="n">
        <v>96926544</v>
      </c>
      <c r="D455" t="inlineStr">
        <is>
          <t>财经投资并购及管理部</t>
        </is>
      </c>
      <c r="E455" t="inlineStr">
        <is>
          <t>行业及项目管理中心</t>
        </is>
      </c>
      <c r="G455" t="inlineStr">
        <is>
          <t>S2职能系统－财经线/财经投资并购及管理部/行业及项目管理中心</t>
        </is>
      </c>
      <c r="H455" s="188" t="n">
        <v>44933</v>
      </c>
      <c r="I455" t="inlineStr">
        <is>
          <t>社会招聘</t>
        </is>
      </c>
      <c r="J455" t="inlineStr">
        <is>
          <t>财经类－FN</t>
        </is>
      </c>
      <c r="K455" t="inlineStr">
        <is>
          <t>投资并购</t>
        </is>
      </c>
      <c r="L455" t="inlineStr">
        <is>
          <t>S9</t>
        </is>
      </c>
      <c r="N455" t="inlineStr">
        <is>
          <t>T2</t>
        </is>
      </c>
      <c r="Q455" t="inlineStr">
        <is>
          <t>G,G</t>
        </is>
      </c>
      <c r="U455" t="n">
        <v>45035.6</v>
      </c>
      <c r="V455" t="n">
        <v>0.083333</v>
      </c>
      <c r="W455" t="inlineStr">
        <is>
          <t>CNY</t>
        </is>
      </c>
      <c r="X455" t="n">
        <v>1</v>
      </c>
      <c r="Y455" t="n">
        <v>42656.05</v>
      </c>
      <c r="Z455" t="n">
        <v>0</v>
      </c>
      <c r="AA455" t="n">
        <v>90071.2</v>
      </c>
      <c r="AF455" t="n">
        <v>0</v>
      </c>
      <c r="AG455" t="n">
        <v>141116.2</v>
      </c>
      <c r="AH455" t="n">
        <v>3.30823411919294</v>
      </c>
      <c r="AJ455" t="n">
        <v>3.30823411919294</v>
      </c>
      <c r="AK455" t="n">
        <v>3.30823411919294</v>
      </c>
      <c r="AQ455" t="n">
        <v>141116.2</v>
      </c>
      <c r="AR455" t="n">
        <v>3.30823411919294</v>
      </c>
      <c r="AS455" t="n">
        <v>3.550539690527111</v>
      </c>
      <c r="BL455" t="n">
        <v>0.980821917808219</v>
      </c>
      <c r="BM455" t="n">
        <v>38325</v>
      </c>
      <c r="BN455" t="n">
        <v>0</v>
      </c>
      <c r="BO455" t="n">
        <v>40525</v>
      </c>
      <c r="BP455" t="inlineStr">
        <is>
          <t>O,O</t>
        </is>
      </c>
      <c r="BQ455" t="inlineStr">
        <is>
          <t>T2</t>
        </is>
      </c>
      <c r="BS455" t="n">
        <v>1.037051532941944</v>
      </c>
      <c r="BT455" t="n">
        <v>0</v>
      </c>
      <c r="BV455" t="n">
        <v>1.037051532941944</v>
      </c>
      <c r="BY455" t="n">
        <v>39745</v>
      </c>
      <c r="BZ455" t="n">
        <v>1.037051532941944</v>
      </c>
      <c r="CP455" t="inlineStr">
        <is>
          <t>财经投资并购及管理部</t>
        </is>
      </c>
      <c r="CQ455" t="inlineStr">
        <is>
          <t>3,3</t>
        </is>
      </c>
      <c r="CR455" t="n">
        <v>9</v>
      </c>
      <c r="CS455" t="inlineStr">
        <is>
          <t>T2</t>
        </is>
      </c>
      <c r="CT455" t="inlineStr">
        <is>
          <t>N</t>
        </is>
      </c>
    </row>
    <row r="456">
      <c r="A456" t="inlineStr">
        <is>
          <t>samuelChang(常国霖)</t>
        </is>
      </c>
      <c r="C456" t="n">
        <v>64008080</v>
      </c>
      <c r="D456" t="inlineStr">
        <is>
          <t>IEG财务管理</t>
        </is>
      </c>
      <c r="E456" t="inlineStr">
        <is>
          <t>自研财务管理组</t>
        </is>
      </c>
      <c r="G456" t="inlineStr">
        <is>
          <t>S2职能系统－财经线/IEG财务管理/自研财务管理组</t>
        </is>
      </c>
      <c r="H456" s="188" t="n">
        <v>43545</v>
      </c>
      <c r="I456" t="inlineStr">
        <is>
          <t>社会招聘</t>
        </is>
      </c>
      <c r="J456" t="inlineStr">
        <is>
          <t>财经类－FN</t>
        </is>
      </c>
      <c r="K456" t="inlineStr">
        <is>
          <t>财务管理</t>
        </is>
      </c>
      <c r="L456" t="inlineStr">
        <is>
          <t>S13</t>
        </is>
      </c>
      <c r="N456" t="inlineStr">
        <is>
          <t>T2</t>
        </is>
      </c>
      <c r="Q456" t="inlineStr">
        <is>
          <t>O,O</t>
        </is>
      </c>
      <c r="U456" t="n">
        <v>78292.60000000001</v>
      </c>
      <c r="V456" t="n">
        <v>0.083333</v>
      </c>
      <c r="W456" t="inlineStr">
        <is>
          <t>CNY</t>
        </is>
      </c>
      <c r="X456" t="n">
        <v>1</v>
      </c>
      <c r="Y456" t="n">
        <v>76116.86</v>
      </c>
      <c r="Z456" t="n">
        <v>0</v>
      </c>
      <c r="AA456" t="n">
        <v>313170.4</v>
      </c>
      <c r="AF456" t="n">
        <v>0</v>
      </c>
      <c r="AG456" t="n">
        <v>399535.4</v>
      </c>
      <c r="AH456" t="n">
        <v>5.248973749048503</v>
      </c>
      <c r="AJ456" t="n">
        <v>5.248973749048503</v>
      </c>
      <c r="AK456" t="n">
        <v>5.248973749048503</v>
      </c>
      <c r="AQ456" t="n">
        <v>399535.4</v>
      </c>
      <c r="AR456" t="n">
        <v>5.248973749048503</v>
      </c>
      <c r="AS456" t="n">
        <v>1.324807347967372</v>
      </c>
      <c r="BL456" t="n">
        <v>1</v>
      </c>
      <c r="BM456" t="n">
        <v>67550</v>
      </c>
      <c r="BN456" t="n">
        <v>0</v>
      </c>
      <c r="BO456" t="n">
        <v>68370</v>
      </c>
      <c r="BP456" t="inlineStr">
        <is>
          <t>O,G</t>
        </is>
      </c>
      <c r="BQ456" t="inlineStr">
        <is>
          <t>T2</t>
        </is>
      </c>
      <c r="BS456" t="n">
        <v>4.464544781643228</v>
      </c>
      <c r="BT456" t="n">
        <v>0</v>
      </c>
      <c r="BV456" t="n">
        <v>4.464544781643228</v>
      </c>
      <c r="BY456" t="n">
        <v>301580</v>
      </c>
      <c r="BZ456" t="n">
        <v>4.464544781643228</v>
      </c>
      <c r="CP456" t="inlineStr">
        <is>
          <t>IEG财务管理</t>
        </is>
      </c>
      <c r="CQ456" t="inlineStr">
        <is>
          <t>5,5</t>
        </is>
      </c>
      <c r="CR456" t="n">
        <v>13</v>
      </c>
      <c r="CS456" t="inlineStr">
        <is>
          <t>T2</t>
        </is>
      </c>
      <c r="CT456" t="inlineStr">
        <is>
          <t>N</t>
        </is>
      </c>
    </row>
    <row r="457">
      <c r="A457" t="inlineStr">
        <is>
          <t>jasonLu(卢文飞)</t>
        </is>
      </c>
      <c r="C457" t="n">
        <v>74558048</v>
      </c>
      <c r="D457" t="inlineStr">
        <is>
          <t>税务部</t>
        </is>
      </c>
      <c r="E457" t="inlineStr">
        <is>
          <t>印章及文档管理组</t>
        </is>
      </c>
      <c r="G457" t="inlineStr">
        <is>
          <t>S2职能系统－财经线/税务部/印章及文档管理组</t>
        </is>
      </c>
      <c r="H457" s="188" t="n">
        <v>39740</v>
      </c>
      <c r="I457" t="inlineStr">
        <is>
          <t>社会招聘</t>
        </is>
      </c>
      <c r="J457" t="inlineStr">
        <is>
          <t>财经类－FN</t>
        </is>
      </c>
      <c r="K457" t="inlineStr">
        <is>
          <t>税务</t>
        </is>
      </c>
      <c r="L457" t="inlineStr">
        <is>
          <t>S6</t>
        </is>
      </c>
      <c r="N457" t="inlineStr">
        <is>
          <t>T1</t>
        </is>
      </c>
      <c r="Q457" t="inlineStr">
        <is>
          <t>O,G</t>
        </is>
      </c>
      <c r="U457" t="n">
        <v>34944.9</v>
      </c>
      <c r="V457" t="n">
        <v>0.083333</v>
      </c>
      <c r="W457" t="inlineStr">
        <is>
          <t>CNY</t>
        </is>
      </c>
      <c r="X457" t="n">
        <v>1</v>
      </c>
      <c r="Y457" t="n">
        <v>33013.4</v>
      </c>
      <c r="Z457" t="n">
        <v>0</v>
      </c>
      <c r="AA457" t="n">
        <v>104834.7</v>
      </c>
      <c r="AF457" t="n">
        <v>0</v>
      </c>
      <c r="AG457" t="n">
        <v>215534.7</v>
      </c>
      <c r="AH457" t="n">
        <v>6.528703496156107</v>
      </c>
      <c r="AJ457" t="n">
        <v>6.528703496156107</v>
      </c>
      <c r="AK457" t="n">
        <v>5.343275760751695</v>
      </c>
      <c r="AQ457" t="n">
        <v>215534.7</v>
      </c>
      <c r="AR457" t="n">
        <v>6.528703496156107</v>
      </c>
      <c r="AS457" t="n">
        <v>1.108746109725044</v>
      </c>
      <c r="BL457" t="n">
        <v>1</v>
      </c>
      <c r="BM457" t="n">
        <v>31085</v>
      </c>
      <c r="BN457" t="n">
        <v>0</v>
      </c>
      <c r="BO457" t="n">
        <v>33895</v>
      </c>
      <c r="BP457" t="inlineStr">
        <is>
          <t>G,O</t>
        </is>
      </c>
      <c r="BQ457" t="inlineStr">
        <is>
          <t>T1</t>
        </is>
      </c>
      <c r="BS457" t="n">
        <v>4.570371561846549</v>
      </c>
      <c r="BT457" t="n">
        <v>52325</v>
      </c>
      <c r="BV457" t="n">
        <v>6.253659321216021</v>
      </c>
      <c r="BY457" t="n">
        <v>194395</v>
      </c>
      <c r="BZ457" t="n">
        <v>6.253659321216021</v>
      </c>
      <c r="CP457" t="inlineStr">
        <is>
          <t>税务部</t>
        </is>
      </c>
      <c r="CQ457" t="inlineStr">
        <is>
          <t>5,3</t>
        </is>
      </c>
      <c r="CR457" t="n">
        <v>6</v>
      </c>
      <c r="CS457" t="inlineStr">
        <is>
          <t>T1</t>
        </is>
      </c>
      <c r="CT457" t="inlineStr">
        <is>
          <t>N</t>
        </is>
      </c>
    </row>
    <row r="458">
      <c r="A458" t="inlineStr">
        <is>
          <t>stevenHong(洪炜)</t>
        </is>
      </c>
      <c r="C458" t="n">
        <v>40226372</v>
      </c>
      <c r="D458" t="inlineStr">
        <is>
          <t>审计监察</t>
        </is>
      </c>
      <c r="E458" t="inlineStr">
        <is>
          <t>海外业务审计组</t>
        </is>
      </c>
      <c r="G458" t="inlineStr">
        <is>
          <t>S2职能系统－财经线/审计监察/海外业务审计组</t>
        </is>
      </c>
      <c r="H458" s="188" t="n">
        <v>40014</v>
      </c>
      <c r="I458" t="inlineStr">
        <is>
          <t>社会招聘</t>
        </is>
      </c>
      <c r="J458" t="inlineStr">
        <is>
          <t>财经类－FN</t>
        </is>
      </c>
      <c r="K458" t="inlineStr">
        <is>
          <t>风险管理</t>
        </is>
      </c>
      <c r="L458" t="inlineStr">
        <is>
          <t>S8</t>
        </is>
      </c>
      <c r="N458" t="inlineStr">
        <is>
          <t>T1</t>
        </is>
      </c>
      <c r="Q458" t="inlineStr">
        <is>
          <t>G,G</t>
        </is>
      </c>
      <c r="U458" t="n">
        <v>41554.65</v>
      </c>
      <c r="V458" t="n">
        <v>0.083333</v>
      </c>
      <c r="W458" t="inlineStr">
        <is>
          <t>CNY</t>
        </is>
      </c>
      <c r="X458" t="n">
        <v>1</v>
      </c>
      <c r="Y458" t="n">
        <v>39065.34</v>
      </c>
      <c r="Z458" t="n">
        <v>0</v>
      </c>
      <c r="AA458" t="n">
        <v>83109.3</v>
      </c>
      <c r="AF458" t="n">
        <v>0</v>
      </c>
      <c r="AG458" t="n">
        <v>243309.3</v>
      </c>
      <c r="AH458" t="n">
        <v>6.228265260202522</v>
      </c>
      <c r="AJ458" t="n">
        <v>6.228265260202522</v>
      </c>
      <c r="AK458" t="n">
        <v>4.628637559534872</v>
      </c>
      <c r="AQ458" t="n">
        <v>243309.3</v>
      </c>
      <c r="AR458" t="n">
        <v>6.228265260202522</v>
      </c>
      <c r="AS458" t="n">
        <v>1.123104228212703</v>
      </c>
      <c r="BL458" t="n">
        <v>1</v>
      </c>
      <c r="BM458" t="n">
        <v>35145</v>
      </c>
      <c r="BN458" t="n">
        <v>0</v>
      </c>
      <c r="BO458" t="n">
        <v>36105</v>
      </c>
      <c r="BP458" t="inlineStr">
        <is>
          <t>O,G</t>
        </is>
      </c>
      <c r="BQ458" t="inlineStr">
        <is>
          <t>T1</t>
        </is>
      </c>
      <c r="BS458" t="n">
        <v>4.248968558827714</v>
      </c>
      <c r="BT458" t="n">
        <v>67310</v>
      </c>
      <c r="BV458" t="n">
        <v>6.16417698107839</v>
      </c>
      <c r="BY458" t="n">
        <v>216640</v>
      </c>
      <c r="BZ458" t="n">
        <v>6.16417698107839</v>
      </c>
      <c r="CP458" t="inlineStr">
        <is>
          <t>审计监察</t>
        </is>
      </c>
      <c r="CQ458" t="inlineStr">
        <is>
          <t>3,3</t>
        </is>
      </c>
      <c r="CR458" t="n">
        <v>8</v>
      </c>
      <c r="CS458" t="inlineStr">
        <is>
          <t>T1</t>
        </is>
      </c>
      <c r="CT458" t="inlineStr">
        <is>
          <t>N</t>
        </is>
      </c>
    </row>
    <row r="459">
      <c r="A459" t="inlineStr">
        <is>
          <t>zacharyJiang(江强建)</t>
        </is>
      </c>
      <c r="C459" t="n">
        <v>42679006</v>
      </c>
      <c r="D459" t="inlineStr">
        <is>
          <t>财会及报告管理部</t>
        </is>
      </c>
      <c r="E459" t="inlineStr">
        <is>
          <t>应收管理中心</t>
        </is>
      </c>
      <c r="G459" t="inlineStr">
        <is>
          <t>S2职能系统－财经线/财会及报告管理部/应收管理中心</t>
        </is>
      </c>
      <c r="H459" s="188" t="n">
        <v>36129</v>
      </c>
      <c r="I459" t="inlineStr">
        <is>
          <t>高校招聘</t>
        </is>
      </c>
      <c r="J459" t="inlineStr">
        <is>
          <t>财经类－FN</t>
        </is>
      </c>
      <c r="K459" t="inlineStr">
        <is>
          <t>会计</t>
        </is>
      </c>
      <c r="L459" t="inlineStr">
        <is>
          <t>S8</t>
        </is>
      </c>
      <c r="N459" t="inlineStr">
        <is>
          <t>T2</t>
        </is>
      </c>
      <c r="Q459" t="inlineStr">
        <is>
          <t>G,O</t>
        </is>
      </c>
      <c r="U459" t="n">
        <v>29308.2</v>
      </c>
      <c r="V459" t="n">
        <v>0.083333</v>
      </c>
      <c r="W459" t="inlineStr">
        <is>
          <t>CNY</t>
        </is>
      </c>
      <c r="X459" t="n">
        <v>1</v>
      </c>
      <c r="Y459" t="n">
        <v>27696.96</v>
      </c>
      <c r="Z459" t="n">
        <v>0</v>
      </c>
      <c r="AA459" t="n">
        <v>87924.60000000001</v>
      </c>
      <c r="AF459" t="n">
        <v>0</v>
      </c>
      <c r="AG459" t="n">
        <v>128524.6</v>
      </c>
      <c r="AH459" t="n">
        <v>4.640386526174714</v>
      </c>
      <c r="AJ459" t="n">
        <v>4.640386526174714</v>
      </c>
      <c r="AK459" t="n">
        <v>4.640386526174714</v>
      </c>
      <c r="AQ459" t="n">
        <v>128524.6</v>
      </c>
      <c r="AR459" t="n">
        <v>4.640386526174714</v>
      </c>
      <c r="AS459" t="n">
        <v>1.467259546777784</v>
      </c>
      <c r="BL459" t="n">
        <v>1</v>
      </c>
      <c r="BM459" t="n">
        <v>25250</v>
      </c>
      <c r="BN459" t="n">
        <v>0</v>
      </c>
      <c r="BO459" t="n">
        <v>27430</v>
      </c>
      <c r="BP459" t="inlineStr">
        <is>
          <t>G,G</t>
        </is>
      </c>
      <c r="BQ459" t="inlineStr">
        <is>
          <t>T2</t>
        </is>
      </c>
      <c r="BS459" t="n">
        <v>3.469108910891089</v>
      </c>
      <c r="BT459" t="n">
        <v>0</v>
      </c>
      <c r="BV459" t="n">
        <v>3.469108910891089</v>
      </c>
      <c r="BY459" t="n">
        <v>87595</v>
      </c>
      <c r="BZ459" t="n">
        <v>3.469108910891089</v>
      </c>
      <c r="CP459" t="inlineStr">
        <is>
          <t>财会及报告管理部</t>
        </is>
      </c>
      <c r="CQ459" t="inlineStr">
        <is>
          <t>5,3</t>
        </is>
      </c>
      <c r="CR459" t="n">
        <v>8</v>
      </c>
      <c r="CS459" t="inlineStr">
        <is>
          <t>T2</t>
        </is>
      </c>
      <c r="CT459" t="inlineStr">
        <is>
          <t>N</t>
        </is>
      </c>
    </row>
    <row r="460">
      <c r="A460" t="inlineStr">
        <is>
          <t>rogerQin(秦宁)</t>
        </is>
      </c>
      <c r="C460" t="n">
        <v>47231255</v>
      </c>
      <c r="D460" t="inlineStr">
        <is>
          <t>财经IT管理部</t>
        </is>
      </c>
      <c r="E460" t="inlineStr">
        <is>
          <t>业务开发中心</t>
        </is>
      </c>
      <c r="G460" t="inlineStr">
        <is>
          <t>S2职能系统－财经线/财经IT管理部/业务开发中心</t>
        </is>
      </c>
      <c r="H460" s="188" t="n">
        <v>41657</v>
      </c>
      <c r="I460" t="inlineStr">
        <is>
          <t>社会招聘</t>
        </is>
      </c>
      <c r="J460" t="inlineStr">
        <is>
          <t>技术研发类－TRD</t>
        </is>
      </c>
      <c r="K460" t="inlineStr">
        <is>
          <t>应用开发</t>
        </is>
      </c>
      <c r="L460" t="inlineStr">
        <is>
          <t>T11</t>
        </is>
      </c>
      <c r="N460" t="inlineStr">
        <is>
          <t>T2</t>
        </is>
      </c>
      <c r="Q460" t="inlineStr">
        <is>
          <t>G,O</t>
        </is>
      </c>
      <c r="U460" t="n">
        <v>57296.7</v>
      </c>
      <c r="V460" t="n">
        <v>0.083333</v>
      </c>
      <c r="W460" t="inlineStr">
        <is>
          <t>CNY</t>
        </is>
      </c>
      <c r="X460" t="n">
        <v>1</v>
      </c>
      <c r="Y460" t="n">
        <v>56597.5</v>
      </c>
      <c r="Z460" t="n">
        <v>0</v>
      </c>
      <c r="AA460" t="n">
        <v>171890.1</v>
      </c>
      <c r="AF460" t="n">
        <v>0</v>
      </c>
      <c r="AG460" t="n">
        <v>235965.1</v>
      </c>
      <c r="AH460" t="n">
        <v>4.169178850655948</v>
      </c>
      <c r="AJ460" t="n">
        <v>4.169178850655948</v>
      </c>
      <c r="AK460" t="n">
        <v>4.169178850655948</v>
      </c>
      <c r="AQ460" t="n">
        <v>235965.1</v>
      </c>
      <c r="AR460" t="n">
        <v>4.169178850655948</v>
      </c>
      <c r="AS460" t="n">
        <v>1.39764911449387</v>
      </c>
      <c r="BL460" t="n">
        <v>1</v>
      </c>
      <c r="BM460" t="n">
        <v>51325</v>
      </c>
      <c r="BN460" t="n">
        <v>0</v>
      </c>
      <c r="BO460" t="n">
        <v>54200</v>
      </c>
      <c r="BP460" t="inlineStr">
        <is>
          <t>G,G</t>
        </is>
      </c>
      <c r="BQ460" t="inlineStr">
        <is>
          <t>Others</t>
        </is>
      </c>
      <c r="BS460" t="n">
        <v>3.289430102289333</v>
      </c>
      <c r="BT460" t="n">
        <v>0</v>
      </c>
      <c r="BV460" t="n">
        <v>3.289430102289333</v>
      </c>
      <c r="BY460" t="n">
        <v>168830</v>
      </c>
      <c r="BZ460" t="n">
        <v>3.289430102289333</v>
      </c>
      <c r="CP460" t="inlineStr">
        <is>
          <t>财经IT管理部</t>
        </is>
      </c>
      <c r="CQ460" t="inlineStr">
        <is>
          <t>5,3</t>
        </is>
      </c>
      <c r="CR460" t="n">
        <v>11</v>
      </c>
      <c r="CS460" t="inlineStr">
        <is>
          <t>T2</t>
        </is>
      </c>
      <c r="CT460" t="inlineStr">
        <is>
          <t>N</t>
        </is>
      </c>
    </row>
    <row r="461">
      <c r="A461" t="inlineStr">
        <is>
          <t>bobbyLei(雷勇)</t>
        </is>
      </c>
      <c r="C461" t="n">
        <v>58695846</v>
      </c>
      <c r="D461" t="inlineStr">
        <is>
          <t>CDG财务管理</t>
        </is>
      </c>
      <c r="E461" t="inlineStr">
        <is>
          <t>AMS收入支持中心</t>
        </is>
      </c>
      <c r="G461" t="inlineStr">
        <is>
          <t>S2职能系统－财经线/CDG财务管理/AMS收入支持中心</t>
        </is>
      </c>
      <c r="H461" s="188" t="n">
        <v>42333</v>
      </c>
      <c r="I461" t="inlineStr">
        <is>
          <t>社会招聘</t>
        </is>
      </c>
      <c r="J461" t="inlineStr">
        <is>
          <t>财经类－FN</t>
        </is>
      </c>
      <c r="K461" t="inlineStr">
        <is>
          <t>财务管理</t>
        </is>
      </c>
      <c r="L461" t="inlineStr">
        <is>
          <t>S8</t>
        </is>
      </c>
      <c r="N461" t="inlineStr">
        <is>
          <t>T2</t>
        </is>
      </c>
      <c r="Q461" t="inlineStr">
        <is>
          <t>G,O</t>
        </is>
      </c>
      <c r="U461" t="n">
        <v>51481.2</v>
      </c>
      <c r="V461" t="n">
        <v>0.083333</v>
      </c>
      <c r="W461" t="inlineStr">
        <is>
          <t>CNY</t>
        </is>
      </c>
      <c r="X461" t="n">
        <v>1</v>
      </c>
      <c r="Y461" t="n">
        <v>47908.7</v>
      </c>
      <c r="Z461" t="n">
        <v>0</v>
      </c>
      <c r="AA461" t="n">
        <v>154443.6</v>
      </c>
      <c r="AF461" t="n">
        <v>0</v>
      </c>
      <c r="AG461" t="n">
        <v>210243.6</v>
      </c>
      <c r="AH461" t="n">
        <v>4.388422144620915</v>
      </c>
      <c r="AJ461" t="n">
        <v>4.388422144620915</v>
      </c>
      <c r="AK461" t="n">
        <v>4.388422144620915</v>
      </c>
      <c r="AQ461" t="n">
        <v>210243.6</v>
      </c>
      <c r="AR461" t="n">
        <v>4.388422144620915</v>
      </c>
      <c r="AS461" t="n">
        <v>1.31270979020979</v>
      </c>
      <c r="BL461" t="n">
        <v>1</v>
      </c>
      <c r="BM461" t="n">
        <v>45485</v>
      </c>
      <c r="BN461" t="n">
        <v>0</v>
      </c>
      <c r="BO461" t="n">
        <v>46865</v>
      </c>
      <c r="BP461" t="inlineStr">
        <is>
          <t>G,G</t>
        </is>
      </c>
      <c r="BQ461" t="inlineStr">
        <is>
          <t>T2</t>
        </is>
      </c>
      <c r="BS461" t="n">
        <v>3.521160822249093</v>
      </c>
      <c r="BT461" t="n">
        <v>0</v>
      </c>
      <c r="BV461" t="n">
        <v>3.521160822249093</v>
      </c>
      <c r="BY461" t="n">
        <v>160160</v>
      </c>
      <c r="BZ461" t="n">
        <v>3.521160822249093</v>
      </c>
      <c r="CP461" t="inlineStr">
        <is>
          <t>CDG财务管理</t>
        </is>
      </c>
      <c r="CQ461" t="inlineStr">
        <is>
          <t>5,3</t>
        </is>
      </c>
      <c r="CR461" t="n">
        <v>8</v>
      </c>
      <c r="CS461" t="inlineStr">
        <is>
          <t>T2</t>
        </is>
      </c>
      <c r="CT461" t="inlineStr">
        <is>
          <t>N</t>
        </is>
      </c>
    </row>
    <row r="462">
      <c r="A462" t="inlineStr">
        <is>
          <t>ameliaWu(武晗媛)</t>
        </is>
      </c>
      <c r="C462" t="n">
        <v>89762030</v>
      </c>
      <c r="D462" t="inlineStr">
        <is>
          <t>可持续社会价值事业部财务管理</t>
        </is>
      </c>
      <c r="E462" t="inlineStr">
        <is>
          <t>可持续社会价值事业部财务管理</t>
        </is>
      </c>
      <c r="G462" t="inlineStr">
        <is>
          <t>S2职能系统－财经线/可持续社会价值事业部财务管理</t>
        </is>
      </c>
      <c r="H462" s="188" t="n">
        <v>40281</v>
      </c>
      <c r="I462" t="inlineStr">
        <is>
          <t>社会招聘</t>
        </is>
      </c>
      <c r="J462" t="inlineStr">
        <is>
          <t>财经类－FN</t>
        </is>
      </c>
      <c r="K462" t="inlineStr">
        <is>
          <t>财务管理</t>
        </is>
      </c>
      <c r="L462" t="inlineStr">
        <is>
          <t>S9</t>
        </is>
      </c>
      <c r="N462" t="inlineStr">
        <is>
          <t>T1</t>
        </is>
      </c>
      <c r="Q462" t="inlineStr">
        <is>
          <t>G,G</t>
        </is>
      </c>
      <c r="U462" t="n">
        <v>34206.2</v>
      </c>
      <c r="V462" t="n">
        <v>0.083333</v>
      </c>
      <c r="W462" t="inlineStr">
        <is>
          <t>CNY</t>
        </is>
      </c>
      <c r="X462" t="n">
        <v>1</v>
      </c>
      <c r="Y462" t="n">
        <v>32185.63</v>
      </c>
      <c r="Z462" t="n">
        <v>0</v>
      </c>
      <c r="AA462" t="n">
        <v>68412.39999999999</v>
      </c>
      <c r="AF462" t="n">
        <v>0</v>
      </c>
      <c r="AG462" t="n">
        <v>189307.4</v>
      </c>
      <c r="AH462" t="n">
        <v>5.881736663225172</v>
      </c>
      <c r="AJ462" t="n">
        <v>5.881736663225172</v>
      </c>
      <c r="AK462" t="n">
        <v>4.601972992295009</v>
      </c>
      <c r="AQ462" t="n">
        <v>189307.4</v>
      </c>
      <c r="AR462" t="n">
        <v>5.881736663225172</v>
      </c>
      <c r="AS462" t="n">
        <v>2.487450233230405</v>
      </c>
      <c r="BL462" t="n">
        <v>1</v>
      </c>
      <c r="BM462" t="n">
        <v>30735</v>
      </c>
      <c r="BN462" t="n">
        <v>0</v>
      </c>
      <c r="BO462" t="n">
        <v>32585</v>
      </c>
      <c r="BP462" t="inlineStr">
        <is>
          <t>U,G</t>
        </is>
      </c>
      <c r="BQ462" t="inlineStr">
        <is>
          <t>T1</t>
        </is>
      </c>
      <c r="BS462" t="n">
        <v>2.476167236050106</v>
      </c>
      <c r="BT462" t="n">
        <v>0</v>
      </c>
      <c r="BV462" t="n">
        <v>2.476167236050106</v>
      </c>
      <c r="BY462" t="n">
        <v>76105</v>
      </c>
      <c r="BZ462" t="n">
        <v>2.476167236050106</v>
      </c>
      <c r="CP462" t="inlineStr">
        <is>
          <t>可持续社会价值事业部财务管理</t>
        </is>
      </c>
      <c r="CQ462" t="inlineStr">
        <is>
          <t>3,3</t>
        </is>
      </c>
      <c r="CR462" t="n">
        <v>9</v>
      </c>
      <c r="CS462" t="inlineStr">
        <is>
          <t>T1</t>
        </is>
      </c>
      <c r="CT462" t="inlineStr">
        <is>
          <t>N</t>
        </is>
      </c>
    </row>
    <row r="463">
      <c r="A463" t="inlineStr">
        <is>
          <t>mariaRen(任荷)</t>
        </is>
      </c>
      <c r="C463" t="n">
        <v>94625811</v>
      </c>
      <c r="D463" t="inlineStr">
        <is>
          <t>财经投资并购及管理部</t>
        </is>
      </c>
      <c r="E463" t="inlineStr">
        <is>
          <t>运营支持中心</t>
        </is>
      </c>
      <c r="G463" t="inlineStr">
        <is>
          <t>S2职能系统－财经线/财经投资并购及管理部/运营支持中心</t>
        </is>
      </c>
      <c r="H463" s="188" t="n">
        <v>45609</v>
      </c>
      <c r="I463" t="inlineStr">
        <is>
          <t>社会招聘</t>
        </is>
      </c>
      <c r="J463" t="inlineStr">
        <is>
          <t>财经类－FN</t>
        </is>
      </c>
      <c r="K463" t="inlineStr">
        <is>
          <t>投资并购</t>
        </is>
      </c>
      <c r="L463" t="inlineStr">
        <is>
          <t>S9</t>
        </is>
      </c>
      <c r="N463" t="inlineStr">
        <is>
          <t>T1#</t>
        </is>
      </c>
      <c r="Q463" t="inlineStr">
        <is>
          <t>N,N</t>
        </is>
      </c>
      <c r="U463" t="n">
        <v>52168.9</v>
      </c>
      <c r="V463" t="n">
        <v>0.083333</v>
      </c>
      <c r="W463" t="inlineStr">
        <is>
          <t>CNY</t>
        </is>
      </c>
      <c r="X463" t="n">
        <v>0.131507</v>
      </c>
      <c r="Y463" t="n">
        <v>52168.9</v>
      </c>
      <c r="Z463" t="n">
        <v>0</v>
      </c>
      <c r="AA463" t="n">
        <v>6860.58</v>
      </c>
      <c r="AF463" t="n">
        <v>0</v>
      </c>
      <c r="AG463" t="n">
        <v>6860.58</v>
      </c>
      <c r="AH463" t="n">
        <v>0.1315070856391451</v>
      </c>
      <c r="AJ463" t="n">
        <v>0.1315070856391451</v>
      </c>
      <c r="AK463" t="n">
        <v>0.1315070856391451</v>
      </c>
      <c r="AQ463" t="n">
        <v>6860.58</v>
      </c>
      <c r="AR463" t="n">
        <v>0.1315070856391451</v>
      </c>
      <c r="BM463" t="n">
        <v>0</v>
      </c>
      <c r="BN463" t="n">
        <v>0</v>
      </c>
      <c r="BO463" t="n">
        <v>0</v>
      </c>
      <c r="BT463" t="n">
        <v>0</v>
      </c>
      <c r="BY463" t="n">
        <v>0</v>
      </c>
      <c r="CP463" t="inlineStr">
        <is>
          <t>财经投资并购及管理部</t>
        </is>
      </c>
      <c r="CR463" t="n">
        <v>9</v>
      </c>
      <c r="CS463" t="inlineStr">
        <is>
          <t>T1#</t>
        </is>
      </c>
      <c r="CT463" t="inlineStr">
        <is>
          <t>N</t>
        </is>
      </c>
    </row>
    <row r="464">
      <c r="A464" t="inlineStr">
        <is>
          <t>amandaXue(薛柔)</t>
        </is>
      </c>
      <c r="C464" t="n">
        <v>3178506</v>
      </c>
      <c r="D464" t="inlineStr">
        <is>
          <t>财经IT管理部</t>
        </is>
      </c>
      <c r="E464" t="inlineStr">
        <is>
          <t>国际业务支持中心</t>
        </is>
      </c>
      <c r="G464" t="inlineStr">
        <is>
          <t>S2职能系统－财经线/财经IT管理部/国际业务支持中心</t>
        </is>
      </c>
      <c r="H464" s="188" t="n">
        <v>45040</v>
      </c>
      <c r="I464" t="inlineStr">
        <is>
          <t>社会招聘</t>
        </is>
      </c>
      <c r="J464" t="inlineStr">
        <is>
          <t>技术研发类－TRD</t>
        </is>
      </c>
      <c r="K464" t="inlineStr">
        <is>
          <t>应用开发</t>
        </is>
      </c>
      <c r="L464" t="inlineStr">
        <is>
          <t>T10</t>
        </is>
      </c>
      <c r="N464" t="inlineStr">
        <is>
          <t>T1</t>
        </is>
      </c>
      <c r="Q464" t="inlineStr">
        <is>
          <t>G,G</t>
        </is>
      </c>
      <c r="U464" t="n">
        <v>36606.45</v>
      </c>
      <c r="V464" t="n">
        <v>0.083333</v>
      </c>
      <c r="W464" t="inlineStr">
        <is>
          <t>CNY</t>
        </is>
      </c>
      <c r="X464" t="n">
        <v>1</v>
      </c>
      <c r="Y464" t="n">
        <v>33575.76</v>
      </c>
      <c r="Z464" t="n">
        <v>0</v>
      </c>
      <c r="AA464" t="n">
        <v>73212.89999999999</v>
      </c>
      <c r="AF464" t="n">
        <v>0</v>
      </c>
      <c r="AG464" t="n">
        <v>231922.9</v>
      </c>
      <c r="AH464" t="n">
        <v>6.907450494046895</v>
      </c>
      <c r="AJ464" t="n">
        <v>6.907450494046895</v>
      </c>
      <c r="AK464" t="n">
        <v>4.883520134763889</v>
      </c>
      <c r="AQ464" t="n">
        <v>231922.9</v>
      </c>
      <c r="AR464" t="n">
        <v>6.907450494046895</v>
      </c>
      <c r="AS464" t="n">
        <v>10.36758605274922</v>
      </c>
      <c r="BL464" t="n">
        <v>0.6876712328767119</v>
      </c>
      <c r="BM464" t="n">
        <v>32400</v>
      </c>
      <c r="BN464" t="n">
        <v>0</v>
      </c>
      <c r="BO464" t="n">
        <v>32535</v>
      </c>
      <c r="BP464" t="inlineStr">
        <is>
          <t>N,G</t>
        </is>
      </c>
      <c r="BQ464" t="inlineStr">
        <is>
          <t>T1</t>
        </is>
      </c>
      <c r="BS464" t="n">
        <v>0.6904320987654321</v>
      </c>
      <c r="BT464" t="n">
        <v>0</v>
      </c>
      <c r="BV464" t="n">
        <v>0.6904320987654321</v>
      </c>
      <c r="BY464" t="n">
        <v>22370</v>
      </c>
      <c r="BZ464" t="n">
        <v>0.6904320987654321</v>
      </c>
      <c r="CP464" t="inlineStr">
        <is>
          <t>财经IT管理部</t>
        </is>
      </c>
      <c r="CQ464" t="inlineStr">
        <is>
          <t>3,3</t>
        </is>
      </c>
      <c r="CR464" t="n">
        <v>10</v>
      </c>
      <c r="CS464" t="inlineStr">
        <is>
          <t>T1</t>
        </is>
      </c>
      <c r="CT464" t="inlineStr">
        <is>
          <t>N</t>
        </is>
      </c>
    </row>
    <row r="465">
      <c r="A465" t="inlineStr">
        <is>
          <t>jeffreyYuan(袁熙霖)</t>
        </is>
      </c>
      <c r="C465" t="n">
        <v>73398866</v>
      </c>
      <c r="D465" t="inlineStr">
        <is>
          <t>财会及报告管理部</t>
        </is>
      </c>
      <c r="E465" t="inlineStr">
        <is>
          <t>财报中心</t>
        </is>
      </c>
      <c r="G465" t="inlineStr">
        <is>
          <t>S2职能系统－财经线/财会及报告管理部/财报中心</t>
        </is>
      </c>
      <c r="H465" s="188" t="n">
        <v>36847</v>
      </c>
      <c r="I465" t="inlineStr">
        <is>
          <t>社会招聘</t>
        </is>
      </c>
      <c r="J465" t="inlineStr">
        <is>
          <t>财经类－FN</t>
        </is>
      </c>
      <c r="K465" t="inlineStr">
        <is>
          <t>会计</t>
        </is>
      </c>
      <c r="L465" t="inlineStr">
        <is>
          <t>S8</t>
        </is>
      </c>
      <c r="N465" t="inlineStr">
        <is>
          <t>T2</t>
        </is>
      </c>
      <c r="Q465" t="inlineStr">
        <is>
          <t>G,G</t>
        </is>
      </c>
      <c r="U465" t="n">
        <v>51773.4</v>
      </c>
      <c r="V465" t="n">
        <v>0.083333</v>
      </c>
      <c r="W465" t="inlineStr">
        <is>
          <t>CNY</t>
        </is>
      </c>
      <c r="X465" t="n">
        <v>1</v>
      </c>
      <c r="Y465" t="n">
        <v>48039.72</v>
      </c>
      <c r="Z465" t="n">
        <v>0</v>
      </c>
      <c r="AA465" t="n">
        <v>103546.8</v>
      </c>
      <c r="AF465" t="n">
        <v>0</v>
      </c>
      <c r="AG465" t="n">
        <v>160991.8</v>
      </c>
      <c r="AH465" t="n">
        <v>3.351222696551936</v>
      </c>
      <c r="AJ465" t="n">
        <v>3.351222696551936</v>
      </c>
      <c r="AK465" t="n">
        <v>3.351222696551936</v>
      </c>
      <c r="AQ465" t="n">
        <v>160991.8</v>
      </c>
      <c r="AR465" t="n">
        <v>3.351222696551936</v>
      </c>
      <c r="AS465" t="n">
        <v>0.8226248690631307</v>
      </c>
      <c r="BL465" t="n">
        <v>1</v>
      </c>
      <c r="BM465" t="n">
        <v>43660</v>
      </c>
      <c r="BN465" t="n">
        <v>0</v>
      </c>
      <c r="BO465" t="n">
        <v>46230</v>
      </c>
      <c r="BP465" t="inlineStr">
        <is>
          <t>O,G</t>
        </is>
      </c>
      <c r="BQ465" t="inlineStr">
        <is>
          <t>T2</t>
        </is>
      </c>
      <c r="BS465" t="n">
        <v>4.482478240952817</v>
      </c>
      <c r="BT465" t="n">
        <v>0</v>
      </c>
      <c r="BV465" t="n">
        <v>4.482478240952817</v>
      </c>
      <c r="BY465" t="n">
        <v>195705</v>
      </c>
      <c r="BZ465" t="n">
        <v>4.482478240952817</v>
      </c>
      <c r="CP465" t="inlineStr">
        <is>
          <t>财会及报告管理部</t>
        </is>
      </c>
      <c r="CQ465" t="inlineStr">
        <is>
          <t>3,3</t>
        </is>
      </c>
      <c r="CR465" t="n">
        <v>8</v>
      </c>
      <c r="CS465" t="inlineStr">
        <is>
          <t>T2</t>
        </is>
      </c>
      <c r="CT465" t="inlineStr">
        <is>
          <t>N</t>
        </is>
      </c>
    </row>
    <row r="466">
      <c r="A466" t="inlineStr">
        <is>
          <t>ralphHan(韩东荣)</t>
        </is>
      </c>
      <c r="C466" t="n">
        <v>40321865</v>
      </c>
      <c r="D466" t="inlineStr">
        <is>
          <t>IEG财务管理</t>
        </is>
      </c>
      <c r="E466" t="inlineStr">
        <is>
          <t>IEGG投资公司管理组</t>
        </is>
      </c>
      <c r="G466" t="inlineStr">
        <is>
          <t>S2职能系统－财经线/IEG财务管理/IEGG投资公司管理组</t>
        </is>
      </c>
      <c r="H466" s="188" t="n">
        <v>41712</v>
      </c>
      <c r="I466" t="inlineStr">
        <is>
          <t>社会招聘</t>
        </is>
      </c>
      <c r="J466" t="inlineStr">
        <is>
          <t>财经类－FN</t>
        </is>
      </c>
      <c r="K466" t="inlineStr">
        <is>
          <t>财务管理</t>
        </is>
      </c>
      <c r="L466" t="inlineStr">
        <is>
          <t>S11</t>
        </is>
      </c>
      <c r="N466" t="inlineStr">
        <is>
          <t>T2</t>
        </is>
      </c>
      <c r="Q466" t="inlineStr">
        <is>
          <t>G,O</t>
        </is>
      </c>
      <c r="U466" t="n">
        <v>42432.5</v>
      </c>
      <c r="V466" t="n">
        <v>0.083333</v>
      </c>
      <c r="W466" t="inlineStr">
        <is>
          <t>CNY</t>
        </is>
      </c>
      <c r="X466" t="n">
        <v>1</v>
      </c>
      <c r="Y466" t="n">
        <v>41786.86</v>
      </c>
      <c r="Z466" t="n">
        <v>0</v>
      </c>
      <c r="AA466" t="n">
        <v>127297.5</v>
      </c>
      <c r="AF466" t="n">
        <v>0</v>
      </c>
      <c r="AG466" t="n">
        <v>173777.5</v>
      </c>
      <c r="AH466" t="n">
        <v>4.158663752193871</v>
      </c>
      <c r="AJ466" t="n">
        <v>4.158663752193871</v>
      </c>
      <c r="AK466" t="n">
        <v>4.158663752193871</v>
      </c>
      <c r="AQ466" t="n">
        <v>173777.5</v>
      </c>
      <c r="AR466" t="n">
        <v>4.158663752193871</v>
      </c>
      <c r="AS466" t="n">
        <v>1.505936132414749</v>
      </c>
      <c r="BL466" t="n">
        <v>1</v>
      </c>
      <c r="BM466" t="n">
        <v>35305</v>
      </c>
      <c r="BN466" t="n">
        <v>0</v>
      </c>
      <c r="BO466" t="n">
        <v>35710</v>
      </c>
      <c r="BP466" t="inlineStr">
        <is>
          <t>O,U</t>
        </is>
      </c>
      <c r="BQ466" t="inlineStr">
        <is>
          <t>Others</t>
        </is>
      </c>
      <c r="BS466" t="n">
        <v>3.268517207194448</v>
      </c>
      <c r="BT466" t="n">
        <v>0</v>
      </c>
      <c r="BV466" t="n">
        <v>3.268517207194448</v>
      </c>
      <c r="BY466" t="n">
        <v>115395</v>
      </c>
      <c r="BZ466" t="n">
        <v>3.268517207194448</v>
      </c>
      <c r="CP466" t="inlineStr">
        <is>
          <t>IEG财务管理</t>
        </is>
      </c>
      <c r="CQ466" t="inlineStr">
        <is>
          <t>5,3</t>
        </is>
      </c>
      <c r="CR466" t="n">
        <v>11</v>
      </c>
      <c r="CS466" t="inlineStr">
        <is>
          <t>T2</t>
        </is>
      </c>
      <c r="CT466" t="inlineStr">
        <is>
          <t>N</t>
        </is>
      </c>
    </row>
    <row r="467">
      <c r="A467" t="inlineStr">
        <is>
          <t>charlesShi(石胜)</t>
        </is>
      </c>
      <c r="C467" t="n">
        <v>59449972</v>
      </c>
      <c r="D467" t="inlineStr">
        <is>
          <t>FiT财务管理</t>
        </is>
      </c>
      <c r="E467" t="inlineStr">
        <is>
          <t>结算支持中心</t>
        </is>
      </c>
      <c r="G467" t="inlineStr">
        <is>
          <t>S2职能系统－财经线/FiT财务管理/结算支持中心</t>
        </is>
      </c>
      <c r="H467" s="188" t="n">
        <v>38544</v>
      </c>
      <c r="I467" t="inlineStr">
        <is>
          <t>社会招聘</t>
        </is>
      </c>
      <c r="J467" t="inlineStr">
        <is>
          <t>财经类－FN</t>
        </is>
      </c>
      <c r="K467" t="inlineStr">
        <is>
          <t>财务管理</t>
        </is>
      </c>
      <c r="L467" t="inlineStr">
        <is>
          <t>S5</t>
        </is>
      </c>
      <c r="N467" t="inlineStr">
        <is>
          <t>Others</t>
        </is>
      </c>
      <c r="Q467" t="inlineStr">
        <is>
          <t>G,G</t>
        </is>
      </c>
      <c r="U467" t="n">
        <v>30654.5</v>
      </c>
      <c r="V467" t="n">
        <v>0.083333</v>
      </c>
      <c r="W467" t="inlineStr">
        <is>
          <t>CNY</t>
        </is>
      </c>
      <c r="X467" t="n">
        <v>1</v>
      </c>
      <c r="Y467" t="n">
        <v>29066.05</v>
      </c>
      <c r="Z467" t="n">
        <v>0</v>
      </c>
      <c r="AA467" t="n">
        <v>61309</v>
      </c>
      <c r="AF467" t="n">
        <v>0</v>
      </c>
      <c r="AG467" t="n">
        <v>81814</v>
      </c>
      <c r="AH467" t="n">
        <v>2.814761551707232</v>
      </c>
      <c r="AJ467" t="n">
        <v>2.814761551707232</v>
      </c>
      <c r="AK467" t="n">
        <v>2.814761551707232</v>
      </c>
      <c r="AQ467" t="n">
        <v>81814</v>
      </c>
      <c r="AR467" t="n">
        <v>2.814761551707232</v>
      </c>
      <c r="AS467" t="n">
        <v>1.000538094655742</v>
      </c>
      <c r="BL467" t="n">
        <v>1</v>
      </c>
      <c r="BM467" t="n">
        <v>25390</v>
      </c>
      <c r="BN467" t="n">
        <v>0</v>
      </c>
      <c r="BO467" t="n">
        <v>25895</v>
      </c>
      <c r="BP467" t="inlineStr">
        <is>
          <t>G,G</t>
        </is>
      </c>
      <c r="BQ467" t="inlineStr">
        <is>
          <t>Others</t>
        </is>
      </c>
      <c r="BS467" t="n">
        <v>3.220559275305238</v>
      </c>
      <c r="BT467" t="n">
        <v>0</v>
      </c>
      <c r="BV467" t="n">
        <v>3.220559275305238</v>
      </c>
      <c r="BY467" t="n">
        <v>81770</v>
      </c>
      <c r="BZ467" t="n">
        <v>3.220559275305238</v>
      </c>
      <c r="CP467" t="inlineStr">
        <is>
          <t>FiT财务管理</t>
        </is>
      </c>
      <c r="CQ467" t="inlineStr">
        <is>
          <t>3,3</t>
        </is>
      </c>
      <c r="CR467" t="n">
        <v>5</v>
      </c>
      <c r="CS467" t="inlineStr">
        <is>
          <t>Others</t>
        </is>
      </c>
      <c r="CT467" t="inlineStr">
        <is>
          <t>N</t>
        </is>
      </c>
    </row>
    <row r="468">
      <c r="A468" t="inlineStr">
        <is>
          <t>lauraXiong(熊璐)</t>
        </is>
      </c>
      <c r="C468" t="n">
        <v>9271494</v>
      </c>
      <c r="D468" t="inlineStr">
        <is>
          <t>预算及职能系统财务管理部</t>
        </is>
      </c>
      <c r="E468" t="inlineStr">
        <is>
          <t>预算管理中心</t>
        </is>
      </c>
      <c r="G468" t="inlineStr">
        <is>
          <t>S2职能系统－财经线/预算及职能系统财务管理部/预算管理中心</t>
        </is>
      </c>
      <c r="H468" s="188" t="n">
        <v>36197</v>
      </c>
      <c r="I468" t="inlineStr">
        <is>
          <t>高校招聘</t>
        </is>
      </c>
      <c r="J468" t="inlineStr">
        <is>
          <t>财经类－FN</t>
        </is>
      </c>
      <c r="K468" t="inlineStr">
        <is>
          <t>预算管理</t>
        </is>
      </c>
      <c r="L468" t="inlineStr">
        <is>
          <t>S6</t>
        </is>
      </c>
      <c r="N468" t="inlineStr">
        <is>
          <t>T1</t>
        </is>
      </c>
      <c r="Q468" t="inlineStr">
        <is>
          <t>G,O</t>
        </is>
      </c>
      <c r="U468" t="n">
        <v>36186.45</v>
      </c>
      <c r="V468" t="n">
        <v>0.083333</v>
      </c>
      <c r="W468" t="inlineStr">
        <is>
          <t>CNY</t>
        </is>
      </c>
      <c r="X468" t="n">
        <v>1</v>
      </c>
      <c r="Y468" t="n">
        <v>34069.33</v>
      </c>
      <c r="Z468" t="n">
        <v>0</v>
      </c>
      <c r="AA468" t="n">
        <v>108559.35</v>
      </c>
      <c r="AF468" t="n">
        <v>0</v>
      </c>
      <c r="AG468" t="n">
        <v>229249.35</v>
      </c>
      <c r="AH468" t="n">
        <v>6.728906908354229</v>
      </c>
      <c r="AJ468" t="n">
        <v>6.728906908354229</v>
      </c>
      <c r="AK468" t="n">
        <v>5.618817569937536</v>
      </c>
      <c r="AQ468" t="n">
        <v>229249.35</v>
      </c>
      <c r="AR468" t="n">
        <v>6.728906908354229</v>
      </c>
      <c r="AS468" t="n">
        <v>1.410027677830058</v>
      </c>
      <c r="BL468" t="n">
        <v>1</v>
      </c>
      <c r="BM468" t="n">
        <v>32090</v>
      </c>
      <c r="BN468" t="n">
        <v>0</v>
      </c>
      <c r="BO468" t="n">
        <v>34720</v>
      </c>
      <c r="BP468" t="inlineStr">
        <is>
          <t>G,G</t>
        </is>
      </c>
      <c r="BQ468" t="inlineStr">
        <is>
          <t>T1</t>
        </is>
      </c>
      <c r="BS468" t="n">
        <v>3.508725459644749</v>
      </c>
      <c r="BT468" t="n">
        <v>49990</v>
      </c>
      <c r="BV468" t="n">
        <v>5.066531629791212</v>
      </c>
      <c r="BY468" t="n">
        <v>162585</v>
      </c>
      <c r="BZ468" t="n">
        <v>5.066531629791212</v>
      </c>
      <c r="CP468" t="inlineStr">
        <is>
          <t>预算及职能系统财务管理部</t>
        </is>
      </c>
      <c r="CQ468" t="inlineStr">
        <is>
          <t>5,3</t>
        </is>
      </c>
      <c r="CR468" t="n">
        <v>6</v>
      </c>
      <c r="CS468" t="inlineStr">
        <is>
          <t>T1</t>
        </is>
      </c>
      <c r="CT468" t="inlineStr">
        <is>
          <t>N</t>
        </is>
      </c>
    </row>
    <row r="469">
      <c r="A469" t="inlineStr">
        <is>
          <t>albertHuang(黄阳彪)</t>
        </is>
      </c>
      <c r="C469" t="n">
        <v>82653562</v>
      </c>
      <c r="D469" t="inlineStr">
        <is>
          <t>财会及报告管理部</t>
        </is>
      </c>
      <c r="E469" t="inlineStr">
        <is>
          <t>海外财会管理中心</t>
        </is>
      </c>
      <c r="G469" t="inlineStr">
        <is>
          <t>S2职能系统－财经线/财会及报告管理部/海外财会管理中心</t>
        </is>
      </c>
      <c r="H469" s="188" t="n">
        <v>37571</v>
      </c>
      <c r="I469" t="inlineStr">
        <is>
          <t>社会招聘</t>
        </is>
      </c>
      <c r="J469" t="inlineStr">
        <is>
          <t>财经类－FN</t>
        </is>
      </c>
      <c r="K469" t="inlineStr">
        <is>
          <t>会计</t>
        </is>
      </c>
      <c r="L469" t="inlineStr">
        <is>
          <t>S7</t>
        </is>
      </c>
      <c r="N469" t="inlineStr">
        <is>
          <t>T1</t>
        </is>
      </c>
      <c r="Q469" t="inlineStr">
        <is>
          <t>O,O</t>
        </is>
      </c>
      <c r="U469" t="n">
        <v>25529.55</v>
      </c>
      <c r="V469" t="n">
        <v>0.083333</v>
      </c>
      <c r="W469" t="inlineStr">
        <is>
          <t>CNY</t>
        </is>
      </c>
      <c r="X469" t="n">
        <v>1</v>
      </c>
      <c r="Y469" t="n">
        <v>23381.64</v>
      </c>
      <c r="Z469" t="n">
        <v>0</v>
      </c>
      <c r="AA469" t="n">
        <v>102118.2</v>
      </c>
      <c r="AF469" t="n">
        <v>0</v>
      </c>
      <c r="AG469" t="n">
        <v>198988.2</v>
      </c>
      <c r="AH469" t="n">
        <v>8.510446658147162</v>
      </c>
      <c r="AJ469" t="n">
        <v>8.510446658147162</v>
      </c>
      <c r="AK469" t="n">
        <v>6.656214020915557</v>
      </c>
      <c r="AQ469" t="n">
        <v>198988.2</v>
      </c>
      <c r="AR469" t="n">
        <v>8.510446658147162</v>
      </c>
      <c r="AS469" t="n">
        <v>1.016854208186417</v>
      </c>
      <c r="BL469" t="n">
        <v>1</v>
      </c>
      <c r="BM469" t="n">
        <v>22380</v>
      </c>
      <c r="BN469" t="n">
        <v>0</v>
      </c>
      <c r="BO469" t="n">
        <v>24515</v>
      </c>
      <c r="BP469" t="inlineStr">
        <is>
          <t>O,G</t>
        </is>
      </c>
      <c r="BQ469" t="inlineStr">
        <is>
          <t>T1#</t>
        </is>
      </c>
      <c r="BS469" t="n">
        <v>6.817024128686327</v>
      </c>
      <c r="BT469" t="n">
        <v>43125</v>
      </c>
      <c r="BV469" t="n">
        <v>8.743967828418231</v>
      </c>
      <c r="BY469" t="n">
        <v>195690</v>
      </c>
      <c r="BZ469" t="n">
        <v>8.743967828418231</v>
      </c>
      <c r="CP469" t="inlineStr">
        <is>
          <t>财会及报告管理部</t>
        </is>
      </c>
      <c r="CQ469" t="inlineStr">
        <is>
          <t>5,5</t>
        </is>
      </c>
      <c r="CR469" t="n">
        <v>7</v>
      </c>
      <c r="CS469" t="inlineStr">
        <is>
          <t>T1</t>
        </is>
      </c>
      <c r="CT469" t="inlineStr">
        <is>
          <t>N</t>
        </is>
      </c>
    </row>
    <row r="470">
      <c r="A470" t="inlineStr">
        <is>
          <t>kimberlyWan(万洁)</t>
        </is>
      </c>
      <c r="C470" t="n">
        <v>8540876</v>
      </c>
      <c r="D470" t="inlineStr">
        <is>
          <t>财经IT管理部</t>
        </is>
      </c>
      <c r="E470" t="inlineStr">
        <is>
          <t>平台建设中心</t>
        </is>
      </c>
      <c r="G470" t="inlineStr">
        <is>
          <t>S2职能系统－财经线/财经IT管理部/平台建设中心</t>
        </is>
      </c>
      <c r="H470" s="188" t="n">
        <v>38414</v>
      </c>
      <c r="I470" t="inlineStr">
        <is>
          <t>高校招聘</t>
        </is>
      </c>
      <c r="J470" t="inlineStr">
        <is>
          <t>技术研发类－TRD</t>
        </is>
      </c>
      <c r="K470" t="inlineStr">
        <is>
          <t>应用开发</t>
        </is>
      </c>
      <c r="L470" t="inlineStr">
        <is>
          <t>T5</t>
        </is>
      </c>
      <c r="N470" t="inlineStr">
        <is>
          <t>T1#</t>
        </is>
      </c>
      <c r="Q470" t="inlineStr">
        <is>
          <t>G,O</t>
        </is>
      </c>
      <c r="U470" t="n">
        <v>19664.3</v>
      </c>
      <c r="V470" t="n">
        <v>0.083333</v>
      </c>
      <c r="W470" t="inlineStr">
        <is>
          <t>CNY</t>
        </is>
      </c>
      <c r="X470" t="n">
        <v>1</v>
      </c>
      <c r="Y470" t="n">
        <v>18071.18</v>
      </c>
      <c r="Z470" t="n">
        <v>0</v>
      </c>
      <c r="AA470" t="n">
        <v>58992.9</v>
      </c>
      <c r="AF470" t="n">
        <v>0</v>
      </c>
      <c r="AG470" t="n">
        <v>166057.9</v>
      </c>
      <c r="AH470" t="n">
        <v>9.189101099098121</v>
      </c>
      <c r="AJ470" t="n">
        <v>9.189101099098121</v>
      </c>
      <c r="AK470" t="n">
        <v>7.013537577512923</v>
      </c>
      <c r="AQ470" t="n">
        <v>166057.9</v>
      </c>
      <c r="AR470" t="n">
        <v>9.189101099098121</v>
      </c>
      <c r="AS470" t="n">
        <v>2.958188296071969</v>
      </c>
      <c r="BL470" t="n">
        <v>1</v>
      </c>
      <c r="BM470" t="n">
        <v>15995</v>
      </c>
      <c r="BN470" t="n">
        <v>0</v>
      </c>
      <c r="BO470" t="n">
        <v>16055</v>
      </c>
      <c r="BP470" t="inlineStr">
        <is>
          <t>G,G</t>
        </is>
      </c>
      <c r="BQ470" t="inlineStr">
        <is>
          <t>T2</t>
        </is>
      </c>
      <c r="BS470" t="n">
        <v>3.509534229446702</v>
      </c>
      <c r="BT470" t="n">
        <v>0</v>
      </c>
      <c r="BV470" t="n">
        <v>3.509534229446702</v>
      </c>
      <c r="BY470" t="n">
        <v>56135</v>
      </c>
      <c r="BZ470" t="n">
        <v>3.509534229446702</v>
      </c>
      <c r="CP470" t="inlineStr">
        <is>
          <t>财经IT管理部</t>
        </is>
      </c>
      <c r="CQ470" t="inlineStr">
        <is>
          <t>5,3</t>
        </is>
      </c>
      <c r="CR470" t="n">
        <v>5</v>
      </c>
      <c r="CS470" t="inlineStr">
        <is>
          <t>T1#</t>
        </is>
      </c>
      <c r="CT470" t="inlineStr">
        <is>
          <t>N</t>
        </is>
      </c>
    </row>
    <row r="471">
      <c r="A471" t="inlineStr">
        <is>
          <t>matthewYuan(袁胜)</t>
        </is>
      </c>
      <c r="C471" t="n">
        <v>63018409</v>
      </c>
      <c r="D471" t="inlineStr">
        <is>
          <t>资金管理</t>
        </is>
      </c>
      <c r="E471" t="inlineStr">
        <is>
          <t>资金结算及风险控制中心</t>
        </is>
      </c>
      <c r="G471" t="inlineStr">
        <is>
          <t>S2职能系统－财经线/资金管理/资金结算及风险控制中心</t>
        </is>
      </c>
      <c r="H471" s="188" t="n">
        <v>45083</v>
      </c>
      <c r="I471" t="inlineStr">
        <is>
          <t>高校招聘</t>
        </is>
      </c>
      <c r="J471" t="inlineStr">
        <is>
          <t>财经类－FN</t>
        </is>
      </c>
      <c r="K471" t="inlineStr">
        <is>
          <t>资金管理</t>
        </is>
      </c>
      <c r="L471" t="inlineStr">
        <is>
          <t>S5</t>
        </is>
      </c>
      <c r="N471" t="inlineStr">
        <is>
          <t>T2</t>
        </is>
      </c>
      <c r="Q471" t="inlineStr">
        <is>
          <t>G,O</t>
        </is>
      </c>
      <c r="U471" t="n">
        <v>25236</v>
      </c>
      <c r="V471" t="n">
        <v>0.083333</v>
      </c>
      <c r="W471" t="inlineStr">
        <is>
          <t>CNY</t>
        </is>
      </c>
      <c r="X471" t="n">
        <v>1</v>
      </c>
      <c r="Y471" t="n">
        <v>23515.66</v>
      </c>
      <c r="Z471" t="n">
        <v>0</v>
      </c>
      <c r="AA471" t="n">
        <v>75708</v>
      </c>
      <c r="AF471" t="n">
        <v>0</v>
      </c>
      <c r="AG471" t="n">
        <v>105593</v>
      </c>
      <c r="AH471" t="n">
        <v>4.490326871540072</v>
      </c>
      <c r="AJ471" t="n">
        <v>4.490326871540072</v>
      </c>
      <c r="AK471" t="n">
        <v>4.490326871540072</v>
      </c>
      <c r="AQ471" t="n">
        <v>105593</v>
      </c>
      <c r="AR471" t="n">
        <v>4.490326871540072</v>
      </c>
      <c r="AS471" t="n">
        <v>8.304600865119937</v>
      </c>
      <c r="BL471" t="n">
        <v>0.56986301369863</v>
      </c>
      <c r="BM471" t="n">
        <v>21355</v>
      </c>
      <c r="BN471" t="n">
        <v>0</v>
      </c>
      <c r="BO471" t="n">
        <v>22320</v>
      </c>
      <c r="BP471" t="inlineStr">
        <is>
          <t>N,U</t>
        </is>
      </c>
      <c r="BQ471" t="inlineStr">
        <is>
          <t>T2</t>
        </is>
      </c>
      <c r="BS471" t="n">
        <v>0.5954109107937251</v>
      </c>
      <c r="BT471" t="n">
        <v>0</v>
      </c>
      <c r="BV471" t="n">
        <v>0.5954109107937251</v>
      </c>
      <c r="BY471" t="n">
        <v>12715</v>
      </c>
      <c r="BZ471" t="n">
        <v>0.5954109107937251</v>
      </c>
      <c r="CP471" t="inlineStr">
        <is>
          <t>资金管理</t>
        </is>
      </c>
      <c r="CQ471" t="inlineStr">
        <is>
          <t>5,3</t>
        </is>
      </c>
      <c r="CR471" t="n">
        <v>5</v>
      </c>
      <c r="CS471" t="inlineStr">
        <is>
          <t>T2</t>
        </is>
      </c>
      <c r="CT471" t="inlineStr">
        <is>
          <t>N</t>
        </is>
      </c>
    </row>
    <row r="472">
      <c r="A472" t="inlineStr">
        <is>
          <t>sandraSu(苏蕾)</t>
        </is>
      </c>
      <c r="C472" t="n">
        <v>65241976</v>
      </c>
      <c r="D472" t="inlineStr">
        <is>
          <t>IEG财务管理</t>
        </is>
      </c>
      <c r="E472" t="inlineStr">
        <is>
          <t>自研财务管理组</t>
        </is>
      </c>
      <c r="G472" t="inlineStr">
        <is>
          <t>S2职能系统－财经线/IEG财务管理/自研财务管理组</t>
        </is>
      </c>
      <c r="H472" s="188" t="n">
        <v>37829</v>
      </c>
      <c r="I472" t="inlineStr">
        <is>
          <t>社会招聘</t>
        </is>
      </c>
      <c r="J472" t="inlineStr">
        <is>
          <t>财经类－FN</t>
        </is>
      </c>
      <c r="K472" t="inlineStr">
        <is>
          <t>财务管理</t>
        </is>
      </c>
      <c r="L472" t="inlineStr">
        <is>
          <t>S9</t>
        </is>
      </c>
      <c r="N472" t="inlineStr">
        <is>
          <t>Others</t>
        </is>
      </c>
      <c r="Q472" t="inlineStr">
        <is>
          <t>G,G</t>
        </is>
      </c>
      <c r="U472" t="n">
        <v>42104</v>
      </c>
      <c r="V472" t="n">
        <v>0.083333</v>
      </c>
      <c r="W472" t="inlineStr">
        <is>
          <t>CNY</t>
        </is>
      </c>
      <c r="X472" t="n">
        <v>1</v>
      </c>
      <c r="Y472" t="n">
        <v>39734.56</v>
      </c>
      <c r="Z472" t="n">
        <v>0</v>
      </c>
      <c r="AA472" t="n">
        <v>84208</v>
      </c>
      <c r="AF472" t="n">
        <v>0</v>
      </c>
      <c r="AG472" t="n">
        <v>118458</v>
      </c>
      <c r="AH472" t="n">
        <v>2.981233465275569</v>
      </c>
      <c r="AJ472" t="n">
        <v>2.981233465275569</v>
      </c>
      <c r="AK472" t="n">
        <v>2.981233465275569</v>
      </c>
      <c r="AQ472" t="n">
        <v>118458</v>
      </c>
      <c r="AR472" t="n">
        <v>2.981233465275569</v>
      </c>
      <c r="AS472" t="n">
        <v>1.323848904783192</v>
      </c>
      <c r="BL472" t="n">
        <v>1</v>
      </c>
      <c r="BM472" t="n">
        <v>35200</v>
      </c>
      <c r="BN472" t="n">
        <v>0</v>
      </c>
      <c r="BO472" t="n">
        <v>38090</v>
      </c>
      <c r="BP472" t="inlineStr">
        <is>
          <t>U,G</t>
        </is>
      </c>
      <c r="BQ472" t="inlineStr">
        <is>
          <t>Others</t>
        </is>
      </c>
      <c r="BS472" t="n">
        <v>2.542045454545454</v>
      </c>
      <c r="BT472" t="n">
        <v>0</v>
      </c>
      <c r="BV472" t="n">
        <v>2.542045454545454</v>
      </c>
      <c r="BY472" t="n">
        <v>89480</v>
      </c>
      <c r="BZ472" t="n">
        <v>2.542045454545454</v>
      </c>
      <c r="CP472" t="inlineStr">
        <is>
          <t>IEG财务管理</t>
        </is>
      </c>
      <c r="CQ472" t="inlineStr">
        <is>
          <t>3,3</t>
        </is>
      </c>
      <c r="CR472" t="n">
        <v>9</v>
      </c>
      <c r="CS472" t="inlineStr">
        <is>
          <t>Others</t>
        </is>
      </c>
      <c r="CT472" t="inlineStr">
        <is>
          <t>N</t>
        </is>
      </c>
    </row>
    <row r="473">
      <c r="A473" t="inlineStr">
        <is>
          <t>lillianGuo(郭晗茹)</t>
        </is>
      </c>
      <c r="C473" t="n">
        <v>63866413</v>
      </c>
      <c r="D473" t="inlineStr">
        <is>
          <t>PCG财务管理</t>
        </is>
      </c>
      <c r="E473" t="inlineStr">
        <is>
          <t>社交平台财务管理组</t>
        </is>
      </c>
      <c r="G473" t="inlineStr">
        <is>
          <t>S2职能系统－财经线/PCG财务管理/社交平台财务管理组</t>
        </is>
      </c>
      <c r="H473" s="188" t="n">
        <v>43708</v>
      </c>
      <c r="I473" t="inlineStr">
        <is>
          <t>社会招聘</t>
        </is>
      </c>
      <c r="J473" t="inlineStr">
        <is>
          <t>财经类－FN</t>
        </is>
      </c>
      <c r="K473" t="inlineStr">
        <is>
          <t>财务管理</t>
        </is>
      </c>
      <c r="L473" t="inlineStr">
        <is>
          <t>S10</t>
        </is>
      </c>
      <c r="N473" t="inlineStr">
        <is>
          <t>T1#</t>
        </is>
      </c>
      <c r="Q473" t="inlineStr">
        <is>
          <t>G,G</t>
        </is>
      </c>
      <c r="U473" t="n">
        <v>49830.55</v>
      </c>
      <c r="V473" t="n">
        <v>0.083333</v>
      </c>
      <c r="W473" t="inlineStr">
        <is>
          <t>CNY</t>
        </is>
      </c>
      <c r="X473" t="n">
        <v>1</v>
      </c>
      <c r="Y473" t="n">
        <v>47261.25</v>
      </c>
      <c r="Z473" t="n">
        <v>0</v>
      </c>
      <c r="AA473" t="n">
        <v>99661.10000000001</v>
      </c>
      <c r="AF473" t="n">
        <v>0</v>
      </c>
      <c r="AG473" t="n">
        <v>357376.1</v>
      </c>
      <c r="AH473" t="n">
        <v>7.561714935597344</v>
      </c>
      <c r="AJ473" t="n">
        <v>7.561714935597344</v>
      </c>
      <c r="AK473" t="n">
        <v>5.798431061387499</v>
      </c>
      <c r="AQ473" t="n">
        <v>357376.1</v>
      </c>
      <c r="AR473" t="n">
        <v>7.561714935597344</v>
      </c>
      <c r="AS473" t="n">
        <v>1.260608123600063</v>
      </c>
      <c r="BL473" t="n">
        <v>1</v>
      </c>
      <c r="BM473" t="n">
        <v>43730</v>
      </c>
      <c r="BN473" t="n">
        <v>0</v>
      </c>
      <c r="BO473" t="n">
        <v>46690</v>
      </c>
      <c r="BP473" t="inlineStr">
        <is>
          <t>G,G</t>
        </is>
      </c>
      <c r="BQ473" t="inlineStr">
        <is>
          <t>T1#</t>
        </is>
      </c>
      <c r="BS473" t="n">
        <v>5.354447747541734</v>
      </c>
      <c r="BT473" t="n">
        <v>49345</v>
      </c>
      <c r="BV473" t="n">
        <v>6.482849302538304</v>
      </c>
      <c r="BY473" t="n">
        <v>283495</v>
      </c>
      <c r="BZ473" t="n">
        <v>6.482849302538304</v>
      </c>
      <c r="CP473" t="inlineStr">
        <is>
          <t>PCG财务管理</t>
        </is>
      </c>
      <c r="CQ473" t="inlineStr">
        <is>
          <t>3,3</t>
        </is>
      </c>
      <c r="CR473" t="n">
        <v>10</v>
      </c>
      <c r="CS473" t="inlineStr">
        <is>
          <t>T1#</t>
        </is>
      </c>
      <c r="CT473" t="inlineStr">
        <is>
          <t>N</t>
        </is>
      </c>
    </row>
    <row r="474">
      <c r="A474" t="inlineStr">
        <is>
          <t>leonDing(丁彪斌)</t>
        </is>
      </c>
      <c r="C474" t="n">
        <v>21947586</v>
      </c>
      <c r="D474" t="inlineStr">
        <is>
          <t>CSIG财务管理</t>
        </is>
      </c>
      <c r="E474" t="inlineStr">
        <is>
          <t>产品财务管理中心</t>
        </is>
      </c>
      <c r="G474" t="inlineStr">
        <is>
          <t>S2职能系统－财经线/CSIG财务管理/产品财务管理中心</t>
        </is>
      </c>
      <c r="H474" s="188" t="n">
        <v>37654</v>
      </c>
      <c r="I474" t="inlineStr">
        <is>
          <t>社会招聘</t>
        </is>
      </c>
      <c r="J474" t="inlineStr">
        <is>
          <t>财经类－FN</t>
        </is>
      </c>
      <c r="K474" t="inlineStr">
        <is>
          <t>财务管理</t>
        </is>
      </c>
      <c r="M474" t="inlineStr">
        <is>
          <t>L3-3</t>
        </is>
      </c>
      <c r="N474" t="inlineStr">
        <is>
          <t>T2</t>
        </is>
      </c>
      <c r="Q474" t="inlineStr">
        <is>
          <t>G,G</t>
        </is>
      </c>
      <c r="U474" t="n">
        <v>65150.7</v>
      </c>
      <c r="V474" t="n">
        <v>0.083333</v>
      </c>
      <c r="W474" t="inlineStr">
        <is>
          <t>CNY</t>
        </is>
      </c>
      <c r="X474" t="n">
        <v>1</v>
      </c>
      <c r="Y474" t="n">
        <v>60098.19</v>
      </c>
      <c r="Z474" t="n">
        <v>0</v>
      </c>
      <c r="AA474" t="n">
        <v>130301.4</v>
      </c>
      <c r="AF474" t="n">
        <v>33835</v>
      </c>
      <c r="AG474" t="n">
        <v>223736.4</v>
      </c>
      <c r="AH474" t="n">
        <v>3.722847559968112</v>
      </c>
      <c r="AJ474" t="n">
        <v>4.285842884785715</v>
      </c>
      <c r="AK474" t="n">
        <v>4.285842884785715</v>
      </c>
      <c r="AQ474" t="n">
        <v>257571.4</v>
      </c>
      <c r="AR474" t="n">
        <v>4.285842884785715</v>
      </c>
      <c r="AS474" t="n">
        <v>0.9735104694232368</v>
      </c>
      <c r="BL474" t="n">
        <v>1</v>
      </c>
      <c r="BM474" t="n">
        <v>57350</v>
      </c>
      <c r="BN474" t="n">
        <v>0</v>
      </c>
      <c r="BO474" t="n">
        <v>60420</v>
      </c>
      <c r="BP474" t="inlineStr">
        <is>
          <t>G,O</t>
        </is>
      </c>
      <c r="BQ474" t="inlineStr">
        <is>
          <t>T2</t>
        </is>
      </c>
      <c r="BS474" t="n">
        <v>4.613426329555362</v>
      </c>
      <c r="BT474" t="n">
        <v>0</v>
      </c>
      <c r="BV474" t="n">
        <v>4.613426329555362</v>
      </c>
      <c r="BY474" t="n">
        <v>264580</v>
      </c>
      <c r="BZ474" t="n">
        <v>4.613426329555362</v>
      </c>
      <c r="CP474" t="inlineStr">
        <is>
          <t>CSIG财务管理</t>
        </is>
      </c>
      <c r="CQ474" t="inlineStr">
        <is>
          <t>3,3</t>
        </is>
      </c>
      <c r="CR474" t="inlineStr">
        <is>
          <t>L3-3</t>
        </is>
      </c>
      <c r="CS474" t="inlineStr">
        <is>
          <t>T2</t>
        </is>
      </c>
      <c r="CT474" t="inlineStr">
        <is>
          <t>N</t>
        </is>
      </c>
    </row>
    <row r="475">
      <c r="A475" t="inlineStr">
        <is>
          <t>noahWan(万锋霖)</t>
        </is>
      </c>
      <c r="C475" t="n">
        <v>47407796</v>
      </c>
      <c r="D475" t="inlineStr">
        <is>
          <t>TEG财务管理</t>
        </is>
      </c>
      <c r="E475" t="inlineStr">
        <is>
          <t>TEG财务管理</t>
        </is>
      </c>
      <c r="G475" t="inlineStr">
        <is>
          <t>S2职能系统－财经线/TEG财务管理</t>
        </is>
      </c>
      <c r="H475" s="188" t="n">
        <v>42136</v>
      </c>
      <c r="I475" t="inlineStr">
        <is>
          <t>社会招聘</t>
        </is>
      </c>
      <c r="J475" t="inlineStr">
        <is>
          <t>财经类－FN</t>
        </is>
      </c>
      <c r="K475" t="inlineStr">
        <is>
          <t>财务管理</t>
        </is>
      </c>
      <c r="L475" t="inlineStr">
        <is>
          <t>S5</t>
        </is>
      </c>
      <c r="N475" t="inlineStr">
        <is>
          <t>T1#</t>
        </is>
      </c>
      <c r="Q475" t="inlineStr">
        <is>
          <t>G,O</t>
        </is>
      </c>
      <c r="U475" t="n">
        <v>29752.85</v>
      </c>
      <c r="V475" t="n">
        <v>0.083333</v>
      </c>
      <c r="W475" t="inlineStr">
        <is>
          <t>CNY</t>
        </is>
      </c>
      <c r="X475" t="n">
        <v>1</v>
      </c>
      <c r="Y475" t="n">
        <v>28737.72</v>
      </c>
      <c r="Z475" t="n">
        <v>0</v>
      </c>
      <c r="AA475" t="n">
        <v>89258.55</v>
      </c>
      <c r="AF475" t="n">
        <v>0</v>
      </c>
      <c r="AG475" t="n">
        <v>222203.55</v>
      </c>
      <c r="AH475" t="n">
        <v>7.732121754961771</v>
      </c>
      <c r="AJ475" t="n">
        <v>7.732121754961771</v>
      </c>
      <c r="AK475" t="n">
        <v>6.585893035355623</v>
      </c>
      <c r="AQ475" t="n">
        <v>222203.55</v>
      </c>
      <c r="AR475" t="n">
        <v>7.732121754961771</v>
      </c>
      <c r="AS475" t="n">
        <v>1.937934327577185</v>
      </c>
      <c r="BL475" t="n">
        <v>1</v>
      </c>
      <c r="BM475" t="n">
        <v>26185</v>
      </c>
      <c r="BN475" t="n">
        <v>0</v>
      </c>
      <c r="BO475" t="n">
        <v>28610</v>
      </c>
      <c r="BP475" t="inlineStr">
        <is>
          <t>U,G</t>
        </is>
      </c>
      <c r="BQ475" t="inlineStr">
        <is>
          <t>T1#</t>
        </is>
      </c>
      <c r="BS475" t="n">
        <v>4.378842848959328</v>
      </c>
      <c r="BT475" t="n">
        <v>0</v>
      </c>
      <c r="BV475" t="n">
        <v>4.378842848959328</v>
      </c>
      <c r="BY475" t="n">
        <v>114660</v>
      </c>
      <c r="BZ475" t="n">
        <v>4.378842848959328</v>
      </c>
      <c r="CP475" t="inlineStr">
        <is>
          <t>TEG财务管理</t>
        </is>
      </c>
      <c r="CQ475" t="inlineStr">
        <is>
          <t>5,3</t>
        </is>
      </c>
      <c r="CR475" t="n">
        <v>5</v>
      </c>
      <c r="CS475" t="inlineStr">
        <is>
          <t>T1#</t>
        </is>
      </c>
      <c r="CT475" t="inlineStr">
        <is>
          <t>N</t>
        </is>
      </c>
    </row>
    <row r="476">
      <c r="A476" t="inlineStr">
        <is>
          <t>ryanMa(马刚)</t>
        </is>
      </c>
      <c r="C476" t="n">
        <v>96738220</v>
      </c>
      <c r="D476" t="inlineStr">
        <is>
          <t>风险管理和内部控制</t>
        </is>
      </c>
      <c r="E476" t="inlineStr">
        <is>
          <t>CSIG风控中心</t>
        </is>
      </c>
      <c r="G476" t="inlineStr">
        <is>
          <t>S2职能系统－财经线/风险管理和内部控制/CSIG风控中心</t>
        </is>
      </c>
      <c r="H476" s="188" t="n">
        <v>40989</v>
      </c>
      <c r="I476" t="inlineStr">
        <is>
          <t>社会招聘</t>
        </is>
      </c>
      <c r="J476" t="inlineStr">
        <is>
          <t>财经类－FN</t>
        </is>
      </c>
      <c r="K476" t="inlineStr">
        <is>
          <t>风险管理</t>
        </is>
      </c>
      <c r="L476" t="inlineStr">
        <is>
          <t>S7</t>
        </is>
      </c>
      <c r="N476" t="inlineStr">
        <is>
          <t>T1</t>
        </is>
      </c>
      <c r="Q476" t="inlineStr">
        <is>
          <t>G,O</t>
        </is>
      </c>
      <c r="U476" t="n">
        <v>43003.6</v>
      </c>
      <c r="V476" t="n">
        <v>0.083333</v>
      </c>
      <c r="W476" t="inlineStr">
        <is>
          <t>CNY</t>
        </is>
      </c>
      <c r="X476" t="n">
        <v>1</v>
      </c>
      <c r="Y476" t="n">
        <v>40079.23</v>
      </c>
      <c r="Z476" t="n">
        <v>0</v>
      </c>
      <c r="AA476" t="n">
        <v>129010.8</v>
      </c>
      <c r="AF476" t="n">
        <v>0</v>
      </c>
      <c r="AG476" t="n">
        <v>304070.8</v>
      </c>
      <c r="AH476" t="n">
        <v>7.586742559674923</v>
      </c>
      <c r="AJ476" t="n">
        <v>7.586742559674923</v>
      </c>
      <c r="AK476" t="n">
        <v>5.804772197469861</v>
      </c>
      <c r="AQ476" t="n">
        <v>304070.8</v>
      </c>
      <c r="AR476" t="n">
        <v>7.586742559674923</v>
      </c>
      <c r="AS476" t="n">
        <v>1.655617989763694</v>
      </c>
      <c r="BL476" t="n">
        <v>1</v>
      </c>
      <c r="BM476" t="n">
        <v>34825</v>
      </c>
      <c r="BN476" t="n">
        <v>0</v>
      </c>
      <c r="BO476" t="n">
        <v>36245</v>
      </c>
      <c r="BP476" t="inlineStr">
        <is>
          <t>G,G</t>
        </is>
      </c>
      <c r="BQ476" t="inlineStr">
        <is>
          <t>T1</t>
        </is>
      </c>
      <c r="BS476" t="n">
        <v>3.209763101220388</v>
      </c>
      <c r="BT476" t="n">
        <v>71880</v>
      </c>
      <c r="BV476" t="n">
        <v>5.273797559224695</v>
      </c>
      <c r="BY476" t="n">
        <v>183660</v>
      </c>
      <c r="BZ476" t="n">
        <v>5.273797559224695</v>
      </c>
      <c r="CP476" t="inlineStr">
        <is>
          <t>风险管理和内部控制</t>
        </is>
      </c>
      <c r="CQ476" t="inlineStr">
        <is>
          <t>5,3</t>
        </is>
      </c>
      <c r="CR476" t="n">
        <v>7</v>
      </c>
      <c r="CS476" t="inlineStr">
        <is>
          <t>T1</t>
        </is>
      </c>
      <c r="CT476" t="inlineStr">
        <is>
          <t>N</t>
        </is>
      </c>
    </row>
    <row r="477">
      <c r="A477" t="inlineStr">
        <is>
          <t>chloeLiao(廖姗)</t>
        </is>
      </c>
      <c r="C477" t="n">
        <v>27541803</v>
      </c>
      <c r="D477" t="inlineStr">
        <is>
          <t>WXG财务管理</t>
        </is>
      </c>
      <c r="E477" t="inlineStr">
        <is>
          <t>微信支付财务管理中心</t>
        </is>
      </c>
      <c r="G477" t="inlineStr">
        <is>
          <t>S2职能系统－财经线/WXG财务管理/微信支付财务管理中心</t>
        </is>
      </c>
      <c r="H477" s="188" t="n">
        <v>41846</v>
      </c>
      <c r="I477" t="inlineStr">
        <is>
          <t>社会招聘</t>
        </is>
      </c>
      <c r="J477" t="inlineStr">
        <is>
          <t>财经类－FN</t>
        </is>
      </c>
      <c r="K477" t="inlineStr">
        <is>
          <t>财务管理</t>
        </is>
      </c>
      <c r="L477" t="inlineStr">
        <is>
          <t>S8</t>
        </is>
      </c>
      <c r="N477" t="inlineStr">
        <is>
          <t>T2</t>
        </is>
      </c>
      <c r="Q477" t="inlineStr">
        <is>
          <t>G,G</t>
        </is>
      </c>
      <c r="U477" t="n">
        <v>51132.1</v>
      </c>
      <c r="V477" t="n">
        <v>0.083333</v>
      </c>
      <c r="W477" t="inlineStr">
        <is>
          <t>CNY</t>
        </is>
      </c>
      <c r="X477" t="n">
        <v>1</v>
      </c>
      <c r="Y477" t="n">
        <v>49896.63</v>
      </c>
      <c r="Z477" t="n">
        <v>0</v>
      </c>
      <c r="AA477" t="n">
        <v>102264.2</v>
      </c>
      <c r="AF477" t="n">
        <v>0</v>
      </c>
      <c r="AG477" t="n">
        <v>170959.2</v>
      </c>
      <c r="AH477" t="n">
        <v>3.426267465357881</v>
      </c>
      <c r="AJ477" t="n">
        <v>3.426267465357881</v>
      </c>
      <c r="AK477" t="n">
        <v>3.426267465357881</v>
      </c>
      <c r="AQ477" t="n">
        <v>170959.2</v>
      </c>
      <c r="AR477" t="n">
        <v>3.426267465357881</v>
      </c>
      <c r="AS477" t="n">
        <v>1.149498739283913</v>
      </c>
      <c r="BL477" t="n">
        <v>1</v>
      </c>
      <c r="BM477" t="n">
        <v>43920</v>
      </c>
      <c r="BN477" t="n">
        <v>0</v>
      </c>
      <c r="BO477" t="n">
        <v>47860</v>
      </c>
      <c r="BP477" t="inlineStr">
        <is>
          <t>G,G</t>
        </is>
      </c>
      <c r="BQ477" t="inlineStr">
        <is>
          <t>T2</t>
        </is>
      </c>
      <c r="BS477" t="n">
        <v>3.386270491803279</v>
      </c>
      <c r="BT477" t="n">
        <v>0</v>
      </c>
      <c r="BV477" t="n">
        <v>3.386270491803279</v>
      </c>
      <c r="BY477" t="n">
        <v>148725</v>
      </c>
      <c r="BZ477" t="n">
        <v>3.386270491803279</v>
      </c>
      <c r="CP477" t="inlineStr">
        <is>
          <t>WXG财务管理</t>
        </is>
      </c>
      <c r="CQ477" t="inlineStr">
        <is>
          <t>3,3</t>
        </is>
      </c>
      <c r="CR477" t="n">
        <v>8</v>
      </c>
      <c r="CS477" t="inlineStr">
        <is>
          <t>T2</t>
        </is>
      </c>
      <c r="CT477" t="inlineStr">
        <is>
          <t>N</t>
        </is>
      </c>
    </row>
    <row r="478">
      <c r="A478" t="inlineStr">
        <is>
          <t>gabrielDuan(段松)</t>
        </is>
      </c>
      <c r="C478" t="n">
        <v>95552439</v>
      </c>
      <c r="D478" t="inlineStr">
        <is>
          <t>应收账款管理中心</t>
        </is>
      </c>
      <c r="E478" t="inlineStr">
        <is>
          <t>应收管理2组</t>
        </is>
      </c>
      <c r="G478" t="inlineStr">
        <is>
          <t>S2职能系统－财经线/应收账款管理中心/应收管理2组</t>
        </is>
      </c>
      <c r="H478" s="188" t="n">
        <v>41560</v>
      </c>
      <c r="I478" t="inlineStr">
        <is>
          <t>高校招聘</t>
        </is>
      </c>
      <c r="J478" t="inlineStr">
        <is>
          <t>财经类－FN</t>
        </is>
      </c>
      <c r="K478" t="inlineStr">
        <is>
          <t>会计</t>
        </is>
      </c>
      <c r="L478" t="inlineStr">
        <is>
          <t>S9</t>
        </is>
      </c>
      <c r="N478" t="inlineStr">
        <is>
          <t>T1</t>
        </is>
      </c>
      <c r="Q478" t="inlineStr">
        <is>
          <t>O,O</t>
        </is>
      </c>
      <c r="U478" t="n">
        <v>37642.85</v>
      </c>
      <c r="V478" t="n">
        <v>0.083333</v>
      </c>
      <c r="W478" t="inlineStr">
        <is>
          <t>CNY</t>
        </is>
      </c>
      <c r="X478" t="n">
        <v>1</v>
      </c>
      <c r="Y478" t="n">
        <v>33988.76</v>
      </c>
      <c r="Z478" t="n">
        <v>0</v>
      </c>
      <c r="AA478" t="n">
        <v>150571.4</v>
      </c>
      <c r="AF478" t="n">
        <v>0</v>
      </c>
      <c r="AG478" t="n">
        <v>294956.4</v>
      </c>
      <c r="AH478" t="n">
        <v>8.678057098876216</v>
      </c>
      <c r="AJ478" t="n">
        <v>8.678057098876216</v>
      </c>
      <c r="AK478" t="n">
        <v>6.817147786503537</v>
      </c>
      <c r="AQ478" t="n">
        <v>294956.4</v>
      </c>
      <c r="AR478" t="n">
        <v>8.678057098876216</v>
      </c>
      <c r="AS478" t="n">
        <v>2.71611400156545</v>
      </c>
      <c r="BL478" t="n">
        <v>1</v>
      </c>
      <c r="BM478" t="n">
        <v>33075</v>
      </c>
      <c r="BN478" t="n">
        <v>0</v>
      </c>
      <c r="BO478" t="n">
        <v>35915</v>
      </c>
      <c r="BP478" t="inlineStr">
        <is>
          <t>G,G</t>
        </is>
      </c>
      <c r="BQ478" t="inlineStr">
        <is>
          <t>T2</t>
        </is>
      </c>
      <c r="BS478" t="n">
        <v>3.283295540438397</v>
      </c>
      <c r="BT478" t="n">
        <v>0</v>
      </c>
      <c r="BV478" t="n">
        <v>3.283295540438397</v>
      </c>
      <c r="BY478" t="n">
        <v>108595</v>
      </c>
      <c r="BZ478" t="n">
        <v>3.283295540438397</v>
      </c>
      <c r="CP478" t="inlineStr">
        <is>
          <t>应收账款管理中心</t>
        </is>
      </c>
      <c r="CQ478" t="inlineStr">
        <is>
          <t>5,5</t>
        </is>
      </c>
      <c r="CR478" t="n">
        <v>9</v>
      </c>
      <c r="CS478" t="inlineStr">
        <is>
          <t>T1</t>
        </is>
      </c>
      <c r="CT478" t="inlineStr">
        <is>
          <t>N</t>
        </is>
      </c>
    </row>
    <row r="479">
      <c r="A479" t="inlineStr">
        <is>
          <t>loganChang(常力)</t>
        </is>
      </c>
      <c r="C479" t="n">
        <v>14524056</v>
      </c>
      <c r="D479" t="inlineStr">
        <is>
          <t>反舞弊调查部</t>
        </is>
      </c>
      <c r="E479" t="inlineStr">
        <is>
          <t>反舞弊调查部</t>
        </is>
      </c>
      <c r="G479" t="inlineStr">
        <is>
          <t>S2职能系统－财经线/反舞弊调查部</t>
        </is>
      </c>
      <c r="H479" s="188" t="n">
        <v>45540</v>
      </c>
      <c r="I479" t="inlineStr">
        <is>
          <t>高校招聘</t>
        </is>
      </c>
      <c r="J479" t="inlineStr">
        <is>
          <t>财经类－FN</t>
        </is>
      </c>
      <c r="K479" t="inlineStr">
        <is>
          <t>风险管理</t>
        </is>
      </c>
      <c r="L479" t="inlineStr">
        <is>
          <t>S7</t>
        </is>
      </c>
      <c r="N479" t="inlineStr">
        <is>
          <t>T2</t>
        </is>
      </c>
      <c r="Q479" t="inlineStr">
        <is>
          <t>N,O</t>
        </is>
      </c>
      <c r="U479" t="n">
        <v>43752.8</v>
      </c>
      <c r="V479" t="n">
        <v>0.083333</v>
      </c>
      <c r="W479" t="inlineStr">
        <is>
          <t>CNY</t>
        </is>
      </c>
      <c r="X479" t="n">
        <v>0.320548</v>
      </c>
      <c r="Y479" t="n">
        <v>43752.8</v>
      </c>
      <c r="Z479" t="n">
        <v>0</v>
      </c>
      <c r="AA479" t="n">
        <v>14024.87</v>
      </c>
      <c r="AF479" t="n">
        <v>0</v>
      </c>
      <c r="AG479" t="n">
        <v>14024.87</v>
      </c>
      <c r="AH479" t="n">
        <v>0.3205479420745644</v>
      </c>
      <c r="AJ479" t="n">
        <v>0.3205479420745644</v>
      </c>
      <c r="AK479" t="n">
        <v>0.3205479420745644</v>
      </c>
      <c r="AQ479" t="n">
        <v>14024.87</v>
      </c>
      <c r="AR479" t="n">
        <v>0.3205479420745644</v>
      </c>
      <c r="BM479" t="n">
        <v>0</v>
      </c>
      <c r="BN479" t="n">
        <v>0</v>
      </c>
      <c r="BO479" t="n">
        <v>0</v>
      </c>
      <c r="BT479" t="n">
        <v>0</v>
      </c>
      <c r="BY479" t="n">
        <v>0</v>
      </c>
      <c r="CP479" t="inlineStr">
        <is>
          <t>反舞弊调查部</t>
        </is>
      </c>
      <c r="CQ479" t="n">
        <v>5</v>
      </c>
      <c r="CR479" t="n">
        <v>7</v>
      </c>
      <c r="CS479" t="inlineStr">
        <is>
          <t>T2</t>
        </is>
      </c>
      <c r="CT479" t="inlineStr">
        <is>
          <t>N</t>
        </is>
      </c>
    </row>
    <row r="480">
      <c r="A480" t="inlineStr">
        <is>
          <t>dianaGuo(郭瑶)</t>
        </is>
      </c>
      <c r="C480" t="n">
        <v>43200908</v>
      </c>
      <c r="D480" t="inlineStr">
        <is>
          <t>财会及报告管理部</t>
        </is>
      </c>
      <c r="E480" t="inlineStr">
        <is>
          <t>供应商支付管理中心</t>
        </is>
      </c>
      <c r="G480" t="inlineStr">
        <is>
          <t>S2职能系统－财经线/财会及报告管理部/供应商支付管理中心</t>
        </is>
      </c>
      <c r="H480" s="188" t="n">
        <v>40034</v>
      </c>
      <c r="I480" t="inlineStr">
        <is>
          <t>高校招聘</t>
        </is>
      </c>
      <c r="J480" t="inlineStr">
        <is>
          <t>财经类－FN</t>
        </is>
      </c>
      <c r="K480" t="inlineStr">
        <is>
          <t>会计</t>
        </is>
      </c>
      <c r="L480" t="inlineStr">
        <is>
          <t>S8</t>
        </is>
      </c>
      <c r="N480" t="inlineStr">
        <is>
          <t>T1</t>
        </is>
      </c>
      <c r="Q480" t="inlineStr">
        <is>
          <t>G,G</t>
        </is>
      </c>
      <c r="U480" t="n">
        <v>48637.05</v>
      </c>
      <c r="V480" t="n">
        <v>0.083333</v>
      </c>
      <c r="W480" t="inlineStr">
        <is>
          <t>CNY</t>
        </is>
      </c>
      <c r="X480" t="n">
        <v>1</v>
      </c>
      <c r="Y480" t="n">
        <v>45295.58</v>
      </c>
      <c r="Z480" t="n">
        <v>0</v>
      </c>
      <c r="AA480" t="n">
        <v>97274.10000000001</v>
      </c>
      <c r="AF480" t="n">
        <v>0</v>
      </c>
      <c r="AG480" t="n">
        <v>254789.1</v>
      </c>
      <c r="AH480" t="n">
        <v>5.6250322879186</v>
      </c>
      <c r="AJ480" t="n">
        <v>5.6250322879186</v>
      </c>
      <c r="AK480" t="n">
        <v>4.497769981088663</v>
      </c>
      <c r="AQ480" t="n">
        <v>254789.1</v>
      </c>
      <c r="AR480" t="n">
        <v>5.6250322879186</v>
      </c>
      <c r="AS480" t="n">
        <v>0.9020041066307927</v>
      </c>
      <c r="BL480" t="n">
        <v>1</v>
      </c>
      <c r="BM480" t="n">
        <v>43360</v>
      </c>
      <c r="BN480" t="n">
        <v>0</v>
      </c>
      <c r="BO480" t="n">
        <v>47265</v>
      </c>
      <c r="BP480" t="inlineStr">
        <is>
          <t>O,G</t>
        </is>
      </c>
      <c r="BQ480" t="inlineStr">
        <is>
          <t>T1</t>
        </is>
      </c>
      <c r="BS480" t="n">
        <v>4.640682656826568</v>
      </c>
      <c r="BT480" t="n">
        <v>81250</v>
      </c>
      <c r="BV480" t="n">
        <v>6.514529520295203</v>
      </c>
      <c r="BY480" t="n">
        <v>282470</v>
      </c>
      <c r="BZ480" t="n">
        <v>6.514529520295203</v>
      </c>
      <c r="CP480" t="inlineStr">
        <is>
          <t>财会及报告管理部</t>
        </is>
      </c>
      <c r="CQ480" t="inlineStr">
        <is>
          <t>3,3</t>
        </is>
      </c>
      <c r="CR480" t="n">
        <v>8</v>
      </c>
      <c r="CS480" t="inlineStr">
        <is>
          <t>T1</t>
        </is>
      </c>
      <c r="CT480" t="inlineStr">
        <is>
          <t>N</t>
        </is>
      </c>
    </row>
    <row r="481">
      <c r="A481" t="inlineStr">
        <is>
          <t>jerryXia(夏旭刚)</t>
        </is>
      </c>
      <c r="C481" t="n">
        <v>72811169</v>
      </c>
      <c r="D481" t="inlineStr">
        <is>
          <t>财会及报告管理部</t>
        </is>
      </c>
      <c r="E481" t="inlineStr">
        <is>
          <t>应收管理中心</t>
        </is>
      </c>
      <c r="G481" t="inlineStr">
        <is>
          <t>S2职能系统－财经线/财会及报告管理部/应收管理中心</t>
        </is>
      </c>
      <c r="H481" s="188" t="n">
        <v>43240</v>
      </c>
      <c r="I481" t="inlineStr">
        <is>
          <t>社会招聘</t>
        </is>
      </c>
      <c r="J481" t="inlineStr">
        <is>
          <t>财经类－FN</t>
        </is>
      </c>
      <c r="K481" t="inlineStr">
        <is>
          <t>会计</t>
        </is>
      </c>
      <c r="L481" t="inlineStr">
        <is>
          <t>S10</t>
        </is>
      </c>
      <c r="N481" t="inlineStr">
        <is>
          <t>T1</t>
        </is>
      </c>
      <c r="Q481" t="inlineStr">
        <is>
          <t>G,O</t>
        </is>
      </c>
      <c r="U481" t="n">
        <v>64768</v>
      </c>
      <c r="V481" t="n">
        <v>0.083333</v>
      </c>
      <c r="W481" t="inlineStr">
        <is>
          <t>CNY</t>
        </is>
      </c>
      <c r="X481" t="n">
        <v>1</v>
      </c>
      <c r="Y481" t="n">
        <v>60328.67</v>
      </c>
      <c r="Z481" t="n">
        <v>0</v>
      </c>
      <c r="AA481" t="n">
        <v>194304</v>
      </c>
      <c r="AF481" t="n">
        <v>0</v>
      </c>
      <c r="AG481" t="n">
        <v>442159</v>
      </c>
      <c r="AH481" t="n">
        <v>7.329168702044981</v>
      </c>
      <c r="AJ481" t="n">
        <v>7.329168702044981</v>
      </c>
      <c r="AK481" t="n">
        <v>5.547345897066851</v>
      </c>
      <c r="AQ481" t="n">
        <v>442159</v>
      </c>
      <c r="AR481" t="n">
        <v>7.329168702044981</v>
      </c>
      <c r="AS481" t="n">
        <v>3.439587709062621</v>
      </c>
      <c r="BL481" t="n">
        <v>1</v>
      </c>
      <c r="BM481" t="n">
        <v>52915</v>
      </c>
      <c r="BN481" t="n">
        <v>0</v>
      </c>
      <c r="BO481" t="n">
        <v>54960</v>
      </c>
      <c r="BP481" t="inlineStr">
        <is>
          <t>U,G</t>
        </is>
      </c>
      <c r="BQ481" t="inlineStr">
        <is>
          <t>T1</t>
        </is>
      </c>
      <c r="BS481" t="n">
        <v>2.429367854105641</v>
      </c>
      <c r="BT481" t="n">
        <v>0</v>
      </c>
      <c r="BV481" t="n">
        <v>2.429367854105641</v>
      </c>
      <c r="BY481" t="n">
        <v>128550</v>
      </c>
      <c r="BZ481" t="n">
        <v>2.429367854105641</v>
      </c>
      <c r="CP481" t="inlineStr">
        <is>
          <t>财会及报告管理部</t>
        </is>
      </c>
      <c r="CQ481" t="inlineStr">
        <is>
          <t>5,3</t>
        </is>
      </c>
      <c r="CR481" t="n">
        <v>10</v>
      </c>
      <c r="CS481" t="inlineStr">
        <is>
          <t>T1</t>
        </is>
      </c>
      <c r="CT481" t="inlineStr">
        <is>
          <t>N</t>
        </is>
      </c>
    </row>
    <row r="482">
      <c r="A482" t="inlineStr">
        <is>
          <t>jacobPan(潘涛雄)</t>
        </is>
      </c>
      <c r="C482" t="n">
        <v>56002809</v>
      </c>
      <c r="D482" t="inlineStr">
        <is>
          <t>CFO办公室</t>
        </is>
      </c>
      <c r="E482" t="inlineStr">
        <is>
          <t>管理决策委员会</t>
        </is>
      </c>
      <c r="G482" t="inlineStr">
        <is>
          <t>S2职能系统－财经线/CFO办公室/管理决策委员会</t>
        </is>
      </c>
      <c r="H482" s="188" t="n">
        <v>39848</v>
      </c>
      <c r="I482" t="inlineStr">
        <is>
          <t>高校招聘</t>
        </is>
      </c>
      <c r="J482" t="inlineStr">
        <is>
          <t>财经类－FN</t>
        </is>
      </c>
      <c r="K482" t="inlineStr">
        <is>
          <t>投资者关系</t>
        </is>
      </c>
      <c r="L482" t="inlineStr">
        <is>
          <t>S5</t>
        </is>
      </c>
      <c r="N482" t="inlineStr">
        <is>
          <t>Others</t>
        </is>
      </c>
      <c r="Q482" t="inlineStr">
        <is>
          <t>O,G</t>
        </is>
      </c>
      <c r="U482" t="n">
        <v>17971.25</v>
      </c>
      <c r="V482" t="n">
        <v>0.083333</v>
      </c>
      <c r="W482" t="inlineStr">
        <is>
          <t>CNY</t>
        </is>
      </c>
      <c r="X482" t="n">
        <v>1</v>
      </c>
      <c r="Y482" t="n">
        <v>16219.03</v>
      </c>
      <c r="Z482" t="n">
        <v>0</v>
      </c>
      <c r="AA482" t="n">
        <v>53913.75</v>
      </c>
      <c r="AF482" t="n">
        <v>0</v>
      </c>
      <c r="AG482" t="n">
        <v>70973.75</v>
      </c>
      <c r="AH482" t="n">
        <v>4.375955282159291</v>
      </c>
      <c r="AJ482" t="n">
        <v>4.375955282159291</v>
      </c>
      <c r="AK482" t="n">
        <v>4.375955282159291</v>
      </c>
      <c r="AQ482" t="n">
        <v>70973.75</v>
      </c>
      <c r="AR482" t="n">
        <v>4.375955282159291</v>
      </c>
      <c r="AS482" t="n">
        <v>1.406953117256418</v>
      </c>
      <c r="BL482" t="n">
        <v>1</v>
      </c>
      <c r="BM482" t="n">
        <v>15735</v>
      </c>
      <c r="BN482" t="n">
        <v>0</v>
      </c>
      <c r="BO482" t="n">
        <v>16270</v>
      </c>
      <c r="BP482" t="inlineStr">
        <is>
          <t>O,U</t>
        </is>
      </c>
      <c r="BQ482" t="inlineStr">
        <is>
          <t>Others</t>
        </is>
      </c>
      <c r="BS482" t="n">
        <v>3.205910390848427</v>
      </c>
      <c r="BT482" t="n">
        <v>0</v>
      </c>
      <c r="BV482" t="n">
        <v>3.205910390848427</v>
      </c>
      <c r="BY482" t="n">
        <v>50445</v>
      </c>
      <c r="BZ482" t="n">
        <v>3.205910390848427</v>
      </c>
      <c r="CP482" t="inlineStr">
        <is>
          <t>CFO办公室</t>
        </is>
      </c>
      <c r="CQ482" t="inlineStr">
        <is>
          <t>5,3</t>
        </is>
      </c>
      <c r="CR482" t="n">
        <v>5</v>
      </c>
      <c r="CS482" t="inlineStr">
        <is>
          <t>Others</t>
        </is>
      </c>
      <c r="CT482" t="inlineStr">
        <is>
          <t>N</t>
        </is>
      </c>
    </row>
    <row r="483">
      <c r="A483" t="inlineStr">
        <is>
          <t>frankCheng(程德)</t>
        </is>
      </c>
      <c r="C483" t="n">
        <v>19389320</v>
      </c>
      <c r="D483" t="inlineStr">
        <is>
          <t>IEG财务管理</t>
        </is>
      </c>
      <c r="E483" t="inlineStr">
        <is>
          <t>IEG Global Finance</t>
        </is>
      </c>
      <c r="G483" t="inlineStr">
        <is>
          <t>S2职能系统－财经线/IEG财务管理/IEG Global Finance</t>
        </is>
      </c>
      <c r="H483" s="188" t="n">
        <v>37407</v>
      </c>
      <c r="I483" t="inlineStr">
        <is>
          <t>高校招聘</t>
        </is>
      </c>
      <c r="J483" t="inlineStr">
        <is>
          <t>财经类－FN</t>
        </is>
      </c>
      <c r="K483" t="inlineStr">
        <is>
          <t>财务管理</t>
        </is>
      </c>
      <c r="L483" t="inlineStr">
        <is>
          <t>S5</t>
        </is>
      </c>
      <c r="N483" t="inlineStr">
        <is>
          <t>T2</t>
        </is>
      </c>
      <c r="Q483" t="inlineStr">
        <is>
          <t>G,G</t>
        </is>
      </c>
      <c r="U483" t="n">
        <v>31662.55</v>
      </c>
      <c r="V483" t="n">
        <v>0.083333</v>
      </c>
      <c r="W483" t="inlineStr">
        <is>
          <t>CNY</t>
        </is>
      </c>
      <c r="X483" t="n">
        <v>1</v>
      </c>
      <c r="Y483" t="n">
        <v>29263.39</v>
      </c>
      <c r="Z483" t="n">
        <v>0</v>
      </c>
      <c r="AA483" t="n">
        <v>63325.1</v>
      </c>
      <c r="AF483" t="n">
        <v>0</v>
      </c>
      <c r="AG483" t="n">
        <v>103515.1</v>
      </c>
      <c r="AH483" t="n">
        <v>3.537358453685647</v>
      </c>
      <c r="AJ483" t="n">
        <v>3.537358453685647</v>
      </c>
      <c r="AK483" t="n">
        <v>3.537358453685647</v>
      </c>
      <c r="AQ483" t="n">
        <v>103515.1</v>
      </c>
      <c r="AR483" t="n">
        <v>3.537358453685647</v>
      </c>
      <c r="AS483" t="n">
        <v>0.8756511441018484</v>
      </c>
      <c r="BL483" t="n">
        <v>1</v>
      </c>
      <c r="BM483" t="n">
        <v>26820</v>
      </c>
      <c r="BN483" t="n">
        <v>0</v>
      </c>
      <c r="BO483" t="n">
        <v>27525</v>
      </c>
      <c r="BP483" t="inlineStr">
        <is>
          <t>O,G</t>
        </is>
      </c>
      <c r="BQ483" t="inlineStr">
        <is>
          <t>T2</t>
        </is>
      </c>
      <c r="BS483" t="n">
        <v>4.407718120805369</v>
      </c>
      <c r="BT483" t="n">
        <v>0</v>
      </c>
      <c r="BV483" t="n">
        <v>4.407718120805369</v>
      </c>
      <c r="BY483" t="n">
        <v>118215</v>
      </c>
      <c r="BZ483" t="n">
        <v>4.407718120805369</v>
      </c>
      <c r="CP483" t="inlineStr">
        <is>
          <t>IEG财务管理</t>
        </is>
      </c>
      <c r="CQ483" t="inlineStr">
        <is>
          <t>3,3</t>
        </is>
      </c>
      <c r="CR483" t="n">
        <v>5</v>
      </c>
      <c r="CS483" t="inlineStr">
        <is>
          <t>T2</t>
        </is>
      </c>
      <c r="CT483" t="inlineStr">
        <is>
          <t>N</t>
        </is>
      </c>
    </row>
    <row r="484">
      <c r="A484" t="inlineStr">
        <is>
          <t>jackNiu(牛国)</t>
        </is>
      </c>
      <c r="C484" t="n">
        <v>15151923</v>
      </c>
      <c r="D484" t="inlineStr">
        <is>
          <t>CDG财务管理</t>
        </is>
      </c>
      <c r="E484" t="inlineStr">
        <is>
          <t>综合财务管理中心</t>
        </is>
      </c>
      <c r="G484" t="inlineStr">
        <is>
          <t>S2职能系统－财经线/CDG财务管理/综合财务管理中心</t>
        </is>
      </c>
      <c r="H484" s="188" t="n">
        <v>42755</v>
      </c>
      <c r="I484" t="inlineStr">
        <is>
          <t>高校招聘</t>
        </is>
      </c>
      <c r="J484" t="inlineStr">
        <is>
          <t>财经类－FN</t>
        </is>
      </c>
      <c r="K484" t="inlineStr">
        <is>
          <t>财务管理</t>
        </is>
      </c>
      <c r="L484" t="inlineStr">
        <is>
          <t>S6</t>
        </is>
      </c>
      <c r="N484" t="inlineStr">
        <is>
          <t>Others</t>
        </is>
      </c>
      <c r="Q484" t="inlineStr">
        <is>
          <t>G,U</t>
        </is>
      </c>
      <c r="U484" t="n">
        <v>37664.9</v>
      </c>
      <c r="V484" t="n">
        <v>0.083333</v>
      </c>
      <c r="W484" t="inlineStr">
        <is>
          <t>CNY</t>
        </is>
      </c>
      <c r="X484" t="n">
        <v>1</v>
      </c>
      <c r="Y484" t="n">
        <v>36596.98</v>
      </c>
      <c r="Z484" t="n">
        <v>0</v>
      </c>
      <c r="AA484" t="n">
        <v>37664.9</v>
      </c>
      <c r="AF484" t="n">
        <v>0</v>
      </c>
      <c r="AG484" t="n">
        <v>68604.89999999999</v>
      </c>
      <c r="AH484" t="n">
        <v>1.874605500235265</v>
      </c>
      <c r="AJ484" t="n">
        <v>1.874605500235265</v>
      </c>
      <c r="AK484" t="n">
        <v>1.874605500235265</v>
      </c>
      <c r="AQ484" t="n">
        <v>68604.89999999999</v>
      </c>
      <c r="AR484" t="n">
        <v>1.874605500235265</v>
      </c>
      <c r="AS484" t="n">
        <v>0.4454574378287124</v>
      </c>
      <c r="BL484" t="n">
        <v>1</v>
      </c>
      <c r="BM484" t="n">
        <v>33740</v>
      </c>
      <c r="BN484" t="n">
        <v>0</v>
      </c>
      <c r="BO484" t="n">
        <v>34390</v>
      </c>
      <c r="BP484" t="inlineStr">
        <is>
          <t>O,G</t>
        </is>
      </c>
      <c r="BQ484" t="inlineStr">
        <is>
          <t>Others</t>
        </is>
      </c>
      <c r="BS484" t="n">
        <v>4.564611736810907</v>
      </c>
      <c r="BT484" t="n">
        <v>0</v>
      </c>
      <c r="BV484" t="n">
        <v>4.564611736810907</v>
      </c>
      <c r="BY484" t="n">
        <v>154010</v>
      </c>
      <c r="BZ484" t="n">
        <v>4.564611736810907</v>
      </c>
      <c r="CP484" t="inlineStr">
        <is>
          <t>CDG财务管理</t>
        </is>
      </c>
      <c r="CQ484" t="inlineStr">
        <is>
          <t>3,1</t>
        </is>
      </c>
      <c r="CR484" t="n">
        <v>6</v>
      </c>
      <c r="CS484" t="inlineStr">
        <is>
          <t>Others</t>
        </is>
      </c>
      <c r="CT484" t="inlineStr">
        <is>
          <t>N</t>
        </is>
      </c>
    </row>
    <row r="485">
      <c r="A485" t="inlineStr">
        <is>
          <t>claireYe(叶馨莉)</t>
        </is>
      </c>
      <c r="C485" t="n">
        <v>28868603</v>
      </c>
      <c r="D485" t="inlineStr">
        <is>
          <t>风险管理和内部控制</t>
        </is>
      </c>
      <c r="E485" t="inlineStr">
        <is>
          <t>WXG风控中心</t>
        </is>
      </c>
      <c r="G485" t="inlineStr">
        <is>
          <t>S2职能系统－财经线/风险管理和内部控制/WXG风控中心</t>
        </is>
      </c>
      <c r="H485" s="188" t="n">
        <v>37339</v>
      </c>
      <c r="I485" t="inlineStr">
        <is>
          <t>高校招聘</t>
        </is>
      </c>
      <c r="J485" t="inlineStr">
        <is>
          <t>财经类－FN</t>
        </is>
      </c>
      <c r="K485" t="inlineStr">
        <is>
          <t>风险管理</t>
        </is>
      </c>
      <c r="L485" t="inlineStr">
        <is>
          <t>S7</t>
        </is>
      </c>
      <c r="N485" t="inlineStr">
        <is>
          <t>Others</t>
        </is>
      </c>
      <c r="Q485" t="inlineStr">
        <is>
          <t>G,G</t>
        </is>
      </c>
      <c r="U485" t="n">
        <v>37182.5</v>
      </c>
      <c r="V485" t="n">
        <v>0.083333</v>
      </c>
      <c r="W485" t="inlineStr">
        <is>
          <t>CNY</t>
        </is>
      </c>
      <c r="X485" t="n">
        <v>1</v>
      </c>
      <c r="Y485" t="n">
        <v>36110.01</v>
      </c>
      <c r="Z485" t="n">
        <v>0</v>
      </c>
      <c r="AA485" t="n">
        <v>74365</v>
      </c>
      <c r="AF485" t="n">
        <v>0</v>
      </c>
      <c r="AG485" t="n">
        <v>99325</v>
      </c>
      <c r="AH485" t="n">
        <v>2.750622334361026</v>
      </c>
      <c r="AJ485" t="n">
        <v>2.750622334361026</v>
      </c>
      <c r="AK485" t="n">
        <v>2.750622334361026</v>
      </c>
      <c r="AQ485" t="n">
        <v>99325</v>
      </c>
      <c r="AR485" t="n">
        <v>2.750622334361026</v>
      </c>
      <c r="AS485" t="n">
        <v>0.8515517832647462</v>
      </c>
      <c r="BL485" t="n">
        <v>1</v>
      </c>
      <c r="BM485" t="n">
        <v>33440</v>
      </c>
      <c r="BN485" t="n">
        <v>0</v>
      </c>
      <c r="BO485" t="n">
        <v>36220</v>
      </c>
      <c r="BP485" t="inlineStr">
        <is>
          <t>G,G</t>
        </is>
      </c>
      <c r="BQ485" t="inlineStr">
        <is>
          <t>T2</t>
        </is>
      </c>
      <c r="BS485" t="n">
        <v>3.488038277511962</v>
      </c>
      <c r="BT485" t="n">
        <v>0</v>
      </c>
      <c r="BV485" t="n">
        <v>3.488038277511962</v>
      </c>
      <c r="BY485" t="n">
        <v>116640</v>
      </c>
      <c r="BZ485" t="n">
        <v>3.488038277511962</v>
      </c>
      <c r="CP485" t="inlineStr">
        <is>
          <t>风险管理和内部控制</t>
        </is>
      </c>
      <c r="CQ485" t="inlineStr">
        <is>
          <t>3,3</t>
        </is>
      </c>
      <c r="CR485" t="n">
        <v>7</v>
      </c>
      <c r="CS485" t="inlineStr">
        <is>
          <t>Others</t>
        </is>
      </c>
      <c r="CT485" t="inlineStr">
        <is>
          <t>N</t>
        </is>
      </c>
    </row>
    <row r="486">
      <c r="A486" t="inlineStr">
        <is>
          <t>joseWu(吴涛)</t>
        </is>
      </c>
      <c r="C486" t="n">
        <v>98308998</v>
      </c>
      <c r="D486" t="inlineStr">
        <is>
          <t>CSIG财务管理</t>
        </is>
      </c>
      <c r="E486" t="inlineStr">
        <is>
          <t>行业财务管理1中心</t>
        </is>
      </c>
      <c r="G486" t="inlineStr">
        <is>
          <t>S2职能系统－财经线/CSIG财务管理/行业财务管理1中心</t>
        </is>
      </c>
      <c r="H486" s="188" t="n">
        <v>42632</v>
      </c>
      <c r="I486" t="inlineStr">
        <is>
          <t>社会招聘</t>
        </is>
      </c>
      <c r="J486" t="inlineStr">
        <is>
          <t>财经类－FN</t>
        </is>
      </c>
      <c r="K486" t="inlineStr">
        <is>
          <t>财务管理</t>
        </is>
      </c>
      <c r="L486" t="inlineStr">
        <is>
          <t>S10</t>
        </is>
      </c>
      <c r="N486" t="inlineStr">
        <is>
          <t>T1</t>
        </is>
      </c>
      <c r="Q486" t="inlineStr">
        <is>
          <t>O,G</t>
        </is>
      </c>
      <c r="U486" t="n">
        <v>48746.3</v>
      </c>
      <c r="V486" t="n">
        <v>0.083333</v>
      </c>
      <c r="W486" t="inlineStr">
        <is>
          <t>CNY</t>
        </is>
      </c>
      <c r="X486" t="n">
        <v>1</v>
      </c>
      <c r="Y486" t="n">
        <v>47438.17</v>
      </c>
      <c r="Z486" t="n">
        <v>0</v>
      </c>
      <c r="AA486" t="n">
        <v>146238.9</v>
      </c>
      <c r="AF486" t="n">
        <v>0</v>
      </c>
      <c r="AG486" t="n">
        <v>325433.9</v>
      </c>
      <c r="AH486" t="n">
        <v>6.860169774677228</v>
      </c>
      <c r="AJ486" t="n">
        <v>6.860169774677228</v>
      </c>
      <c r="AK486" t="n">
        <v>5.648171082484843</v>
      </c>
      <c r="AQ486" t="n">
        <v>325433.9</v>
      </c>
      <c r="AR486" t="n">
        <v>6.860169774677228</v>
      </c>
      <c r="AS486" t="n">
        <v>2.593098804780877</v>
      </c>
      <c r="BL486" t="n">
        <v>1</v>
      </c>
      <c r="BM486" t="n">
        <v>39570</v>
      </c>
      <c r="BN486" t="n">
        <v>0</v>
      </c>
      <c r="BO486" t="n">
        <v>41110</v>
      </c>
      <c r="BP486" t="inlineStr">
        <is>
          <t>U,O</t>
        </is>
      </c>
      <c r="BQ486" t="inlineStr">
        <is>
          <t>T1</t>
        </is>
      </c>
      <c r="BS486" t="n">
        <v>3.171594642405863</v>
      </c>
      <c r="BT486" t="n">
        <v>0</v>
      </c>
      <c r="BV486" t="n">
        <v>3.171594642405863</v>
      </c>
      <c r="BY486" t="n">
        <v>125500</v>
      </c>
      <c r="BZ486" t="n">
        <v>3.171594642405863</v>
      </c>
      <c r="CP486" t="inlineStr">
        <is>
          <t>CSIG财务管理</t>
        </is>
      </c>
      <c r="CQ486" t="inlineStr">
        <is>
          <t>5,3</t>
        </is>
      </c>
      <c r="CR486" t="n">
        <v>10</v>
      </c>
      <c r="CS486" t="inlineStr">
        <is>
          <t>T1</t>
        </is>
      </c>
      <c r="CT486" t="inlineStr">
        <is>
          <t>N</t>
        </is>
      </c>
    </row>
    <row r="487">
      <c r="A487" t="inlineStr">
        <is>
          <t>terryHe(贺鹏立)</t>
        </is>
      </c>
      <c r="C487" t="n">
        <v>14356886</v>
      </c>
      <c r="D487" t="inlineStr">
        <is>
          <t>税务部</t>
        </is>
      </c>
      <c r="E487" t="inlineStr">
        <is>
          <t>BG税务组</t>
        </is>
      </c>
      <c r="G487" t="inlineStr">
        <is>
          <t>S2职能系统－财经线/税务部/BG税务组</t>
        </is>
      </c>
      <c r="H487" s="188" t="n">
        <v>43174</v>
      </c>
      <c r="I487" t="inlineStr">
        <is>
          <t>社会招聘</t>
        </is>
      </c>
      <c r="J487" t="inlineStr">
        <is>
          <t>财经类－FN</t>
        </is>
      </c>
      <c r="K487" t="inlineStr">
        <is>
          <t>税务</t>
        </is>
      </c>
      <c r="L487" t="inlineStr">
        <is>
          <t>S7</t>
        </is>
      </c>
      <c r="N487" t="inlineStr">
        <is>
          <t>T1#</t>
        </is>
      </c>
      <c r="Q487" t="inlineStr">
        <is>
          <t>O,G</t>
        </is>
      </c>
      <c r="U487" t="n">
        <v>43537.1</v>
      </c>
      <c r="V487" t="n">
        <v>0.083333</v>
      </c>
      <c r="W487" t="inlineStr">
        <is>
          <t>CNY</t>
        </is>
      </c>
      <c r="X487" t="n">
        <v>1</v>
      </c>
      <c r="Y487" t="n">
        <v>42716.58</v>
      </c>
      <c r="Z487" t="n">
        <v>0</v>
      </c>
      <c r="AA487" t="n">
        <v>130611.3</v>
      </c>
      <c r="AF487" t="n">
        <v>0</v>
      </c>
      <c r="AG487" t="n">
        <v>334021.3</v>
      </c>
      <c r="AH487" t="n">
        <v>7.819476652859381</v>
      </c>
      <c r="AJ487" t="n">
        <v>7.819476652859381</v>
      </c>
      <c r="AK487" t="n">
        <v>6.425287324032026</v>
      </c>
      <c r="AQ487" t="n">
        <v>334021.3</v>
      </c>
      <c r="AR487" t="n">
        <v>7.819476652859381</v>
      </c>
      <c r="AS487" t="n">
        <v>0.9701320050536588</v>
      </c>
      <c r="BL487" t="n">
        <v>1</v>
      </c>
      <c r="BM487" t="n">
        <v>38985</v>
      </c>
      <c r="BN487" t="n">
        <v>0</v>
      </c>
      <c r="BO487" t="n">
        <v>42230</v>
      </c>
      <c r="BP487" t="inlineStr">
        <is>
          <t>G,O</t>
        </is>
      </c>
      <c r="BQ487" t="inlineStr">
        <is>
          <t>T1#</t>
        </is>
      </c>
      <c r="BS487" t="n">
        <v>6.815826599974349</v>
      </c>
      <c r="BT487" t="n">
        <v>78590</v>
      </c>
      <c r="BV487" t="n">
        <v>8.831730152622804</v>
      </c>
      <c r="BY487" t="n">
        <v>344305</v>
      </c>
      <c r="BZ487" t="n">
        <v>8.831730152622804</v>
      </c>
      <c r="CP487" t="inlineStr">
        <is>
          <t>税务部</t>
        </is>
      </c>
      <c r="CQ487" t="inlineStr">
        <is>
          <t>5,3</t>
        </is>
      </c>
      <c r="CR487" t="n">
        <v>7</v>
      </c>
      <c r="CS487" t="inlineStr">
        <is>
          <t>T1#</t>
        </is>
      </c>
      <c r="CT487" t="inlineStr">
        <is>
          <t>N</t>
        </is>
      </c>
    </row>
    <row r="488">
      <c r="A488" t="inlineStr">
        <is>
          <t>stellaSong(宋英茜)</t>
        </is>
      </c>
      <c r="C488" t="n">
        <v>67662264</v>
      </c>
      <c r="D488" t="inlineStr">
        <is>
          <t>CSIG财务管理</t>
        </is>
      </c>
      <c r="E488" t="inlineStr">
        <is>
          <t>产品财务管理中心</t>
        </is>
      </c>
      <c r="G488" t="inlineStr">
        <is>
          <t>S2职能系统－财经线/CSIG财务管理/产品财务管理中心</t>
        </is>
      </c>
      <c r="H488" s="188" t="n">
        <v>37384</v>
      </c>
      <c r="I488" t="inlineStr">
        <is>
          <t>高校招聘</t>
        </is>
      </c>
      <c r="J488" t="inlineStr">
        <is>
          <t>财经类－FN</t>
        </is>
      </c>
      <c r="K488" t="inlineStr">
        <is>
          <t>财务管理</t>
        </is>
      </c>
      <c r="L488" t="inlineStr">
        <is>
          <t>S6</t>
        </is>
      </c>
      <c r="N488" t="inlineStr">
        <is>
          <t>T1#</t>
        </is>
      </c>
      <c r="Q488" t="inlineStr">
        <is>
          <t>O,O</t>
        </is>
      </c>
      <c r="U488" t="n">
        <v>25910.55</v>
      </c>
      <c r="V488" t="n">
        <v>0.083333</v>
      </c>
      <c r="W488" t="inlineStr">
        <is>
          <t>CNY</t>
        </is>
      </c>
      <c r="X488" t="n">
        <v>1</v>
      </c>
      <c r="Y488" t="n">
        <v>24847.23</v>
      </c>
      <c r="Z488" t="n">
        <v>0</v>
      </c>
      <c r="AA488" t="n">
        <v>103642.2</v>
      </c>
      <c r="AF488" t="n">
        <v>0</v>
      </c>
      <c r="AG488" t="n">
        <v>231747.2</v>
      </c>
      <c r="AH488" t="n">
        <v>9.326882714894175</v>
      </c>
      <c r="AJ488" t="n">
        <v>9.326882714894175</v>
      </c>
      <c r="AK488" t="n">
        <v>7.767956428141085</v>
      </c>
      <c r="AQ488" t="n">
        <v>231747.2</v>
      </c>
      <c r="AR488" t="n">
        <v>9.326882714894175</v>
      </c>
      <c r="AS488" t="n">
        <v>3.333293060050342</v>
      </c>
      <c r="BL488" t="n">
        <v>1</v>
      </c>
      <c r="BM488" t="n">
        <v>22850</v>
      </c>
      <c r="BN488" t="n">
        <v>0</v>
      </c>
      <c r="BO488" t="n">
        <v>23105</v>
      </c>
      <c r="BP488" t="inlineStr">
        <is>
          <t>G,G</t>
        </is>
      </c>
      <c r="BQ488" t="inlineStr">
        <is>
          <t>T2</t>
        </is>
      </c>
      <c r="BS488" t="n">
        <v>3.042669584245076</v>
      </c>
      <c r="BT488" t="n">
        <v>0</v>
      </c>
      <c r="BV488" t="n">
        <v>3.042669584245076</v>
      </c>
      <c r="BY488" t="n">
        <v>69525</v>
      </c>
      <c r="BZ488" t="n">
        <v>3.042669584245076</v>
      </c>
      <c r="CP488" t="inlineStr">
        <is>
          <t>CSIG财务管理</t>
        </is>
      </c>
      <c r="CQ488" t="inlineStr">
        <is>
          <t>5,5</t>
        </is>
      </c>
      <c r="CR488" t="n">
        <v>6</v>
      </c>
      <c r="CS488" t="inlineStr">
        <is>
          <t>T1#</t>
        </is>
      </c>
      <c r="CT488" t="inlineStr">
        <is>
          <t>N</t>
        </is>
      </c>
    </row>
    <row r="489">
      <c r="A489" t="inlineStr">
        <is>
          <t>avaLi(李畅)</t>
        </is>
      </c>
      <c r="C489" t="n">
        <v>22593655</v>
      </c>
      <c r="D489" t="inlineStr">
        <is>
          <t>CFO办公室</t>
        </is>
      </c>
      <c r="E489" t="inlineStr">
        <is>
          <t>ESG协同办公室</t>
        </is>
      </c>
      <c r="G489" t="inlineStr">
        <is>
          <t>S2职能系统－财经线/CFO办公室/ESG协同办公室</t>
        </is>
      </c>
      <c r="H489" s="188" t="n">
        <v>36479</v>
      </c>
      <c r="I489" t="inlineStr">
        <is>
          <t>高校招聘</t>
        </is>
      </c>
      <c r="J489" t="inlineStr">
        <is>
          <t>财经类－FN</t>
        </is>
      </c>
      <c r="K489" t="inlineStr">
        <is>
          <t>投资者关系</t>
        </is>
      </c>
      <c r="L489" t="inlineStr">
        <is>
          <t>S13</t>
        </is>
      </c>
      <c r="N489" t="inlineStr">
        <is>
          <t>T1</t>
        </is>
      </c>
      <c r="Q489" t="inlineStr">
        <is>
          <t>G,G</t>
        </is>
      </c>
      <c r="U489" t="n">
        <v>82704.75</v>
      </c>
      <c r="V489" t="n">
        <v>0.083333</v>
      </c>
      <c r="W489" t="inlineStr">
        <is>
          <t>CNY</t>
        </is>
      </c>
      <c r="X489" t="n">
        <v>1</v>
      </c>
      <c r="Y489" t="n">
        <v>76621.17</v>
      </c>
      <c r="Z489" t="n">
        <v>0</v>
      </c>
      <c r="AA489" t="n">
        <v>165409.5</v>
      </c>
      <c r="AF489" t="n">
        <v>0</v>
      </c>
      <c r="AG489" t="n">
        <v>501754.5</v>
      </c>
      <c r="AH489" t="n">
        <v>6.548510026667564</v>
      </c>
      <c r="AJ489" t="n">
        <v>6.548510026667564</v>
      </c>
      <c r="AK489" t="n">
        <v>4.834884405967698</v>
      </c>
      <c r="AQ489" t="n">
        <v>501754.5</v>
      </c>
      <c r="AR489" t="n">
        <v>6.548510026667564</v>
      </c>
      <c r="AS489" t="n">
        <v>1.306040137435577</v>
      </c>
      <c r="BL489" t="n">
        <v>1</v>
      </c>
      <c r="BM489" t="n">
        <v>68955</v>
      </c>
      <c r="BN489" t="n">
        <v>0</v>
      </c>
      <c r="BO489" t="n">
        <v>70975</v>
      </c>
      <c r="BP489" t="inlineStr">
        <is>
          <t>G,O</t>
        </is>
      </c>
      <c r="BQ489" t="inlineStr">
        <is>
          <t>T1</t>
        </is>
      </c>
      <c r="BS489" t="n">
        <v>4.354869117540425</v>
      </c>
      <c r="BT489" t="n">
        <v>83890</v>
      </c>
      <c r="BV489" t="n">
        <v>5.571459647596258</v>
      </c>
      <c r="BY489" t="n">
        <v>384180</v>
      </c>
      <c r="BZ489" t="n">
        <v>5.571459647596258</v>
      </c>
      <c r="CP489" t="inlineStr">
        <is>
          <t>CFO办公室</t>
        </is>
      </c>
      <c r="CQ489" t="inlineStr">
        <is>
          <t>3,3</t>
        </is>
      </c>
      <c r="CR489" t="n">
        <v>13</v>
      </c>
      <c r="CS489" t="inlineStr">
        <is>
          <t>T1</t>
        </is>
      </c>
      <c r="CT489" t="inlineStr">
        <is>
          <t>N</t>
        </is>
      </c>
    </row>
    <row r="490">
      <c r="A490" t="inlineStr">
        <is>
          <t>ashleyGong(龚静)</t>
        </is>
      </c>
      <c r="C490" t="n">
        <v>84116265</v>
      </c>
      <c r="D490" t="inlineStr">
        <is>
          <t>财会及报告管理部</t>
        </is>
      </c>
      <c r="E490" t="inlineStr">
        <is>
          <t>应收管理中心</t>
        </is>
      </c>
      <c r="G490" t="inlineStr">
        <is>
          <t>S2职能系统－财经线/财会及报告管理部/应收管理中心</t>
        </is>
      </c>
      <c r="H490" s="188" t="n">
        <v>40422</v>
      </c>
      <c r="I490" t="inlineStr">
        <is>
          <t>社会招聘</t>
        </is>
      </c>
      <c r="J490" t="inlineStr">
        <is>
          <t>财经类－FN</t>
        </is>
      </c>
      <c r="K490" t="inlineStr">
        <is>
          <t>会计</t>
        </is>
      </c>
      <c r="L490" t="inlineStr">
        <is>
          <t>S6</t>
        </is>
      </c>
      <c r="N490" t="inlineStr">
        <is>
          <t>T1#</t>
        </is>
      </c>
      <c r="Q490" t="inlineStr">
        <is>
          <t>O,G</t>
        </is>
      </c>
      <c r="U490" t="n">
        <v>33655.5</v>
      </c>
      <c r="V490" t="n">
        <v>0.083333</v>
      </c>
      <c r="W490" t="inlineStr">
        <is>
          <t>CNY</t>
        </is>
      </c>
      <c r="X490" t="n">
        <v>1</v>
      </c>
      <c r="Y490" t="n">
        <v>31059.98</v>
      </c>
      <c r="Z490" t="n">
        <v>0</v>
      </c>
      <c r="AA490" t="n">
        <v>100966.5</v>
      </c>
      <c r="AF490" t="n">
        <v>0</v>
      </c>
      <c r="AG490" t="n">
        <v>261256.5</v>
      </c>
      <c r="AH490" t="n">
        <v>8.411354418129052</v>
      </c>
      <c r="AJ490" t="n">
        <v>8.411354418129052</v>
      </c>
      <c r="AK490" t="n">
        <v>6.793677909644501</v>
      </c>
      <c r="AQ490" t="n">
        <v>261256.5</v>
      </c>
      <c r="AR490" t="n">
        <v>8.411354418129052</v>
      </c>
      <c r="AS490" t="n">
        <v>1.30759009009009</v>
      </c>
      <c r="BL490" t="n">
        <v>1</v>
      </c>
      <c r="BM490" t="n">
        <v>28305</v>
      </c>
      <c r="BN490" t="n">
        <v>0</v>
      </c>
      <c r="BO490" t="n">
        <v>29575</v>
      </c>
      <c r="BP490" t="inlineStr">
        <is>
          <t>G,G</t>
        </is>
      </c>
      <c r="BQ490" t="inlineStr">
        <is>
          <t>T1#</t>
        </is>
      </c>
      <c r="BS490" t="n">
        <v>5.264970853206147</v>
      </c>
      <c r="BT490" t="n">
        <v>50775</v>
      </c>
      <c r="BV490" t="n">
        <v>7.058823529411764</v>
      </c>
      <c r="BY490" t="n">
        <v>199800</v>
      </c>
      <c r="BZ490" t="n">
        <v>7.058823529411764</v>
      </c>
      <c r="CP490" t="inlineStr">
        <is>
          <t>财会及报告管理部</t>
        </is>
      </c>
      <c r="CQ490" t="inlineStr">
        <is>
          <t>5,3</t>
        </is>
      </c>
      <c r="CR490" t="n">
        <v>6</v>
      </c>
      <c r="CS490" t="inlineStr">
        <is>
          <t>T1#</t>
        </is>
      </c>
      <c r="CT490" t="inlineStr">
        <is>
          <t>N</t>
        </is>
      </c>
    </row>
    <row r="491">
      <c r="A491" t="inlineStr">
        <is>
          <t>elizabethFeng(冯柔婷)</t>
        </is>
      </c>
      <c r="C491" t="n">
        <v>62618642</v>
      </c>
      <c r="D491" t="inlineStr">
        <is>
          <t>资金管理</t>
        </is>
      </c>
      <c r="E491" t="inlineStr">
        <is>
          <t>资金管理</t>
        </is>
      </c>
      <c r="G491" t="inlineStr">
        <is>
          <t>S2职能系统－财经线/资金管理</t>
        </is>
      </c>
      <c r="H491" s="188" t="n">
        <v>41383</v>
      </c>
      <c r="I491" t="inlineStr">
        <is>
          <t>高校招聘</t>
        </is>
      </c>
      <c r="J491" t="inlineStr">
        <is>
          <t>财经类－FN</t>
        </is>
      </c>
      <c r="K491" t="inlineStr">
        <is>
          <t>资金管理</t>
        </is>
      </c>
      <c r="L491" t="inlineStr">
        <is>
          <t>S11</t>
        </is>
      </c>
      <c r="N491" t="inlineStr">
        <is>
          <t>T2</t>
        </is>
      </c>
      <c r="Q491" t="inlineStr">
        <is>
          <t>G,O</t>
        </is>
      </c>
      <c r="U491" t="n">
        <v>44404.25</v>
      </c>
      <c r="V491" t="n">
        <v>0.083333</v>
      </c>
      <c r="W491" t="inlineStr">
        <is>
          <t>CNY</t>
        </is>
      </c>
      <c r="X491" t="n">
        <v>1</v>
      </c>
      <c r="Y491" t="n">
        <v>41089.29</v>
      </c>
      <c r="Z491" t="n">
        <v>0</v>
      </c>
      <c r="AA491" t="n">
        <v>133212.75</v>
      </c>
      <c r="AF491" t="n">
        <v>0</v>
      </c>
      <c r="AG491" t="n">
        <v>188492.75</v>
      </c>
      <c r="AH491" t="n">
        <v>4.587393697968498</v>
      </c>
      <c r="AJ491" t="n">
        <v>4.587393697968498</v>
      </c>
      <c r="AK491" t="n">
        <v>4.587393697968498</v>
      </c>
      <c r="AQ491" t="n">
        <v>188492.75</v>
      </c>
      <c r="AR491" t="n">
        <v>4.587393697968498</v>
      </c>
      <c r="AS491" t="n">
        <v>1.540665740324492</v>
      </c>
      <c r="BL491" t="n">
        <v>1</v>
      </c>
      <c r="BM491" t="n">
        <v>37670</v>
      </c>
      <c r="BN491" t="n">
        <v>0</v>
      </c>
      <c r="BO491" t="n">
        <v>38685</v>
      </c>
      <c r="BP491" t="inlineStr">
        <is>
          <t>G,G</t>
        </is>
      </c>
      <c r="BQ491" t="inlineStr">
        <is>
          <t>T2</t>
        </is>
      </c>
      <c r="BS491" t="n">
        <v>3.247809928324927</v>
      </c>
      <c r="BT491" t="n">
        <v>0</v>
      </c>
      <c r="BV491" t="n">
        <v>3.247809928324927</v>
      </c>
      <c r="BY491" t="n">
        <v>122345</v>
      </c>
      <c r="BZ491" t="n">
        <v>3.247809928324927</v>
      </c>
      <c r="CP491" t="inlineStr">
        <is>
          <t>资金管理</t>
        </is>
      </c>
      <c r="CQ491" t="inlineStr">
        <is>
          <t>5,3</t>
        </is>
      </c>
      <c r="CR491" t="n">
        <v>11</v>
      </c>
      <c r="CS491" t="inlineStr">
        <is>
          <t>T2</t>
        </is>
      </c>
      <c r="CT491" t="inlineStr">
        <is>
          <t>N</t>
        </is>
      </c>
    </row>
    <row r="492">
      <c r="A492" t="inlineStr">
        <is>
          <t>natalieQian(钱晶)</t>
        </is>
      </c>
      <c r="C492" t="n">
        <v>18071733</v>
      </c>
      <c r="D492" t="inlineStr">
        <is>
          <t>IEG财务管理</t>
        </is>
      </c>
      <c r="E492" t="inlineStr">
        <is>
          <t>自研财务管理组</t>
        </is>
      </c>
      <c r="G492" t="inlineStr">
        <is>
          <t>S2职能系统－财经线/IEG财务管理/自研财务管理组</t>
        </is>
      </c>
      <c r="H492" s="188" t="n">
        <v>43759</v>
      </c>
      <c r="I492" t="inlineStr">
        <is>
          <t>社会招聘</t>
        </is>
      </c>
      <c r="J492" t="inlineStr">
        <is>
          <t>财经类－FN</t>
        </is>
      </c>
      <c r="K492" t="inlineStr">
        <is>
          <t>财务管理</t>
        </is>
      </c>
      <c r="L492" t="inlineStr">
        <is>
          <t>S8</t>
        </is>
      </c>
      <c r="N492" t="inlineStr">
        <is>
          <t>T1#</t>
        </is>
      </c>
      <c r="Q492" t="inlineStr">
        <is>
          <t>G,U</t>
        </is>
      </c>
      <c r="U492" t="n">
        <v>35373.15</v>
      </c>
      <c r="V492" t="n">
        <v>0.083333</v>
      </c>
      <c r="W492" t="inlineStr">
        <is>
          <t>CNY</t>
        </is>
      </c>
      <c r="X492" t="n">
        <v>1</v>
      </c>
      <c r="Y492" t="n">
        <v>32422.08</v>
      </c>
      <c r="Z492" t="n">
        <v>0</v>
      </c>
      <c r="AA492" t="n">
        <v>35373.15</v>
      </c>
      <c r="AF492" t="n">
        <v>0</v>
      </c>
      <c r="AG492" t="n">
        <v>151853.15</v>
      </c>
      <c r="AH492" t="n">
        <v>4.683633807578045</v>
      </c>
      <c r="AJ492" t="n">
        <v>4.683633807578045</v>
      </c>
      <c r="AK492" t="n">
        <v>4.683633807578045</v>
      </c>
      <c r="AQ492" t="n">
        <v>151853.15</v>
      </c>
      <c r="AR492" t="n">
        <v>4.683633807578045</v>
      </c>
      <c r="AS492" t="n">
        <v>1.101542562837764</v>
      </c>
      <c r="BL492" t="n">
        <v>1</v>
      </c>
      <c r="BM492" t="n">
        <v>30510</v>
      </c>
      <c r="BN492" t="n">
        <v>0</v>
      </c>
      <c r="BO492" t="n">
        <v>33115</v>
      </c>
      <c r="BP492" t="inlineStr">
        <is>
          <t>U,G</t>
        </is>
      </c>
      <c r="BQ492" t="inlineStr">
        <is>
          <t>T1#</t>
        </is>
      </c>
      <c r="BS492" t="n">
        <v>4.518354637823665</v>
      </c>
      <c r="BT492" t="n">
        <v>0</v>
      </c>
      <c r="BV492" t="n">
        <v>4.518354637823665</v>
      </c>
      <c r="BY492" t="n">
        <v>137855</v>
      </c>
      <c r="BZ492" t="n">
        <v>4.518354637823665</v>
      </c>
      <c r="CP492" t="inlineStr">
        <is>
          <t>IEG财务管理</t>
        </is>
      </c>
      <c r="CQ492" t="inlineStr">
        <is>
          <t>3,1</t>
        </is>
      </c>
      <c r="CR492" t="n">
        <v>8</v>
      </c>
      <c r="CS492" t="inlineStr">
        <is>
          <t>T1#</t>
        </is>
      </c>
      <c r="CT492" t="inlineStr">
        <is>
          <t>N</t>
        </is>
      </c>
    </row>
    <row r="493">
      <c r="A493" t="inlineStr">
        <is>
          <t>dorothyFan(范红蕾)</t>
        </is>
      </c>
      <c r="C493" t="n">
        <v>86953527</v>
      </c>
      <c r="D493" t="inlineStr">
        <is>
          <t>风险管理和内部控制</t>
        </is>
      </c>
      <c r="E493" t="inlineStr">
        <is>
          <t>CSIG风控中心</t>
        </is>
      </c>
      <c r="G493" t="inlineStr">
        <is>
          <t>S2职能系统－财经线/风险管理和内部控制/CSIG风控中心</t>
        </is>
      </c>
      <c r="H493" s="188" t="n">
        <v>44075</v>
      </c>
      <c r="I493" t="inlineStr">
        <is>
          <t>社会招聘</t>
        </is>
      </c>
      <c r="J493" t="inlineStr">
        <is>
          <t>财经类－FN</t>
        </is>
      </c>
      <c r="K493" t="inlineStr">
        <is>
          <t>风险管理</t>
        </is>
      </c>
      <c r="L493" t="inlineStr">
        <is>
          <t>S6</t>
        </is>
      </c>
      <c r="N493" t="inlineStr">
        <is>
          <t>Others</t>
        </is>
      </c>
      <c r="Q493" t="inlineStr">
        <is>
          <t>G,O</t>
        </is>
      </c>
      <c r="U493" t="n">
        <v>24358.7</v>
      </c>
      <c r="V493" t="n">
        <v>0.083333</v>
      </c>
      <c r="W493" t="inlineStr">
        <is>
          <t>CNY</t>
        </is>
      </c>
      <c r="X493" t="n">
        <v>1</v>
      </c>
      <c r="Y493" t="n">
        <v>23803.43</v>
      </c>
      <c r="Z493" t="n">
        <v>0</v>
      </c>
      <c r="AA493" t="n">
        <v>73076.10000000001</v>
      </c>
      <c r="AF493" t="n">
        <v>0</v>
      </c>
      <c r="AG493" t="n">
        <v>92271.10000000001</v>
      </c>
      <c r="AH493" t="n">
        <v>3.876378320267289</v>
      </c>
      <c r="AJ493" t="n">
        <v>3.876378320267289</v>
      </c>
      <c r="AK493" t="n">
        <v>3.876378320267289</v>
      </c>
      <c r="AQ493" t="n">
        <v>92271.10000000001</v>
      </c>
      <c r="AR493" t="n">
        <v>3.876378320267289</v>
      </c>
      <c r="AS493" t="n">
        <v>0.9656839351125066</v>
      </c>
      <c r="BL493" t="n">
        <v>1</v>
      </c>
      <c r="BM493" t="n">
        <v>20605</v>
      </c>
      <c r="BN493" t="n">
        <v>0</v>
      </c>
      <c r="BO493" t="n">
        <v>22130</v>
      </c>
      <c r="BP493" t="inlineStr">
        <is>
          <t>G,O</t>
        </is>
      </c>
      <c r="BQ493" t="inlineStr">
        <is>
          <t>Others</t>
        </is>
      </c>
      <c r="BS493" t="n">
        <v>4.637223974763407</v>
      </c>
      <c r="BT493" t="n">
        <v>0</v>
      </c>
      <c r="BV493" t="n">
        <v>4.637223974763407</v>
      </c>
      <c r="BY493" t="n">
        <v>95550</v>
      </c>
      <c r="BZ493" t="n">
        <v>4.637223974763407</v>
      </c>
      <c r="CP493" t="inlineStr">
        <is>
          <t>风险管理和内部控制</t>
        </is>
      </c>
      <c r="CQ493" t="inlineStr">
        <is>
          <t>5,3</t>
        </is>
      </c>
      <c r="CR493" t="n">
        <v>6</v>
      </c>
      <c r="CS493" t="inlineStr">
        <is>
          <t>Others</t>
        </is>
      </c>
      <c r="CT493" t="inlineStr">
        <is>
          <t>N</t>
        </is>
      </c>
    </row>
    <row r="494">
      <c r="A494" t="inlineStr">
        <is>
          <t>dorothyJiang(江悦沁)</t>
        </is>
      </c>
      <c r="C494" t="n">
        <v>37301415</v>
      </c>
      <c r="D494" t="inlineStr">
        <is>
          <t>在线视频财务管理中心</t>
        </is>
      </c>
      <c r="E494" t="inlineStr">
        <is>
          <t>OVB长视频财务管理组</t>
        </is>
      </c>
      <c r="G494" t="inlineStr">
        <is>
          <t>S2职能系统－财经线/在线视频财务管理中心/OVB长视频财务管理组</t>
        </is>
      </c>
      <c r="H494" s="188" t="n">
        <v>39553</v>
      </c>
      <c r="I494" t="inlineStr">
        <is>
          <t>社会招聘</t>
        </is>
      </c>
      <c r="J494" t="inlineStr">
        <is>
          <t>财经类－FN</t>
        </is>
      </c>
      <c r="K494" t="inlineStr">
        <is>
          <t>财务管理</t>
        </is>
      </c>
      <c r="L494" t="inlineStr">
        <is>
          <t>S8</t>
        </is>
      </c>
      <c r="N494" t="inlineStr">
        <is>
          <t>T1#</t>
        </is>
      </c>
      <c r="Q494" t="inlineStr">
        <is>
          <t>G,G</t>
        </is>
      </c>
      <c r="U494" t="n">
        <v>36720.5</v>
      </c>
      <c r="V494" t="n">
        <v>0.083333</v>
      </c>
      <c r="W494" t="inlineStr">
        <is>
          <t>CNY</t>
        </is>
      </c>
      <c r="X494" t="n">
        <v>1</v>
      </c>
      <c r="Y494" t="n">
        <v>33537.54</v>
      </c>
      <c r="Z494" t="n">
        <v>0</v>
      </c>
      <c r="AA494" t="n">
        <v>73441</v>
      </c>
      <c r="AF494" t="n">
        <v>0</v>
      </c>
      <c r="AG494" t="n">
        <v>238201</v>
      </c>
      <c r="AH494" t="n">
        <v>7.10251855085376</v>
      </c>
      <c r="AJ494" t="n">
        <v>7.10251855085376</v>
      </c>
      <c r="AK494" t="n">
        <v>5.901327288763577</v>
      </c>
      <c r="AQ494" t="n">
        <v>238201</v>
      </c>
      <c r="AR494" t="n">
        <v>7.10251855085376</v>
      </c>
      <c r="AS494" t="n">
        <v>1.677708127905339</v>
      </c>
      <c r="BL494" t="n">
        <v>1</v>
      </c>
      <c r="BM494" t="n">
        <v>29670</v>
      </c>
      <c r="BN494" t="n">
        <v>0</v>
      </c>
      <c r="BO494" t="n">
        <v>31570</v>
      </c>
      <c r="BP494" t="inlineStr">
        <is>
          <t>U,G</t>
        </is>
      </c>
      <c r="BQ494" t="inlineStr">
        <is>
          <t>T1#</t>
        </is>
      </c>
      <c r="BS494" t="n">
        <v>4.785305021907651</v>
      </c>
      <c r="BT494" t="n">
        <v>0</v>
      </c>
      <c r="BV494" t="n">
        <v>4.785305021907651</v>
      </c>
      <c r="BY494" t="n">
        <v>141980</v>
      </c>
      <c r="BZ494" t="n">
        <v>4.785305021907651</v>
      </c>
      <c r="CP494" t="inlineStr">
        <is>
          <t>在线视频财务管理中心</t>
        </is>
      </c>
      <c r="CQ494" t="inlineStr">
        <is>
          <t>3,3</t>
        </is>
      </c>
      <c r="CR494" t="n">
        <v>8</v>
      </c>
      <c r="CS494" t="inlineStr">
        <is>
          <t>T1#</t>
        </is>
      </c>
      <c r="CT494" t="inlineStr">
        <is>
          <t>N</t>
        </is>
      </c>
    </row>
    <row r="495">
      <c r="A495" t="inlineStr">
        <is>
          <t>marthaLin(林静婷)</t>
        </is>
      </c>
      <c r="C495" t="n">
        <v>91775653</v>
      </c>
      <c r="D495" t="inlineStr">
        <is>
          <t>WXG财务管理</t>
        </is>
      </c>
      <c r="E495" t="inlineStr">
        <is>
          <t>微信支付财务管理中心</t>
        </is>
      </c>
      <c r="G495" t="inlineStr">
        <is>
          <t>S2职能系统－财经线/WXG财务管理/微信支付财务管理中心</t>
        </is>
      </c>
      <c r="H495" s="188" t="n">
        <v>38470</v>
      </c>
      <c r="I495" t="inlineStr">
        <is>
          <t>高校招聘</t>
        </is>
      </c>
      <c r="J495" t="inlineStr">
        <is>
          <t>财经类－FN</t>
        </is>
      </c>
      <c r="K495" t="inlineStr">
        <is>
          <t>财务管理</t>
        </is>
      </c>
      <c r="L495" t="inlineStr">
        <is>
          <t>S6</t>
        </is>
      </c>
      <c r="N495" t="inlineStr">
        <is>
          <t>T1#</t>
        </is>
      </c>
      <c r="Q495" t="inlineStr">
        <is>
          <t>G,G</t>
        </is>
      </c>
      <c r="U495" t="n">
        <v>31402.35</v>
      </c>
      <c r="V495" t="n">
        <v>0.083333</v>
      </c>
      <c r="W495" t="inlineStr">
        <is>
          <t>CNY</t>
        </is>
      </c>
      <c r="X495" t="n">
        <v>1</v>
      </c>
      <c r="Y495" t="n">
        <v>30256.28</v>
      </c>
      <c r="Z495" t="n">
        <v>0</v>
      </c>
      <c r="AA495" t="n">
        <v>62804.7</v>
      </c>
      <c r="AF495" t="n">
        <v>0</v>
      </c>
      <c r="AG495" t="n">
        <v>207094.7</v>
      </c>
      <c r="AH495" t="n">
        <v>6.844684805931199</v>
      </c>
      <c r="AJ495" t="n">
        <v>6.844684805931199</v>
      </c>
      <c r="AK495" t="n">
        <v>5.222707484198322</v>
      </c>
      <c r="AQ495" t="n">
        <v>207094.7</v>
      </c>
      <c r="AR495" t="n">
        <v>6.844684805931199</v>
      </c>
      <c r="AS495" t="n">
        <v>0.9602165295004057</v>
      </c>
      <c r="BL495" t="n">
        <v>1</v>
      </c>
      <c r="BM495" t="n">
        <v>26640</v>
      </c>
      <c r="BN495" t="n">
        <v>0</v>
      </c>
      <c r="BO495" t="n">
        <v>27710</v>
      </c>
      <c r="BP495" t="inlineStr">
        <is>
          <t>O,G</t>
        </is>
      </c>
      <c r="BQ495" t="inlineStr">
        <is>
          <t>T1#</t>
        </is>
      </c>
      <c r="BS495" t="n">
        <v>6.658971471471472</v>
      </c>
      <c r="BT495" t="n">
        <v>38280</v>
      </c>
      <c r="BV495" t="n">
        <v>8.095908408408409</v>
      </c>
      <c r="BY495" t="n">
        <v>215675</v>
      </c>
      <c r="BZ495" t="n">
        <v>8.095908408408409</v>
      </c>
      <c r="CP495" t="inlineStr">
        <is>
          <t>WXG财务管理</t>
        </is>
      </c>
      <c r="CQ495" t="inlineStr">
        <is>
          <t>3,3</t>
        </is>
      </c>
      <c r="CR495" t="n">
        <v>6</v>
      </c>
      <c r="CS495" t="inlineStr">
        <is>
          <t>T1#</t>
        </is>
      </c>
      <c r="CT495" t="inlineStr">
        <is>
          <t>N</t>
        </is>
      </c>
    </row>
    <row r="496">
      <c r="A496" t="inlineStr">
        <is>
          <t>justinQian(钱力)</t>
        </is>
      </c>
      <c r="C496" t="n">
        <v>12769633</v>
      </c>
      <c r="D496" t="inlineStr">
        <is>
          <t>董事会办公室</t>
        </is>
      </c>
      <c r="E496" t="inlineStr">
        <is>
          <t>公司治理财经办公室</t>
        </is>
      </c>
      <c r="G496" t="inlineStr">
        <is>
          <t>S2职能系统－财经线/董事会办公室/公司治理财经办公室</t>
        </is>
      </c>
      <c r="H496" s="188" t="n">
        <v>43228</v>
      </c>
      <c r="I496" t="inlineStr">
        <is>
          <t>社会招聘</t>
        </is>
      </c>
      <c r="J496" t="inlineStr">
        <is>
          <t>财经类－FN</t>
        </is>
      </c>
      <c r="K496" t="inlineStr">
        <is>
          <t>公司秘书</t>
        </is>
      </c>
      <c r="L496" t="inlineStr">
        <is>
          <t>S6</t>
        </is>
      </c>
      <c r="N496" t="inlineStr">
        <is>
          <t>T1</t>
        </is>
      </c>
      <c r="Q496" t="inlineStr">
        <is>
          <t>G,G</t>
        </is>
      </c>
      <c r="U496" t="n">
        <v>27619</v>
      </c>
      <c r="V496" t="n">
        <v>0.083333</v>
      </c>
      <c r="W496" t="inlineStr">
        <is>
          <t>CNY</t>
        </is>
      </c>
      <c r="X496" t="n">
        <v>1</v>
      </c>
      <c r="Y496" t="n">
        <v>26204.42</v>
      </c>
      <c r="Z496" t="n">
        <v>0</v>
      </c>
      <c r="AA496" t="n">
        <v>55238</v>
      </c>
      <c r="AF496" t="n">
        <v>0</v>
      </c>
      <c r="AG496" t="n">
        <v>165658</v>
      </c>
      <c r="AH496" t="n">
        <v>6.321757932440406</v>
      </c>
      <c r="AJ496" t="n">
        <v>6.321757932440406</v>
      </c>
      <c r="AK496" t="n">
        <v>4.414255305021062</v>
      </c>
      <c r="AQ496" t="n">
        <v>165658</v>
      </c>
      <c r="AR496" t="n">
        <v>6.321757932440406</v>
      </c>
      <c r="AS496" t="n">
        <v>1.0996946362188</v>
      </c>
      <c r="BL496" t="n">
        <v>1</v>
      </c>
      <c r="BM496" t="n">
        <v>23975</v>
      </c>
      <c r="BN496" t="n">
        <v>0</v>
      </c>
      <c r="BO496" t="n">
        <v>25485</v>
      </c>
      <c r="BP496" t="inlineStr">
        <is>
          <t>O,G</t>
        </is>
      </c>
      <c r="BQ496" t="inlineStr">
        <is>
          <t>T1</t>
        </is>
      </c>
      <c r="BS496" t="n">
        <v>4.409384775808133</v>
      </c>
      <c r="BT496" t="n">
        <v>44925</v>
      </c>
      <c r="BV496" t="n">
        <v>6.283211678832116</v>
      </c>
      <c r="BY496" t="n">
        <v>150640</v>
      </c>
      <c r="BZ496" t="n">
        <v>6.283211678832116</v>
      </c>
      <c r="CP496" t="inlineStr">
        <is>
          <t>董事会办公室</t>
        </is>
      </c>
      <c r="CQ496" t="inlineStr">
        <is>
          <t>3,3</t>
        </is>
      </c>
      <c r="CR496" t="n">
        <v>6</v>
      </c>
      <c r="CS496" t="inlineStr">
        <is>
          <t>T1</t>
        </is>
      </c>
      <c r="CT496" t="inlineStr">
        <is>
          <t>N</t>
        </is>
      </c>
    </row>
    <row r="497">
      <c r="A497" t="inlineStr">
        <is>
          <t>russellShen(沈东明)</t>
        </is>
      </c>
      <c r="C497" t="n">
        <v>48558232</v>
      </c>
      <c r="D497" t="inlineStr">
        <is>
          <t>财会及报告管理部</t>
        </is>
      </c>
      <c r="E497" t="inlineStr">
        <is>
          <t>员工报销服务中心</t>
        </is>
      </c>
      <c r="G497" t="inlineStr">
        <is>
          <t>S2职能系统－财经线/财会及报告管理部/员工报销服务中心</t>
        </is>
      </c>
      <c r="H497" s="188" t="n">
        <v>43870</v>
      </c>
      <c r="I497" t="inlineStr">
        <is>
          <t>高校招聘</t>
        </is>
      </c>
      <c r="J497" t="inlineStr">
        <is>
          <t>财经类－FN</t>
        </is>
      </c>
      <c r="K497" t="inlineStr">
        <is>
          <t>会计</t>
        </is>
      </c>
      <c r="L497" t="inlineStr">
        <is>
          <t>S5</t>
        </is>
      </c>
      <c r="N497" t="inlineStr">
        <is>
          <t>T1#</t>
        </is>
      </c>
      <c r="Q497" t="inlineStr">
        <is>
          <t>G,G</t>
        </is>
      </c>
      <c r="U497" t="n">
        <v>23141.25</v>
      </c>
      <c r="V497" t="n">
        <v>0.083333</v>
      </c>
      <c r="W497" t="inlineStr">
        <is>
          <t>CNY</t>
        </is>
      </c>
      <c r="X497" t="n">
        <v>1</v>
      </c>
      <c r="Y497" t="n">
        <v>22811.87</v>
      </c>
      <c r="Z497" t="n">
        <v>0</v>
      </c>
      <c r="AA497" t="n">
        <v>46282.5</v>
      </c>
      <c r="AF497" t="n">
        <v>0</v>
      </c>
      <c r="AG497" t="n">
        <v>147097.5</v>
      </c>
      <c r="AH497" t="n">
        <v>6.448287667779976</v>
      </c>
      <c r="AJ497" t="n">
        <v>6.448287667779976</v>
      </c>
      <c r="AK497" t="n">
        <v>5.424478571901383</v>
      </c>
      <c r="AQ497" t="n">
        <v>147097.5</v>
      </c>
      <c r="AR497" t="n">
        <v>6.448287667779976</v>
      </c>
      <c r="AS497" t="n">
        <v>1.097169389125084</v>
      </c>
      <c r="BL497" t="n">
        <v>1</v>
      </c>
      <c r="BM497" t="n">
        <v>19020</v>
      </c>
      <c r="BN497" t="n">
        <v>0</v>
      </c>
      <c r="BO497" t="n">
        <v>19210</v>
      </c>
      <c r="BP497" t="inlineStr">
        <is>
          <t>G,G</t>
        </is>
      </c>
      <c r="BQ497" t="inlineStr">
        <is>
          <t>T1#</t>
        </is>
      </c>
      <c r="BS497" t="n">
        <v>5.152208201892744</v>
      </c>
      <c r="BT497" t="n">
        <v>36075</v>
      </c>
      <c r="BV497" t="n">
        <v>7.048895899053628</v>
      </c>
      <c r="BY497" t="n">
        <v>134070</v>
      </c>
      <c r="BZ497" t="n">
        <v>7.048895899053628</v>
      </c>
      <c r="CP497" t="inlineStr">
        <is>
          <t>财会及报告管理部</t>
        </is>
      </c>
      <c r="CQ497" t="inlineStr">
        <is>
          <t>3,3</t>
        </is>
      </c>
      <c r="CR497" t="n">
        <v>5</v>
      </c>
      <c r="CS497" t="inlineStr">
        <is>
          <t>T1#</t>
        </is>
      </c>
      <c r="CT497" t="inlineStr">
        <is>
          <t>N</t>
        </is>
      </c>
    </row>
    <row r="498">
      <c r="A498" t="inlineStr">
        <is>
          <t>evaYuan(袁红)</t>
        </is>
      </c>
      <c r="C498" t="n">
        <v>11554504</v>
      </c>
      <c r="D498" t="inlineStr">
        <is>
          <t>风险管理和内部控制</t>
        </is>
      </c>
      <c r="E498" t="inlineStr">
        <is>
          <t>IEG风控中心</t>
        </is>
      </c>
      <c r="G498" t="inlineStr">
        <is>
          <t>S2职能系统－财经线/风险管理和内部控制/IEG风控中心</t>
        </is>
      </c>
      <c r="H498" s="188" t="n">
        <v>39259</v>
      </c>
      <c r="I498" t="inlineStr">
        <is>
          <t>社会招聘</t>
        </is>
      </c>
      <c r="J498" t="inlineStr">
        <is>
          <t>财经类－FN</t>
        </is>
      </c>
      <c r="K498" t="inlineStr">
        <is>
          <t>风险管理</t>
        </is>
      </c>
      <c r="L498" t="inlineStr">
        <is>
          <t>S8</t>
        </is>
      </c>
      <c r="N498" t="inlineStr">
        <is>
          <t>T2</t>
        </is>
      </c>
      <c r="Q498" t="inlineStr">
        <is>
          <t>G,U</t>
        </is>
      </c>
      <c r="U498" t="n">
        <v>43649.75</v>
      </c>
      <c r="V498" t="n">
        <v>0.083333</v>
      </c>
      <c r="W498" t="inlineStr">
        <is>
          <t>CNY</t>
        </is>
      </c>
      <c r="X498" t="n">
        <v>1</v>
      </c>
      <c r="Y498" t="n">
        <v>40640.8</v>
      </c>
      <c r="Z498" t="n">
        <v>0</v>
      </c>
      <c r="AA498" t="n">
        <v>43649.75</v>
      </c>
      <c r="AF498" t="n">
        <v>0</v>
      </c>
      <c r="AG498" t="n">
        <v>98804.75</v>
      </c>
      <c r="AH498" t="n">
        <v>2.431171384421567</v>
      </c>
      <c r="AJ498" t="n">
        <v>2.431171384421567</v>
      </c>
      <c r="AK498" t="n">
        <v>2.431171384421567</v>
      </c>
      <c r="AQ498" t="n">
        <v>98804.75</v>
      </c>
      <c r="AR498" t="n">
        <v>2.431171384421567</v>
      </c>
      <c r="AS498" t="n">
        <v>0.7259717119764879</v>
      </c>
      <c r="BL498" t="n">
        <v>1</v>
      </c>
      <c r="BM498" t="n">
        <v>37980</v>
      </c>
      <c r="BN498" t="n">
        <v>0</v>
      </c>
      <c r="BO498" t="n">
        <v>39400</v>
      </c>
      <c r="BP498" t="inlineStr">
        <is>
          <t>G,G</t>
        </is>
      </c>
      <c r="BQ498" t="inlineStr">
        <is>
          <t>T2</t>
        </is>
      </c>
      <c r="BS498" t="n">
        <v>3.583464981569247</v>
      </c>
      <c r="BT498" t="n">
        <v>0</v>
      </c>
      <c r="BV498" t="n">
        <v>3.583464981569247</v>
      </c>
      <c r="BY498" t="n">
        <v>136100</v>
      </c>
      <c r="BZ498" t="n">
        <v>3.583464981569247</v>
      </c>
      <c r="CP498" t="inlineStr">
        <is>
          <t>风险管理和内部控制</t>
        </is>
      </c>
      <c r="CQ498" t="inlineStr">
        <is>
          <t>3,1</t>
        </is>
      </c>
      <c r="CR498" t="n">
        <v>8</v>
      </c>
      <c r="CS498" t="inlineStr">
        <is>
          <t>T2</t>
        </is>
      </c>
      <c r="CT498" t="inlineStr">
        <is>
          <t>N</t>
        </is>
      </c>
    </row>
    <row r="499">
      <c r="A499" t="inlineStr">
        <is>
          <t>graceMeng(孟慧悦)</t>
        </is>
      </c>
      <c r="C499" t="n">
        <v>23137388</v>
      </c>
      <c r="D499" t="inlineStr">
        <is>
          <t>税务部</t>
        </is>
      </c>
      <c r="E499" t="inlineStr">
        <is>
          <t>BG税务组</t>
        </is>
      </c>
      <c r="G499" t="inlineStr">
        <is>
          <t>S2职能系统－财经线/税务部/BG税务组</t>
        </is>
      </c>
      <c r="H499" s="188" t="n">
        <v>45307</v>
      </c>
      <c r="I499" t="inlineStr">
        <is>
          <t>高校招聘</t>
        </is>
      </c>
      <c r="J499" t="inlineStr">
        <is>
          <t>财经类－FN</t>
        </is>
      </c>
      <c r="K499" t="inlineStr">
        <is>
          <t>税务</t>
        </is>
      </c>
      <c r="L499" t="inlineStr">
        <is>
          <t>S9</t>
        </is>
      </c>
      <c r="N499" t="inlineStr">
        <is>
          <t>T2</t>
        </is>
      </c>
      <c r="Q499" t="inlineStr">
        <is>
          <t>O,O</t>
        </is>
      </c>
      <c r="U499" t="n">
        <v>47111.5</v>
      </c>
      <c r="V499" t="n">
        <v>0.083333</v>
      </c>
      <c r="W499" t="inlineStr">
        <is>
          <t>CNY</t>
        </is>
      </c>
      <c r="X499" t="n">
        <v>0.958904</v>
      </c>
      <c r="Y499" t="n">
        <v>45066.32</v>
      </c>
      <c r="Z499" t="n">
        <v>0</v>
      </c>
      <c r="AA499" t="n">
        <v>45175.41</v>
      </c>
      <c r="AF499" t="n">
        <v>0</v>
      </c>
      <c r="AG499" t="n">
        <v>45175.41</v>
      </c>
      <c r="AH499" t="n">
        <v>1.002420654715096</v>
      </c>
      <c r="AJ499" t="n">
        <v>1.002420654715096</v>
      </c>
      <c r="AK499" t="n">
        <v>1.002420654715096</v>
      </c>
      <c r="AQ499" t="n">
        <v>45175.41</v>
      </c>
      <c r="AR499" t="n">
        <v>1.002420654715096</v>
      </c>
      <c r="BM499" t="n">
        <v>0</v>
      </c>
      <c r="BN499" t="n">
        <v>0</v>
      </c>
      <c r="BO499" t="n">
        <v>0</v>
      </c>
      <c r="BT499" t="n">
        <v>0</v>
      </c>
      <c r="BY499" t="n">
        <v>0</v>
      </c>
      <c r="CP499" t="inlineStr">
        <is>
          <t>税务部</t>
        </is>
      </c>
      <c r="CQ499" t="inlineStr">
        <is>
          <t>5,5</t>
        </is>
      </c>
      <c r="CR499" t="n">
        <v>9</v>
      </c>
      <c r="CS499" t="inlineStr">
        <is>
          <t>T2</t>
        </is>
      </c>
      <c r="CT499" t="inlineStr">
        <is>
          <t>N</t>
        </is>
      </c>
    </row>
    <row r="500">
      <c r="A500" t="inlineStr">
        <is>
          <t>nicholasFan(范曦)</t>
        </is>
      </c>
      <c r="C500" t="n">
        <v>45950535</v>
      </c>
      <c r="D500" t="inlineStr">
        <is>
          <t>WXG财务管理</t>
        </is>
      </c>
      <c r="E500" t="inlineStr">
        <is>
          <t>微信支付财务管理中心</t>
        </is>
      </c>
      <c r="G500" t="inlineStr">
        <is>
          <t>S2职能系统－财经线/WXG财务管理/微信支付财务管理中心</t>
        </is>
      </c>
      <c r="H500" s="188" t="n">
        <v>45085</v>
      </c>
      <c r="I500" t="inlineStr">
        <is>
          <t>高校招聘</t>
        </is>
      </c>
      <c r="J500" t="inlineStr">
        <is>
          <t>财经类－FN</t>
        </is>
      </c>
      <c r="K500" t="inlineStr">
        <is>
          <t>财务管理</t>
        </is>
      </c>
      <c r="L500" t="inlineStr">
        <is>
          <t>S6</t>
        </is>
      </c>
      <c r="N500" t="inlineStr">
        <is>
          <t>T1</t>
        </is>
      </c>
      <c r="Q500" t="inlineStr">
        <is>
          <t>G,U</t>
        </is>
      </c>
      <c r="U500" t="n">
        <v>38967.65</v>
      </c>
      <c r="V500" t="n">
        <v>0.083333</v>
      </c>
      <c r="W500" t="inlineStr">
        <is>
          <t>CNY</t>
        </is>
      </c>
      <c r="X500" t="n">
        <v>1</v>
      </c>
      <c r="Y500" t="n">
        <v>38119.22</v>
      </c>
      <c r="Z500" t="n">
        <v>0</v>
      </c>
      <c r="AA500" t="n">
        <v>38967.65</v>
      </c>
      <c r="AF500" t="n">
        <v>0</v>
      </c>
      <c r="AG500" t="n">
        <v>121172.65</v>
      </c>
      <c r="AH500" t="n">
        <v>3.178780940428477</v>
      </c>
      <c r="AJ500" t="n">
        <v>3.178780940428477</v>
      </c>
      <c r="AK500" t="n">
        <v>3.178780940428477</v>
      </c>
      <c r="AQ500" t="n">
        <v>121172.65</v>
      </c>
      <c r="AR500" t="n">
        <v>3.178780940428477</v>
      </c>
      <c r="AS500" t="n">
        <v>5.994194904773683</v>
      </c>
      <c r="BL500" t="n">
        <v>0.564383561643835</v>
      </c>
      <c r="BM500" t="n">
        <v>32950</v>
      </c>
      <c r="BN500" t="n">
        <v>0</v>
      </c>
      <c r="BO500" t="n">
        <v>35820</v>
      </c>
      <c r="BP500" t="inlineStr">
        <is>
          <t>N,O</t>
        </is>
      </c>
      <c r="BQ500" t="inlineStr">
        <is>
          <t>T1</t>
        </is>
      </c>
      <c r="BS500" t="n">
        <v>0.61350531107739</v>
      </c>
      <c r="BT500" t="n">
        <v>0</v>
      </c>
      <c r="BV500" t="n">
        <v>0.61350531107739</v>
      </c>
      <c r="BY500" t="n">
        <v>20215</v>
      </c>
      <c r="BZ500" t="n">
        <v>0.61350531107739</v>
      </c>
      <c r="CP500" t="inlineStr">
        <is>
          <t>WXG财务管理</t>
        </is>
      </c>
      <c r="CQ500" t="inlineStr">
        <is>
          <t>3,1</t>
        </is>
      </c>
      <c r="CR500" t="n">
        <v>6</v>
      </c>
      <c r="CS500" t="inlineStr">
        <is>
          <t>T1</t>
        </is>
      </c>
      <c r="CT500" t="inlineStr">
        <is>
          <t>N</t>
        </is>
      </c>
    </row>
    <row r="501">
      <c r="A501" t="inlineStr">
        <is>
          <t>geraldZhong(钟华亮)</t>
        </is>
      </c>
      <c r="C501" t="n">
        <v>76207792</v>
      </c>
      <c r="D501" t="inlineStr">
        <is>
          <t>财会及报告管理部</t>
        </is>
      </c>
      <c r="E501" t="inlineStr">
        <is>
          <t>账务中心</t>
        </is>
      </c>
      <c r="G501" t="inlineStr">
        <is>
          <t>S2职能系统－财经线/财会及报告管理部/账务中心</t>
        </is>
      </c>
      <c r="H501" s="188" t="n">
        <v>38340</v>
      </c>
      <c r="I501" t="inlineStr">
        <is>
          <t>高校招聘</t>
        </is>
      </c>
      <c r="J501" t="inlineStr">
        <is>
          <t>财经类－FN</t>
        </is>
      </c>
      <c r="K501" t="inlineStr">
        <is>
          <t>会计</t>
        </is>
      </c>
      <c r="L501" t="inlineStr">
        <is>
          <t>S6</t>
        </is>
      </c>
      <c r="N501" t="inlineStr">
        <is>
          <t>T1#</t>
        </is>
      </c>
      <c r="Q501" t="inlineStr">
        <is>
          <t>G,G</t>
        </is>
      </c>
      <c r="U501" t="n">
        <v>37441.25</v>
      </c>
      <c r="V501" t="n">
        <v>0.083333</v>
      </c>
      <c r="W501" t="inlineStr">
        <is>
          <t>CNY</t>
        </is>
      </c>
      <c r="X501" t="n">
        <v>1</v>
      </c>
      <c r="Y501" t="n">
        <v>34053</v>
      </c>
      <c r="Z501" t="n">
        <v>0</v>
      </c>
      <c r="AA501" t="n">
        <v>74882.5</v>
      </c>
      <c r="AF501" t="n">
        <v>0</v>
      </c>
      <c r="AG501" t="n">
        <v>243577.5</v>
      </c>
      <c r="AH501" t="n">
        <v>7.152894018148181</v>
      </c>
      <c r="AJ501" t="n">
        <v>7.152894018148181</v>
      </c>
      <c r="AK501" t="n">
        <v>6.00659266437612</v>
      </c>
      <c r="AQ501" t="n">
        <v>243577.5</v>
      </c>
      <c r="AR501" t="n">
        <v>7.152894018148181</v>
      </c>
      <c r="AS501" t="n">
        <v>0.8639951049943246</v>
      </c>
      <c r="BL501" t="n">
        <v>1</v>
      </c>
      <c r="BM501" t="n">
        <v>33215</v>
      </c>
      <c r="BN501" t="n">
        <v>0</v>
      </c>
      <c r="BO501" t="n">
        <v>35680</v>
      </c>
      <c r="BP501" t="inlineStr">
        <is>
          <t>G,O</t>
        </is>
      </c>
      <c r="BQ501" t="inlineStr">
        <is>
          <t>T1#</t>
        </is>
      </c>
      <c r="BS501" t="n">
        <v>6.488333584223995</v>
      </c>
      <c r="BT501" t="n">
        <v>66410</v>
      </c>
      <c r="BV501" t="n">
        <v>8.487731446635555</v>
      </c>
      <c r="BY501" t="n">
        <v>281920</v>
      </c>
      <c r="BZ501" t="n">
        <v>8.487731446635555</v>
      </c>
      <c r="CP501" t="inlineStr">
        <is>
          <t>财会及报告管理部</t>
        </is>
      </c>
      <c r="CQ501" t="inlineStr">
        <is>
          <t>3,3</t>
        </is>
      </c>
      <c r="CR501" t="n">
        <v>6</v>
      </c>
      <c r="CS501" t="inlineStr">
        <is>
          <t>T1#</t>
        </is>
      </c>
      <c r="CT501" t="inlineStr">
        <is>
          <t>N</t>
        </is>
      </c>
    </row>
    <row r="502">
      <c r="A502" t="inlineStr">
        <is>
          <t>allisonXiao(萧舒萍)</t>
        </is>
      </c>
      <c r="C502" t="n">
        <v>40853342</v>
      </c>
      <c r="D502" t="inlineStr">
        <is>
          <t>财会及报告管理部</t>
        </is>
      </c>
      <c r="E502" t="inlineStr">
        <is>
          <t>供应商支付管理中心</t>
        </is>
      </c>
      <c r="G502" t="inlineStr">
        <is>
          <t>S2职能系统－财经线/财会及报告管理部/供应商支付管理中心</t>
        </is>
      </c>
      <c r="H502" s="188" t="n">
        <v>37331</v>
      </c>
      <c r="I502" t="inlineStr">
        <is>
          <t>高校招聘</t>
        </is>
      </c>
      <c r="J502" t="inlineStr">
        <is>
          <t>财经类－FN</t>
        </is>
      </c>
      <c r="K502" t="inlineStr">
        <is>
          <t>会计</t>
        </is>
      </c>
      <c r="L502" t="inlineStr">
        <is>
          <t>S6</t>
        </is>
      </c>
      <c r="N502" t="inlineStr">
        <is>
          <t>T1</t>
        </is>
      </c>
      <c r="Q502" t="inlineStr">
        <is>
          <t>G,G</t>
        </is>
      </c>
      <c r="U502" t="n">
        <v>29459.75</v>
      </c>
      <c r="V502" t="n">
        <v>0.083333</v>
      </c>
      <c r="W502" t="inlineStr">
        <is>
          <t>CNY</t>
        </is>
      </c>
      <c r="X502" t="n">
        <v>1</v>
      </c>
      <c r="Y502" t="n">
        <v>28470.26</v>
      </c>
      <c r="Z502" t="n">
        <v>0</v>
      </c>
      <c r="AA502" t="n">
        <v>58919.5</v>
      </c>
      <c r="AF502" t="n">
        <v>0</v>
      </c>
      <c r="AG502" t="n">
        <v>170524.5</v>
      </c>
      <c r="AH502" t="n">
        <v>5.989565954086826</v>
      </c>
      <c r="AJ502" t="n">
        <v>5.989565954086826</v>
      </c>
      <c r="AK502" t="n">
        <v>4.215082686283862</v>
      </c>
      <c r="AQ502" t="n">
        <v>170524.5</v>
      </c>
      <c r="AR502" t="n">
        <v>5.989565954086826</v>
      </c>
      <c r="AS502" t="n">
        <v>2.74000964087732</v>
      </c>
      <c r="BL502" t="n">
        <v>1</v>
      </c>
      <c r="BM502" t="n">
        <v>24630</v>
      </c>
      <c r="BN502" t="n">
        <v>0</v>
      </c>
      <c r="BO502" t="n">
        <v>25845</v>
      </c>
      <c r="BP502" t="inlineStr">
        <is>
          <t>U,G</t>
        </is>
      </c>
      <c r="BQ502" t="inlineStr">
        <is>
          <t>T1</t>
        </is>
      </c>
      <c r="BS502" t="n">
        <v>2.526796589524969</v>
      </c>
      <c r="BT502" t="n">
        <v>0</v>
      </c>
      <c r="BV502" t="n">
        <v>2.526796589524969</v>
      </c>
      <c r="BY502" t="n">
        <v>62235</v>
      </c>
      <c r="BZ502" t="n">
        <v>2.526796589524969</v>
      </c>
      <c r="CP502" t="inlineStr">
        <is>
          <t>财会及报告管理部</t>
        </is>
      </c>
      <c r="CQ502" t="inlineStr">
        <is>
          <t>3,3</t>
        </is>
      </c>
      <c r="CR502" t="n">
        <v>6</v>
      </c>
      <c r="CS502" t="inlineStr">
        <is>
          <t>T1</t>
        </is>
      </c>
      <c r="CT502" t="inlineStr">
        <is>
          <t>N</t>
        </is>
      </c>
    </row>
    <row r="503">
      <c r="A503" t="inlineStr">
        <is>
          <t>brandonLong(龙峰军)</t>
        </is>
      </c>
      <c r="C503" t="n">
        <v>65789163</v>
      </c>
      <c r="D503" t="inlineStr">
        <is>
          <t>财会及报告管理部</t>
        </is>
      </c>
      <c r="E503" t="inlineStr">
        <is>
          <t>应收管理中心</t>
        </is>
      </c>
      <c r="G503" t="inlineStr">
        <is>
          <t>S2职能系统－财经线/财会及报告管理部/应收管理中心</t>
        </is>
      </c>
      <c r="H503" s="188" t="n">
        <v>43441</v>
      </c>
      <c r="I503" t="inlineStr">
        <is>
          <t>社会招聘</t>
        </is>
      </c>
      <c r="J503" t="inlineStr">
        <is>
          <t>财经类－FN</t>
        </is>
      </c>
      <c r="K503" t="inlineStr">
        <is>
          <t>会计</t>
        </is>
      </c>
      <c r="L503" t="inlineStr">
        <is>
          <t>S10</t>
        </is>
      </c>
      <c r="N503" t="inlineStr">
        <is>
          <t>Others</t>
        </is>
      </c>
      <c r="Q503" t="inlineStr">
        <is>
          <t>O,U</t>
        </is>
      </c>
      <c r="U503" t="n">
        <v>42303.65</v>
      </c>
      <c r="V503" t="n">
        <v>0.083333</v>
      </c>
      <c r="W503" t="inlineStr">
        <is>
          <t>CNY</t>
        </is>
      </c>
      <c r="X503" t="n">
        <v>1</v>
      </c>
      <c r="Y503" t="n">
        <v>38239.29</v>
      </c>
      <c r="Z503" t="n">
        <v>0</v>
      </c>
      <c r="AA503" t="n">
        <v>84607.3</v>
      </c>
      <c r="AF503" t="n">
        <v>0</v>
      </c>
      <c r="AG503" t="n">
        <v>111002.3</v>
      </c>
      <c r="AH503" t="n">
        <v>2.902833708471052</v>
      </c>
      <c r="AJ503" t="n">
        <v>2.902833708471052</v>
      </c>
      <c r="AK503" t="n">
        <v>2.902833708471052</v>
      </c>
      <c r="AQ503" t="n">
        <v>111002.3</v>
      </c>
      <c r="AR503" t="n">
        <v>2.902833708471052</v>
      </c>
      <c r="AS503" t="n">
        <v>0.9341269039804764</v>
      </c>
      <c r="BL503" t="n">
        <v>1</v>
      </c>
      <c r="BM503" t="n">
        <v>34885</v>
      </c>
      <c r="BN503" t="n">
        <v>0</v>
      </c>
      <c r="BO503" t="n">
        <v>38055</v>
      </c>
      <c r="BP503" t="inlineStr">
        <is>
          <t>G,G</t>
        </is>
      </c>
      <c r="BQ503" t="inlineStr">
        <is>
          <t>Others</t>
        </is>
      </c>
      <c r="BS503" t="n">
        <v>3.406335101046295</v>
      </c>
      <c r="BT503" t="n">
        <v>0</v>
      </c>
      <c r="BV503" t="n">
        <v>3.406335101046295</v>
      </c>
      <c r="BY503" t="n">
        <v>118830</v>
      </c>
      <c r="BZ503" t="n">
        <v>3.406335101046295</v>
      </c>
      <c r="CP503" t="inlineStr">
        <is>
          <t>财会及报告管理部</t>
        </is>
      </c>
      <c r="CQ503" t="inlineStr">
        <is>
          <t>5,1</t>
        </is>
      </c>
      <c r="CR503" t="n">
        <v>10</v>
      </c>
      <c r="CS503" t="inlineStr">
        <is>
          <t>Others</t>
        </is>
      </c>
      <c r="CT503" t="inlineStr">
        <is>
          <t>N</t>
        </is>
      </c>
    </row>
    <row r="504">
      <c r="A504" t="inlineStr">
        <is>
          <t>margaretDai(戴畅畅)</t>
        </is>
      </c>
      <c r="C504" t="n">
        <v>9147896</v>
      </c>
      <c r="D504" t="inlineStr">
        <is>
          <t>审计监察</t>
        </is>
      </c>
      <c r="E504" t="inlineStr">
        <is>
          <t>审计中台及运营组</t>
        </is>
      </c>
      <c r="G504" t="inlineStr">
        <is>
          <t>S2职能系统－财经线/审计监察/审计中台及运营组</t>
        </is>
      </c>
      <c r="H504" s="188" t="n">
        <v>44148</v>
      </c>
      <c r="I504" t="inlineStr">
        <is>
          <t>社会招聘</t>
        </is>
      </c>
      <c r="J504" t="inlineStr">
        <is>
          <t>财经类－FN</t>
        </is>
      </c>
      <c r="K504" t="inlineStr">
        <is>
          <t>风险管理</t>
        </is>
      </c>
      <c r="L504" t="inlineStr">
        <is>
          <t>S7</t>
        </is>
      </c>
      <c r="N504" t="inlineStr">
        <is>
          <t>T2</t>
        </is>
      </c>
      <c r="Q504" t="inlineStr">
        <is>
          <t>G,G</t>
        </is>
      </c>
      <c r="U504" t="n">
        <v>41196.45</v>
      </c>
      <c r="V504" t="n">
        <v>0.083333</v>
      </c>
      <c r="W504" t="inlineStr">
        <is>
          <t>CNY</t>
        </is>
      </c>
      <c r="X504" t="n">
        <v>1</v>
      </c>
      <c r="Y504" t="n">
        <v>37744.05</v>
      </c>
      <c r="Z504" t="n">
        <v>0</v>
      </c>
      <c r="AA504" t="n">
        <v>82392.89999999999</v>
      </c>
      <c r="AF504" t="n">
        <v>0</v>
      </c>
      <c r="AG504" t="n">
        <v>125752.9</v>
      </c>
      <c r="AH504" t="n">
        <v>3.33172778225972</v>
      </c>
      <c r="AJ504" t="n">
        <v>3.33172778225972</v>
      </c>
      <c r="AK504" t="n">
        <v>3.33172778225972</v>
      </c>
      <c r="AQ504" t="n">
        <v>125752.9</v>
      </c>
      <c r="AR504" t="n">
        <v>3.33172778225972</v>
      </c>
      <c r="AS504" t="n">
        <v>0.9632178009268124</v>
      </c>
      <c r="BL504" t="n">
        <v>1</v>
      </c>
      <c r="BM504" t="n">
        <v>35165</v>
      </c>
      <c r="BN504" t="n">
        <v>0</v>
      </c>
      <c r="BO504" t="n">
        <v>38600</v>
      </c>
      <c r="BP504" t="inlineStr">
        <is>
          <t>U,O</t>
        </is>
      </c>
      <c r="BQ504" t="inlineStr">
        <is>
          <t>T2</t>
        </is>
      </c>
      <c r="BS504" t="n">
        <v>3.71264040949808</v>
      </c>
      <c r="BT504" t="n">
        <v>0</v>
      </c>
      <c r="BV504" t="n">
        <v>3.71264040949808</v>
      </c>
      <c r="BY504" t="n">
        <v>130555</v>
      </c>
      <c r="BZ504" t="n">
        <v>3.71264040949808</v>
      </c>
      <c r="CP504" t="inlineStr">
        <is>
          <t>审计监察</t>
        </is>
      </c>
      <c r="CQ504" t="inlineStr">
        <is>
          <t>3,3</t>
        </is>
      </c>
      <c r="CR504" t="n">
        <v>7</v>
      </c>
      <c r="CS504" t="inlineStr">
        <is>
          <t>T2</t>
        </is>
      </c>
      <c r="CT504" t="inlineStr">
        <is>
          <t>N</t>
        </is>
      </c>
    </row>
    <row r="505">
      <c r="A505" t="inlineStr">
        <is>
          <t>sophieShi(史梦)</t>
        </is>
      </c>
      <c r="C505" t="n">
        <v>48175124</v>
      </c>
      <c r="D505" t="inlineStr">
        <is>
          <t>反舞弊调查部</t>
        </is>
      </c>
      <c r="E505" t="inlineStr">
        <is>
          <t>反舞弊调查部</t>
        </is>
      </c>
      <c r="G505" t="inlineStr">
        <is>
          <t>S2职能系统－财经线/反舞弊调查部</t>
        </is>
      </c>
      <c r="H505" s="188" t="n">
        <v>38682</v>
      </c>
      <c r="I505" t="inlineStr">
        <is>
          <t>社会招聘</t>
        </is>
      </c>
      <c r="J505" t="inlineStr">
        <is>
          <t>财经类－FN</t>
        </is>
      </c>
      <c r="K505" t="inlineStr">
        <is>
          <t>风险管理</t>
        </is>
      </c>
      <c r="L505" t="inlineStr">
        <is>
          <t>S8</t>
        </is>
      </c>
      <c r="N505" t="inlineStr">
        <is>
          <t>T1</t>
        </is>
      </c>
      <c r="Q505" t="inlineStr">
        <is>
          <t>G,G</t>
        </is>
      </c>
      <c r="U505" t="n">
        <v>30730.05</v>
      </c>
      <c r="V505" t="n">
        <v>0.083333</v>
      </c>
      <c r="W505" t="inlineStr">
        <is>
          <t>CNY</t>
        </is>
      </c>
      <c r="X505" t="n">
        <v>1</v>
      </c>
      <c r="Y505" t="n">
        <v>28537.11</v>
      </c>
      <c r="Z505" t="n">
        <v>0</v>
      </c>
      <c r="AA505" t="n">
        <v>61460.1</v>
      </c>
      <c r="AF505" t="n">
        <v>0</v>
      </c>
      <c r="AG505" t="n">
        <v>173875.1</v>
      </c>
      <c r="AH505" t="n">
        <v>6.092947043341109</v>
      </c>
      <c r="AJ505" t="n">
        <v>6.092947043341109</v>
      </c>
      <c r="AK505" t="n">
        <v>4.554248835989349</v>
      </c>
      <c r="AQ505" t="n">
        <v>173875.1</v>
      </c>
      <c r="AR505" t="n">
        <v>6.092947043341109</v>
      </c>
      <c r="AS505" t="n">
        <v>1.414481187716087</v>
      </c>
      <c r="BL505" t="n">
        <v>1</v>
      </c>
      <c r="BM505" t="n">
        <v>27010</v>
      </c>
      <c r="BN505" t="n">
        <v>0</v>
      </c>
      <c r="BO505" t="n">
        <v>29150</v>
      </c>
      <c r="BP505" t="inlineStr">
        <is>
          <t>O,G</t>
        </is>
      </c>
      <c r="BQ505" t="inlineStr">
        <is>
          <t>Others</t>
        </is>
      </c>
      <c r="BS505" t="n">
        <v>4.551092188078489</v>
      </c>
      <c r="BT505" t="n">
        <v>0</v>
      </c>
      <c r="BV505" t="n">
        <v>4.551092188078489</v>
      </c>
      <c r="BY505" t="n">
        <v>122925</v>
      </c>
      <c r="BZ505" t="n">
        <v>4.551092188078489</v>
      </c>
      <c r="CP505" t="inlineStr">
        <is>
          <t>反舞弊调查部</t>
        </is>
      </c>
      <c r="CQ505" t="inlineStr">
        <is>
          <t>3,3</t>
        </is>
      </c>
      <c r="CR505" t="n">
        <v>8</v>
      </c>
      <c r="CS505" t="inlineStr">
        <is>
          <t>T1</t>
        </is>
      </c>
      <c r="CT505" t="inlineStr">
        <is>
          <t>N</t>
        </is>
      </c>
    </row>
    <row r="506">
      <c r="A506" t="inlineStr">
        <is>
          <t>benjaminDing(丁锋)</t>
        </is>
      </c>
      <c r="C506" t="n">
        <v>80461244</v>
      </c>
      <c r="D506" t="inlineStr">
        <is>
          <t>风险管理和内部控制</t>
        </is>
      </c>
      <c r="E506" t="inlineStr">
        <is>
          <t>风险管理和内部控制</t>
        </is>
      </c>
      <c r="G506" t="inlineStr">
        <is>
          <t>S2职能系统－财经线/风险管理和内部控制</t>
        </is>
      </c>
      <c r="H506" s="188" t="n">
        <v>38128</v>
      </c>
      <c r="I506" t="inlineStr">
        <is>
          <t>社会招聘</t>
        </is>
      </c>
      <c r="J506" t="inlineStr">
        <is>
          <t>财经类－FN</t>
        </is>
      </c>
      <c r="K506" t="inlineStr">
        <is>
          <t>风险管理</t>
        </is>
      </c>
      <c r="L506" t="inlineStr">
        <is>
          <t>S5</t>
        </is>
      </c>
      <c r="N506" t="inlineStr">
        <is>
          <t>T1</t>
        </is>
      </c>
      <c r="Q506" t="inlineStr">
        <is>
          <t>G,G</t>
        </is>
      </c>
      <c r="U506" t="n">
        <v>30164.2</v>
      </c>
      <c r="V506" t="n">
        <v>0.083333</v>
      </c>
      <c r="W506" t="inlineStr">
        <is>
          <t>CNY</t>
        </is>
      </c>
      <c r="X506" t="n">
        <v>1</v>
      </c>
      <c r="Y506" t="n">
        <v>27347.13</v>
      </c>
      <c r="Z506" t="n">
        <v>0</v>
      </c>
      <c r="AA506" t="n">
        <v>60328.4</v>
      </c>
      <c r="AF506" t="n">
        <v>0</v>
      </c>
      <c r="AG506" t="n">
        <v>174283.4</v>
      </c>
      <c r="AH506" t="n">
        <v>6.37300513801631</v>
      </c>
      <c r="AJ506" t="n">
        <v>6.37300513801631</v>
      </c>
      <c r="AK506" t="n">
        <v>4.952015074342353</v>
      </c>
      <c r="AQ506" t="n">
        <v>174283.4</v>
      </c>
      <c r="AR506" t="n">
        <v>6.37300513801631</v>
      </c>
      <c r="AS506" t="n">
        <v>1.175803002192612</v>
      </c>
      <c r="BL506" t="n">
        <v>1</v>
      </c>
      <c r="BM506" t="n">
        <v>25590</v>
      </c>
      <c r="BN506" t="n">
        <v>0</v>
      </c>
      <c r="BO506" t="n">
        <v>27270</v>
      </c>
      <c r="BP506" t="inlineStr">
        <is>
          <t>O,G</t>
        </is>
      </c>
      <c r="BQ506" t="inlineStr">
        <is>
          <t>T1</t>
        </is>
      </c>
      <c r="BS506" t="n">
        <v>4.490035169988277</v>
      </c>
      <c r="BT506" t="n">
        <v>33325</v>
      </c>
      <c r="BV506" t="n">
        <v>5.792301680343884</v>
      </c>
      <c r="BY506" t="n">
        <v>148225</v>
      </c>
      <c r="BZ506" t="n">
        <v>5.792301680343884</v>
      </c>
      <c r="CP506" t="inlineStr">
        <is>
          <t>风险管理和内部控制</t>
        </is>
      </c>
      <c r="CQ506" t="inlineStr">
        <is>
          <t>3,3</t>
        </is>
      </c>
      <c r="CR506" t="n">
        <v>5</v>
      </c>
      <c r="CS506" t="inlineStr">
        <is>
          <t>T1</t>
        </is>
      </c>
      <c r="CT506" t="inlineStr">
        <is>
          <t>N</t>
        </is>
      </c>
    </row>
    <row r="507">
      <c r="A507" t="inlineStr">
        <is>
          <t>kyleXiao(萧霖阳)</t>
        </is>
      </c>
      <c r="C507" t="n">
        <v>87318468</v>
      </c>
      <c r="D507" t="inlineStr">
        <is>
          <t>预算及职能系统财务管理部</t>
        </is>
      </c>
      <c r="E507" t="inlineStr">
        <is>
          <t>预算管理中心</t>
        </is>
      </c>
      <c r="G507" t="inlineStr">
        <is>
          <t>S2职能系统－财经线/预算及职能系统财务管理部/预算管理中心</t>
        </is>
      </c>
      <c r="H507" s="188" t="n">
        <v>37362</v>
      </c>
      <c r="I507" t="inlineStr">
        <is>
          <t>高校招聘</t>
        </is>
      </c>
      <c r="J507" t="inlineStr">
        <is>
          <t>财经类－FN</t>
        </is>
      </c>
      <c r="K507" t="inlineStr">
        <is>
          <t>预算管理</t>
        </is>
      </c>
      <c r="L507" t="inlineStr">
        <is>
          <t>S12</t>
        </is>
      </c>
      <c r="M507" t="inlineStr">
        <is>
          <t>L1-2</t>
        </is>
      </c>
      <c r="N507" t="inlineStr">
        <is>
          <t>T1</t>
        </is>
      </c>
      <c r="Q507" t="inlineStr">
        <is>
          <t>O,G</t>
        </is>
      </c>
      <c r="U507" t="n">
        <v>63784.95</v>
      </c>
      <c r="V507" t="n">
        <v>0.083333</v>
      </c>
      <c r="W507" t="inlineStr">
        <is>
          <t>CNY</t>
        </is>
      </c>
      <c r="X507" t="n">
        <v>1</v>
      </c>
      <c r="Y507" t="n">
        <v>60169.72</v>
      </c>
      <c r="Z507" t="n">
        <v>0</v>
      </c>
      <c r="AA507" t="n">
        <v>191354.85</v>
      </c>
      <c r="AF507" t="n">
        <v>52645</v>
      </c>
      <c r="AG507" t="n">
        <v>417984.85</v>
      </c>
      <c r="AH507" t="n">
        <v>6.946764086653552</v>
      </c>
      <c r="AJ507" t="n">
        <v>7.821705834762069</v>
      </c>
      <c r="AK507" t="n">
        <v>6.189323300823071</v>
      </c>
      <c r="AQ507" t="n">
        <v>470629.85</v>
      </c>
      <c r="AR507" t="n">
        <v>7.821705834762069</v>
      </c>
      <c r="AS507" t="n">
        <v>1.28638353992702</v>
      </c>
      <c r="BL507" t="n">
        <v>1</v>
      </c>
      <c r="BM507" t="n">
        <v>57020</v>
      </c>
      <c r="BN507" t="n">
        <v>0</v>
      </c>
      <c r="BO507" t="n">
        <v>57710</v>
      </c>
      <c r="BP507" t="inlineStr">
        <is>
          <t>G,O</t>
        </is>
      </c>
      <c r="BQ507" t="inlineStr">
        <is>
          <t>T1</t>
        </is>
      </c>
      <c r="BS507" t="n">
        <v>4.46939670291126</v>
      </c>
      <c r="BT507" t="n">
        <v>111010</v>
      </c>
      <c r="BV507" t="n">
        <v>6.416257453525079</v>
      </c>
      <c r="BY507" t="n">
        <v>365855</v>
      </c>
      <c r="BZ507" t="n">
        <v>6.416257453525079</v>
      </c>
      <c r="CP507" t="inlineStr">
        <is>
          <t>预算及职能系统财务管理部</t>
        </is>
      </c>
      <c r="CQ507" t="inlineStr">
        <is>
          <t>5,3</t>
        </is>
      </c>
      <c r="CR507" t="n">
        <v>12</v>
      </c>
      <c r="CS507" t="inlineStr">
        <is>
          <t>T1</t>
        </is>
      </c>
      <c r="CT507" t="inlineStr">
        <is>
          <t>N</t>
        </is>
      </c>
    </row>
    <row r="508">
      <c r="A508" t="inlineStr">
        <is>
          <t>katherineHao(郝燕)</t>
        </is>
      </c>
      <c r="C508" t="n">
        <v>80130486</v>
      </c>
      <c r="D508" t="inlineStr">
        <is>
          <t>财会及报告管理部</t>
        </is>
      </c>
      <c r="E508" t="inlineStr">
        <is>
          <t>财报中心</t>
        </is>
      </c>
      <c r="G508" t="inlineStr">
        <is>
          <t>S2职能系统－财经线/财会及报告管理部/财报中心</t>
        </is>
      </c>
      <c r="H508" s="188" t="n">
        <v>40518</v>
      </c>
      <c r="I508" t="inlineStr">
        <is>
          <t>高校招聘</t>
        </is>
      </c>
      <c r="J508" t="inlineStr">
        <is>
          <t>财经类－FN</t>
        </is>
      </c>
      <c r="K508" t="inlineStr">
        <is>
          <t>会计</t>
        </is>
      </c>
      <c r="L508" t="inlineStr">
        <is>
          <t>S11</t>
        </is>
      </c>
      <c r="N508" t="inlineStr">
        <is>
          <t>T1#</t>
        </is>
      </c>
      <c r="Q508" t="inlineStr">
        <is>
          <t>G,G</t>
        </is>
      </c>
      <c r="U508" t="n">
        <v>47413.8</v>
      </c>
      <c r="V508" t="n">
        <v>0.083333</v>
      </c>
      <c r="W508" t="inlineStr">
        <is>
          <t>CNY</t>
        </is>
      </c>
      <c r="X508" t="n">
        <v>1</v>
      </c>
      <c r="Y508" t="n">
        <v>46758.42</v>
      </c>
      <c r="Z508" t="n">
        <v>0</v>
      </c>
      <c r="AA508" t="n">
        <v>94827.60000000001</v>
      </c>
      <c r="AF508" t="n">
        <v>0</v>
      </c>
      <c r="AG508" t="n">
        <v>307802.6</v>
      </c>
      <c r="AH508" t="n">
        <v>6.582827221279076</v>
      </c>
      <c r="AJ508" t="n">
        <v>6.582827221279076</v>
      </c>
      <c r="AK508" t="n">
        <v>5.508047534540303</v>
      </c>
      <c r="AQ508" t="n">
        <v>307802.6</v>
      </c>
      <c r="AR508" t="n">
        <v>6.582827221279076</v>
      </c>
      <c r="AS508" t="n">
        <v>1.10100549067301</v>
      </c>
      <c r="BL508" t="n">
        <v>1</v>
      </c>
      <c r="BM508" t="n">
        <v>40590</v>
      </c>
      <c r="BN508" t="n">
        <v>0</v>
      </c>
      <c r="BO508" t="n">
        <v>43865</v>
      </c>
      <c r="BP508" t="inlineStr">
        <is>
          <t>G,G</t>
        </is>
      </c>
      <c r="BQ508" t="inlineStr">
        <is>
          <t>T1#</t>
        </is>
      </c>
      <c r="BS508" t="n">
        <v>5.781596452328159</v>
      </c>
      <c r="BT508" t="n">
        <v>44890</v>
      </c>
      <c r="BV508" t="n">
        <v>6.887533875338754</v>
      </c>
      <c r="BY508" t="n">
        <v>279565</v>
      </c>
      <c r="BZ508" t="n">
        <v>6.887533875338754</v>
      </c>
      <c r="CP508" t="inlineStr">
        <is>
          <t>财会及报告管理部</t>
        </is>
      </c>
      <c r="CQ508" t="inlineStr">
        <is>
          <t>3,3</t>
        </is>
      </c>
      <c r="CR508" t="n">
        <v>11</v>
      </c>
      <c r="CS508" t="inlineStr">
        <is>
          <t>T1#</t>
        </is>
      </c>
      <c r="CT508" t="inlineStr">
        <is>
          <t>N</t>
        </is>
      </c>
    </row>
    <row r="509">
      <c r="A509" t="inlineStr">
        <is>
          <t>albertZhong(钟亮)</t>
        </is>
      </c>
      <c r="C509" t="n">
        <v>6392125</v>
      </c>
      <c r="D509" t="inlineStr">
        <is>
          <t>财经投资并购及管理部</t>
        </is>
      </c>
      <c r="E509" t="inlineStr">
        <is>
          <t>行业及项目管理中心</t>
        </is>
      </c>
      <c r="G509" t="inlineStr">
        <is>
          <t>S2职能系统－财经线/财经投资并购及管理部/行业及项目管理中心</t>
        </is>
      </c>
      <c r="H509" s="188" t="n">
        <v>40563</v>
      </c>
      <c r="I509" t="inlineStr">
        <is>
          <t>社会招聘</t>
        </is>
      </c>
      <c r="J509" t="inlineStr">
        <is>
          <t>财经类－FN</t>
        </is>
      </c>
      <c r="K509" t="inlineStr">
        <is>
          <t>投资并购</t>
        </is>
      </c>
      <c r="L509" t="inlineStr">
        <is>
          <t>S11</t>
        </is>
      </c>
      <c r="N509" t="inlineStr">
        <is>
          <t>T1#</t>
        </is>
      </c>
      <c r="Q509" t="inlineStr">
        <is>
          <t>O,G</t>
        </is>
      </c>
      <c r="U509" t="n">
        <v>59455.8</v>
      </c>
      <c r="V509" t="n">
        <v>0.083333</v>
      </c>
      <c r="W509" t="inlineStr">
        <is>
          <t>CNY</t>
        </is>
      </c>
      <c r="X509" t="n">
        <v>1</v>
      </c>
      <c r="Y509" t="n">
        <v>57846.98</v>
      </c>
      <c r="Z509" t="n">
        <v>0</v>
      </c>
      <c r="AA509" t="n">
        <v>178367.4</v>
      </c>
      <c r="AF509" t="n">
        <v>0</v>
      </c>
      <c r="AG509" t="n">
        <v>457962.4</v>
      </c>
      <c r="AH509" t="n">
        <v>7.916790124566572</v>
      </c>
      <c r="AJ509" t="n">
        <v>7.916790124566572</v>
      </c>
      <c r="AK509" t="n">
        <v>6.663483556099212</v>
      </c>
      <c r="AQ509" t="n">
        <v>457962.4</v>
      </c>
      <c r="AR509" t="n">
        <v>7.916790124566572</v>
      </c>
      <c r="AS509" t="n">
        <v>1.57988891572084</v>
      </c>
      <c r="BL509" t="n">
        <v>1</v>
      </c>
      <c r="BM509" t="n">
        <v>51770</v>
      </c>
      <c r="BN509" t="n">
        <v>0</v>
      </c>
      <c r="BO509" t="n">
        <v>53130</v>
      </c>
      <c r="BP509" t="inlineStr">
        <is>
          <t>O,U</t>
        </is>
      </c>
      <c r="BQ509" t="inlineStr">
        <is>
          <t>T1#</t>
        </is>
      </c>
      <c r="BS509" t="n">
        <v>5.599188719335523</v>
      </c>
      <c r="BT509" t="n">
        <v>0</v>
      </c>
      <c r="BV509" t="n">
        <v>5.599188719335523</v>
      </c>
      <c r="BY509" t="n">
        <v>289870</v>
      </c>
      <c r="BZ509" t="n">
        <v>5.599188719335523</v>
      </c>
      <c r="CP509" t="inlineStr">
        <is>
          <t>财经投资并购及管理部</t>
        </is>
      </c>
      <c r="CQ509" t="inlineStr">
        <is>
          <t>5,3</t>
        </is>
      </c>
      <c r="CR509" t="n">
        <v>11</v>
      </c>
      <c r="CS509" t="inlineStr">
        <is>
          <t>T1#</t>
        </is>
      </c>
      <c r="CT509" t="inlineStr">
        <is>
          <t>N</t>
        </is>
      </c>
    </row>
    <row r="510">
      <c r="A510" t="inlineStr">
        <is>
          <t>allisonDeng(邓嘉)</t>
        </is>
      </c>
      <c r="C510" t="n">
        <v>65394538</v>
      </c>
      <c r="D510" t="inlineStr">
        <is>
          <t>CSIG财务管理</t>
        </is>
      </c>
      <c r="E510" t="inlineStr">
        <is>
          <t>产品财务管理中心</t>
        </is>
      </c>
      <c r="G510" t="inlineStr">
        <is>
          <t>S2职能系统－财经线/CSIG财务管理/产品财务管理中心</t>
        </is>
      </c>
      <c r="H510" s="188" t="n">
        <v>38811</v>
      </c>
      <c r="I510" t="inlineStr">
        <is>
          <t>社会招聘</t>
        </is>
      </c>
      <c r="J510" t="inlineStr">
        <is>
          <t>财经类－FN</t>
        </is>
      </c>
      <c r="K510" t="inlineStr">
        <is>
          <t>财务管理</t>
        </is>
      </c>
      <c r="L510" t="inlineStr">
        <is>
          <t>S8</t>
        </is>
      </c>
      <c r="N510" t="inlineStr">
        <is>
          <t>T1#</t>
        </is>
      </c>
      <c r="Q510" t="inlineStr">
        <is>
          <t>G,U</t>
        </is>
      </c>
      <c r="U510" t="n">
        <v>38148.6</v>
      </c>
      <c r="V510" t="n">
        <v>0.083333</v>
      </c>
      <c r="W510" t="inlineStr">
        <is>
          <t>CNY</t>
        </is>
      </c>
      <c r="X510" t="n">
        <v>1</v>
      </c>
      <c r="Y510" t="n">
        <v>36765.17</v>
      </c>
      <c r="Z510" t="n">
        <v>0</v>
      </c>
      <c r="AA510" t="n">
        <v>38148.6</v>
      </c>
      <c r="AF510" t="n">
        <v>0</v>
      </c>
      <c r="AG510" t="n">
        <v>163978.6</v>
      </c>
      <c r="AH510" t="n">
        <v>4.460161614919774</v>
      </c>
      <c r="AJ510" t="n">
        <v>4.460161614919774</v>
      </c>
      <c r="AK510" t="n">
        <v>4.460161614919774</v>
      </c>
      <c r="AQ510" t="n">
        <v>163978.6</v>
      </c>
      <c r="AR510" t="n">
        <v>4.460161614919774</v>
      </c>
      <c r="AS510" t="n">
        <v>0.5808355914492677</v>
      </c>
      <c r="BL510" t="n">
        <v>1</v>
      </c>
      <c r="BM510" t="n">
        <v>34240</v>
      </c>
      <c r="BN510" t="n">
        <v>0</v>
      </c>
      <c r="BO510" t="n">
        <v>37455</v>
      </c>
      <c r="BP510" t="inlineStr">
        <is>
          <t>O,G</t>
        </is>
      </c>
      <c r="BQ510" t="inlineStr">
        <is>
          <t>T1#</t>
        </is>
      </c>
      <c r="BS510" t="n">
        <v>7.016501168224299</v>
      </c>
      <c r="BT510" t="n">
        <v>42070</v>
      </c>
      <c r="BV510" t="n">
        <v>8.245181074766355</v>
      </c>
      <c r="BY510" t="n">
        <v>282315</v>
      </c>
      <c r="BZ510" t="n">
        <v>8.245181074766355</v>
      </c>
      <c r="CP510" t="inlineStr">
        <is>
          <t>CSIG财务管理</t>
        </is>
      </c>
      <c r="CQ510" t="inlineStr">
        <is>
          <t>3,1</t>
        </is>
      </c>
      <c r="CR510" t="n">
        <v>8</v>
      </c>
      <c r="CS510" t="inlineStr">
        <is>
          <t>T1#</t>
        </is>
      </c>
      <c r="CT510" t="inlineStr">
        <is>
          <t>N</t>
        </is>
      </c>
    </row>
    <row r="511">
      <c r="A511" t="inlineStr">
        <is>
          <t>blakeJin(金雄海)</t>
        </is>
      </c>
      <c r="C511" t="n">
        <v>33830689</v>
      </c>
      <c r="D511" t="inlineStr">
        <is>
          <t>风险管理和内部控制</t>
        </is>
      </c>
      <c r="E511" t="inlineStr">
        <is>
          <t>WXG风控中心</t>
        </is>
      </c>
      <c r="G511" t="inlineStr">
        <is>
          <t>S2职能系统－财经线/风险管理和内部控制/WXG风控中心</t>
        </is>
      </c>
      <c r="H511" s="188" t="n">
        <v>37197</v>
      </c>
      <c r="I511" t="inlineStr">
        <is>
          <t>高校招聘</t>
        </is>
      </c>
      <c r="J511" t="inlineStr">
        <is>
          <t>财经类－FN</t>
        </is>
      </c>
      <c r="K511" t="inlineStr">
        <is>
          <t>风险管理</t>
        </is>
      </c>
      <c r="M511" t="inlineStr">
        <is>
          <t>L2-1</t>
        </is>
      </c>
      <c r="N511" t="inlineStr">
        <is>
          <t>Others</t>
        </is>
      </c>
      <c r="Q511" t="inlineStr">
        <is>
          <t>O,G</t>
        </is>
      </c>
      <c r="U511" t="n">
        <v>46349.15</v>
      </c>
      <c r="V511" t="n">
        <v>0.083333</v>
      </c>
      <c r="W511" t="inlineStr">
        <is>
          <t>CNY</t>
        </is>
      </c>
      <c r="X511" t="n">
        <v>1</v>
      </c>
      <c r="Y511" t="n">
        <v>44254.49</v>
      </c>
      <c r="Z511" t="n">
        <v>0</v>
      </c>
      <c r="AA511" t="n">
        <v>139047.45</v>
      </c>
      <c r="AF511" t="n">
        <v>26440</v>
      </c>
      <c r="AG511" t="n">
        <v>168832.45</v>
      </c>
      <c r="AH511" t="n">
        <v>3.815035491313989</v>
      </c>
      <c r="AJ511" t="n">
        <v>4.412488992642329</v>
      </c>
      <c r="AK511" t="n">
        <v>4.412488992642329</v>
      </c>
      <c r="AQ511" t="n">
        <v>195272.45</v>
      </c>
      <c r="AR511" t="n">
        <v>4.412488992642329</v>
      </c>
      <c r="AS511" t="n">
        <v>2.211716502435157</v>
      </c>
      <c r="BL511" t="n">
        <v>1</v>
      </c>
      <c r="BM511" t="n">
        <v>40295</v>
      </c>
      <c r="BN511" t="n">
        <v>0</v>
      </c>
      <c r="BO511" t="n">
        <v>40590</v>
      </c>
      <c r="BP511" t="inlineStr">
        <is>
          <t>U,G</t>
        </is>
      </c>
      <c r="BQ511" t="inlineStr">
        <is>
          <t>Others</t>
        </is>
      </c>
      <c r="BS511" t="n">
        <v>2.191090706042933</v>
      </c>
      <c r="BT511" t="n">
        <v>0</v>
      </c>
      <c r="BV511" t="n">
        <v>2.191090706042933</v>
      </c>
      <c r="BY511" t="n">
        <v>88290</v>
      </c>
      <c r="BZ511" t="n">
        <v>2.191090706042933</v>
      </c>
      <c r="CP511" t="inlineStr">
        <is>
          <t>风险管理和内部控制</t>
        </is>
      </c>
      <c r="CQ511" t="inlineStr">
        <is>
          <t>5,3</t>
        </is>
      </c>
      <c r="CR511" t="inlineStr">
        <is>
          <t>L2-1</t>
        </is>
      </c>
      <c r="CS511" t="inlineStr">
        <is>
          <t>Others</t>
        </is>
      </c>
      <c r="CT511" t="inlineStr">
        <is>
          <t>N</t>
        </is>
      </c>
    </row>
    <row r="512">
      <c r="A512" t="inlineStr">
        <is>
          <t>judyHe(何曼)</t>
        </is>
      </c>
      <c r="C512" t="n">
        <v>34374074</v>
      </c>
      <c r="D512" t="inlineStr">
        <is>
          <t>在线视频财务管理中心</t>
        </is>
      </c>
      <c r="E512" t="inlineStr">
        <is>
          <t>OVB长视频财务管理组</t>
        </is>
      </c>
      <c r="G512" t="inlineStr">
        <is>
          <t>S2职能系统－财经线/在线视频财务管理中心/OVB长视频财务管理组</t>
        </is>
      </c>
      <c r="H512" s="188" t="n">
        <v>42250</v>
      </c>
      <c r="I512" t="inlineStr">
        <is>
          <t>社会招聘</t>
        </is>
      </c>
      <c r="J512" t="inlineStr">
        <is>
          <t>财经类－FN</t>
        </is>
      </c>
      <c r="K512" t="inlineStr">
        <is>
          <t>财务管理</t>
        </is>
      </c>
      <c r="L512" t="inlineStr">
        <is>
          <t>S9</t>
        </is>
      </c>
      <c r="N512" t="inlineStr">
        <is>
          <t>T1</t>
        </is>
      </c>
      <c r="Q512" t="inlineStr">
        <is>
          <t>G,U</t>
        </is>
      </c>
      <c r="U512" t="n">
        <v>45220.05</v>
      </c>
      <c r="V512" t="n">
        <v>0.083333</v>
      </c>
      <c r="W512" t="inlineStr">
        <is>
          <t>CNY</t>
        </is>
      </c>
      <c r="X512" t="n">
        <v>1</v>
      </c>
      <c r="Y512" t="n">
        <v>41586.47</v>
      </c>
      <c r="Z512" t="n">
        <v>0</v>
      </c>
      <c r="AA512" t="n">
        <v>45220.05</v>
      </c>
      <c r="AF512" t="n">
        <v>0</v>
      </c>
      <c r="AG512" t="n">
        <v>157305.05</v>
      </c>
      <c r="AH512" t="n">
        <v>3.782601649045951</v>
      </c>
      <c r="AJ512" t="n">
        <v>3.782601649045951</v>
      </c>
      <c r="AK512" t="n">
        <v>3.782601649045951</v>
      </c>
      <c r="AQ512" t="n">
        <v>157305.05</v>
      </c>
      <c r="AR512" t="n">
        <v>3.782601649045951</v>
      </c>
      <c r="AS512" t="n">
        <v>0.817763828238719</v>
      </c>
      <c r="BL512" t="n">
        <v>1</v>
      </c>
      <c r="BM512" t="n">
        <v>40125</v>
      </c>
      <c r="BN512" t="n">
        <v>0</v>
      </c>
      <c r="BO512" t="n">
        <v>41110</v>
      </c>
      <c r="BP512" t="inlineStr">
        <is>
          <t>G,G</t>
        </is>
      </c>
      <c r="BQ512" t="inlineStr">
        <is>
          <t>T1</t>
        </is>
      </c>
      <c r="BS512" t="n">
        <v>3.572461059190031</v>
      </c>
      <c r="BT512" t="n">
        <v>49015</v>
      </c>
      <c r="BV512" t="n">
        <v>4.794018691588785</v>
      </c>
      <c r="BY512" t="n">
        <v>192360</v>
      </c>
      <c r="BZ512" t="n">
        <v>4.794018691588785</v>
      </c>
      <c r="CP512" t="inlineStr">
        <is>
          <t>在线视频财务管理中心</t>
        </is>
      </c>
      <c r="CQ512" t="inlineStr">
        <is>
          <t>3,1</t>
        </is>
      </c>
      <c r="CR512" t="n">
        <v>9</v>
      </c>
      <c r="CS512" t="inlineStr">
        <is>
          <t>T1</t>
        </is>
      </c>
      <c r="CT512" t="inlineStr">
        <is>
          <t>N</t>
        </is>
      </c>
    </row>
    <row r="513">
      <c r="A513" t="inlineStr">
        <is>
          <t>geraldLiang(梁刚哲)</t>
        </is>
      </c>
      <c r="C513" t="n">
        <v>33587120</v>
      </c>
      <c r="D513" t="inlineStr">
        <is>
          <t>财经IT管理部</t>
        </is>
      </c>
      <c r="E513" t="inlineStr">
        <is>
          <t>公共支持中心</t>
        </is>
      </c>
      <c r="G513" t="inlineStr">
        <is>
          <t>S2职能系统－财经线/财经IT管理部/公共支持中心</t>
        </is>
      </c>
      <c r="H513" s="188" t="n">
        <v>43049</v>
      </c>
      <c r="I513" t="inlineStr">
        <is>
          <t>社会招聘</t>
        </is>
      </c>
      <c r="J513" t="inlineStr">
        <is>
          <t>技术研发类－TRD</t>
        </is>
      </c>
      <c r="K513" t="inlineStr">
        <is>
          <t>应用开发</t>
        </is>
      </c>
      <c r="L513" t="inlineStr">
        <is>
          <t>T10</t>
        </is>
      </c>
      <c r="N513" t="inlineStr">
        <is>
          <t>T2</t>
        </is>
      </c>
      <c r="Q513" t="inlineStr">
        <is>
          <t>G,G</t>
        </is>
      </c>
      <c r="U513" t="n">
        <v>43421.2</v>
      </c>
      <c r="V513" t="n">
        <v>0.083333</v>
      </c>
      <c r="W513" t="inlineStr">
        <is>
          <t>CNY</t>
        </is>
      </c>
      <c r="X513" t="n">
        <v>1</v>
      </c>
      <c r="Y513" t="n">
        <v>42275.29</v>
      </c>
      <c r="Z513" t="n">
        <v>0</v>
      </c>
      <c r="AA513" t="n">
        <v>86842.39999999999</v>
      </c>
      <c r="AF513" t="n">
        <v>0</v>
      </c>
      <c r="AG513" t="n">
        <v>141407.4</v>
      </c>
      <c r="AH513" t="n">
        <v>3.344918509133822</v>
      </c>
      <c r="AJ513" t="n">
        <v>3.344918509133822</v>
      </c>
      <c r="AK513" t="n">
        <v>3.344918509133822</v>
      </c>
      <c r="AQ513" t="n">
        <v>141407.4</v>
      </c>
      <c r="AR513" t="n">
        <v>3.344918509133822</v>
      </c>
      <c r="AS513" t="n">
        <v>0.8423876329193101</v>
      </c>
      <c r="BL513" t="n">
        <v>1</v>
      </c>
      <c r="BM513" t="n">
        <v>37310</v>
      </c>
      <c r="BN513" t="n">
        <v>0</v>
      </c>
      <c r="BO513" t="n">
        <v>39965</v>
      </c>
      <c r="BP513" t="inlineStr">
        <is>
          <t>G,O</t>
        </is>
      </c>
      <c r="BQ513" t="inlineStr">
        <is>
          <t>T2</t>
        </is>
      </c>
      <c r="BS513" t="n">
        <v>4.499195926025195</v>
      </c>
      <c r="BT513" t="n">
        <v>0</v>
      </c>
      <c r="BV513" t="n">
        <v>4.499195926025195</v>
      </c>
      <c r="BY513" t="n">
        <v>167865</v>
      </c>
      <c r="BZ513" t="n">
        <v>4.499195926025195</v>
      </c>
      <c r="CP513" t="inlineStr">
        <is>
          <t>财经IT管理部</t>
        </is>
      </c>
      <c r="CQ513" t="inlineStr">
        <is>
          <t>3,3</t>
        </is>
      </c>
      <c r="CR513" t="n">
        <v>10</v>
      </c>
      <c r="CS513" t="inlineStr">
        <is>
          <t>T2</t>
        </is>
      </c>
      <c r="CT513" t="inlineStr">
        <is>
          <t>N</t>
        </is>
      </c>
    </row>
    <row r="514">
      <c r="A514" t="inlineStr">
        <is>
          <t>skylarFan(范晴)</t>
        </is>
      </c>
      <c r="C514" t="n">
        <v>45885817</v>
      </c>
      <c r="D514" t="inlineStr">
        <is>
          <t>财会及报告管理部</t>
        </is>
      </c>
      <c r="E514" t="inlineStr">
        <is>
          <t>账务中心</t>
        </is>
      </c>
      <c r="G514" t="inlineStr">
        <is>
          <t>S2职能系统－财经线/财会及报告管理部/账务中心</t>
        </is>
      </c>
      <c r="H514" s="188" t="n">
        <v>45613</v>
      </c>
      <c r="I514" t="inlineStr">
        <is>
          <t>社会招聘</t>
        </is>
      </c>
      <c r="J514" t="inlineStr">
        <is>
          <t>财经类－FN</t>
        </is>
      </c>
      <c r="K514" t="inlineStr">
        <is>
          <t>会计</t>
        </is>
      </c>
      <c r="L514" t="inlineStr">
        <is>
          <t>S8</t>
        </is>
      </c>
      <c r="N514" t="inlineStr">
        <is>
          <t>T1</t>
        </is>
      </c>
      <c r="Q514" t="inlineStr">
        <is>
          <t>N,N</t>
        </is>
      </c>
      <c r="U514" t="n">
        <v>45632.6</v>
      </c>
      <c r="V514" t="n">
        <v>0.083333</v>
      </c>
      <c r="W514" t="inlineStr">
        <is>
          <t>CNY</t>
        </is>
      </c>
      <c r="X514" t="n">
        <v>0.120548</v>
      </c>
      <c r="Y514" t="n">
        <v>45632.6</v>
      </c>
      <c r="Z514" t="n">
        <v>0</v>
      </c>
      <c r="AA514" t="n">
        <v>5500.92</v>
      </c>
      <c r="AF514" t="n">
        <v>0</v>
      </c>
      <c r="AG514" t="n">
        <v>5500.92</v>
      </c>
      <c r="AH514" t="n">
        <v>0.1205480292597836</v>
      </c>
      <c r="AJ514" t="n">
        <v>0.1205480292597836</v>
      </c>
      <c r="AK514" t="n">
        <v>0.1205480292597836</v>
      </c>
      <c r="AQ514" t="n">
        <v>5500.92</v>
      </c>
      <c r="AR514" t="n">
        <v>0.1205480292597836</v>
      </c>
      <c r="BM514" t="n">
        <v>0</v>
      </c>
      <c r="BN514" t="n">
        <v>0</v>
      </c>
      <c r="BO514" t="n">
        <v>0</v>
      </c>
      <c r="BT514" t="n">
        <v>0</v>
      </c>
      <c r="BY514" t="n">
        <v>0</v>
      </c>
      <c r="CP514" t="inlineStr">
        <is>
          <t>财会及报告管理部</t>
        </is>
      </c>
      <c r="CR514" t="n">
        <v>8</v>
      </c>
      <c r="CS514" t="inlineStr">
        <is>
          <t>T1</t>
        </is>
      </c>
      <c r="CT514" t="inlineStr">
        <is>
          <t>N</t>
        </is>
      </c>
    </row>
    <row r="515">
      <c r="A515" t="inlineStr">
        <is>
          <t>loganChen(陈豪)</t>
        </is>
      </c>
      <c r="C515" t="n">
        <v>55310147</v>
      </c>
      <c r="D515" t="inlineStr">
        <is>
          <t>税务部</t>
        </is>
      </c>
      <c r="E515" t="inlineStr">
        <is>
          <t>印章及文档管理组</t>
        </is>
      </c>
      <c r="G515" t="inlineStr">
        <is>
          <t>S2职能系统－财经线/税务部/印章及文档管理组</t>
        </is>
      </c>
      <c r="H515" s="188" t="n">
        <v>37367</v>
      </c>
      <c r="I515" t="inlineStr">
        <is>
          <t>社会招聘</t>
        </is>
      </c>
      <c r="J515" t="inlineStr">
        <is>
          <t>财经类－FN</t>
        </is>
      </c>
      <c r="K515" t="inlineStr">
        <is>
          <t>税务</t>
        </is>
      </c>
      <c r="L515" t="inlineStr">
        <is>
          <t>S8</t>
        </is>
      </c>
      <c r="N515" t="inlineStr">
        <is>
          <t>T1</t>
        </is>
      </c>
      <c r="Q515" t="inlineStr">
        <is>
          <t>G,O</t>
        </is>
      </c>
      <c r="U515" t="n">
        <v>36153.7</v>
      </c>
      <c r="V515" t="n">
        <v>0.083333</v>
      </c>
      <c r="W515" t="inlineStr">
        <is>
          <t>CNY</t>
        </is>
      </c>
      <c r="X515" t="n">
        <v>1</v>
      </c>
      <c r="Y515" t="n">
        <v>33528.51</v>
      </c>
      <c r="Z515" t="n">
        <v>0</v>
      </c>
      <c r="AA515" t="n">
        <v>108461.1</v>
      </c>
      <c r="AF515" t="n">
        <v>0</v>
      </c>
      <c r="AG515" t="n">
        <v>257441.1</v>
      </c>
      <c r="AH515" t="n">
        <v>7.678274399906229</v>
      </c>
      <c r="AJ515" t="n">
        <v>7.678274399906229</v>
      </c>
      <c r="AK515" t="n">
        <v>5.728441257902603</v>
      </c>
      <c r="AQ515" t="n">
        <v>257441.1</v>
      </c>
      <c r="AR515" t="n">
        <v>7.678274399906229</v>
      </c>
      <c r="AS515" t="n">
        <v>1.472564564564565</v>
      </c>
      <c r="BL515" t="n">
        <v>1</v>
      </c>
      <c r="BM515" t="n">
        <v>32165</v>
      </c>
      <c r="BN515" t="n">
        <v>0</v>
      </c>
      <c r="BO515" t="n">
        <v>34350</v>
      </c>
      <c r="BP515" t="inlineStr">
        <is>
          <t>G,G</t>
        </is>
      </c>
      <c r="BQ515" t="inlineStr">
        <is>
          <t>T1</t>
        </is>
      </c>
      <c r="BS515" t="n">
        <v>3.445359863205347</v>
      </c>
      <c r="BT515" t="n">
        <v>64005</v>
      </c>
      <c r="BV515" t="n">
        <v>5.435255712731229</v>
      </c>
      <c r="BY515" t="n">
        <v>174825</v>
      </c>
      <c r="BZ515" t="n">
        <v>5.435255712731229</v>
      </c>
      <c r="CP515" t="inlineStr">
        <is>
          <t>税务部</t>
        </is>
      </c>
      <c r="CQ515" t="inlineStr">
        <is>
          <t>5,3</t>
        </is>
      </c>
      <c r="CR515" t="n">
        <v>8</v>
      </c>
      <c r="CS515" t="inlineStr">
        <is>
          <t>T1</t>
        </is>
      </c>
      <c r="CT515" t="inlineStr">
        <is>
          <t>N</t>
        </is>
      </c>
    </row>
    <row r="516">
      <c r="A516" t="inlineStr">
        <is>
          <t>jerryYan(严成)</t>
        </is>
      </c>
      <c r="C516" t="n">
        <v>94388175</v>
      </c>
      <c r="D516" t="inlineStr">
        <is>
          <t>财经IT管理部</t>
        </is>
      </c>
      <c r="E516" t="inlineStr">
        <is>
          <t>国际业务支持中心</t>
        </is>
      </c>
      <c r="G516" t="inlineStr">
        <is>
          <t>S2职能系统－财经线/财经IT管理部/国际业务支持中心</t>
        </is>
      </c>
      <c r="H516" s="188" t="n">
        <v>44857</v>
      </c>
      <c r="I516" t="inlineStr">
        <is>
          <t>社会招聘</t>
        </is>
      </c>
      <c r="J516" t="inlineStr">
        <is>
          <t>技术研发类－TRD</t>
        </is>
      </c>
      <c r="K516" t="inlineStr">
        <is>
          <t>应用开发</t>
        </is>
      </c>
      <c r="L516" t="inlineStr">
        <is>
          <t>T7</t>
        </is>
      </c>
      <c r="N516" t="inlineStr">
        <is>
          <t>T2</t>
        </is>
      </c>
      <c r="Q516" t="inlineStr">
        <is>
          <t>O,G</t>
        </is>
      </c>
      <c r="U516" t="n">
        <v>42740.8</v>
      </c>
      <c r="V516" t="n">
        <v>0.083333</v>
      </c>
      <c r="W516" t="inlineStr">
        <is>
          <t>CNY</t>
        </is>
      </c>
      <c r="X516" t="n">
        <v>1</v>
      </c>
      <c r="Y516" t="n">
        <v>41244.85</v>
      </c>
      <c r="Z516" t="n">
        <v>0</v>
      </c>
      <c r="AA516" t="n">
        <v>128222.4</v>
      </c>
      <c r="AF516" t="n">
        <v>0</v>
      </c>
      <c r="AG516" t="n">
        <v>183052.4</v>
      </c>
      <c r="AH516" t="n">
        <v>4.438188040446262</v>
      </c>
      <c r="AJ516" t="n">
        <v>4.438188040446262</v>
      </c>
      <c r="AK516" t="n">
        <v>4.438188040446262</v>
      </c>
      <c r="AQ516" t="n">
        <v>183052.4</v>
      </c>
      <c r="AR516" t="n">
        <v>4.438188040446262</v>
      </c>
      <c r="AS516" t="n">
        <v>1.484549693848587</v>
      </c>
      <c r="BL516" t="n">
        <v>1</v>
      </c>
      <c r="BM516" t="n">
        <v>34550</v>
      </c>
      <c r="BN516" t="n">
        <v>0</v>
      </c>
      <c r="BO516" t="n">
        <v>37905</v>
      </c>
      <c r="BP516" t="inlineStr">
        <is>
          <t>G,G</t>
        </is>
      </c>
      <c r="BQ516" t="inlineStr">
        <is>
          <t>T2</t>
        </is>
      </c>
      <c r="BS516" t="n">
        <v>3.568885672937771</v>
      </c>
      <c r="BT516" t="n">
        <v>0</v>
      </c>
      <c r="BV516" t="n">
        <v>3.568885672937771</v>
      </c>
      <c r="BY516" t="n">
        <v>123305</v>
      </c>
      <c r="BZ516" t="n">
        <v>3.568885672937771</v>
      </c>
      <c r="CP516" t="inlineStr">
        <is>
          <t>财经IT管理部</t>
        </is>
      </c>
      <c r="CQ516" t="inlineStr">
        <is>
          <t>5,3</t>
        </is>
      </c>
      <c r="CR516" t="n">
        <v>7</v>
      </c>
      <c r="CS516" t="inlineStr">
        <is>
          <t>T2</t>
        </is>
      </c>
      <c r="CT516" t="inlineStr">
        <is>
          <t>N</t>
        </is>
      </c>
    </row>
    <row r="517">
      <c r="A517" t="inlineStr">
        <is>
          <t>randyJiang(江龙)</t>
        </is>
      </c>
      <c r="C517" t="n">
        <v>46422101</v>
      </c>
      <c r="D517" t="inlineStr">
        <is>
          <t>FiT财务管理</t>
        </is>
      </c>
      <c r="E517" t="inlineStr">
        <is>
          <t>结算支持中心</t>
        </is>
      </c>
      <c r="G517" t="inlineStr">
        <is>
          <t>S2职能系统－财经线/FiT财务管理/结算支持中心</t>
        </is>
      </c>
      <c r="H517" s="188" t="n">
        <v>36423</v>
      </c>
      <c r="I517" t="inlineStr">
        <is>
          <t>社会招聘</t>
        </is>
      </c>
      <c r="J517" t="inlineStr">
        <is>
          <t>财经类－FN</t>
        </is>
      </c>
      <c r="K517" t="inlineStr">
        <is>
          <t>财务管理</t>
        </is>
      </c>
      <c r="L517" t="inlineStr">
        <is>
          <t>S8</t>
        </is>
      </c>
      <c r="N517" t="inlineStr">
        <is>
          <t>T1</t>
        </is>
      </c>
      <c r="Q517" t="inlineStr">
        <is>
          <t>O,U</t>
        </is>
      </c>
      <c r="U517" t="n">
        <v>47858</v>
      </c>
      <c r="V517" t="n">
        <v>0.083333</v>
      </c>
      <c r="W517" t="inlineStr">
        <is>
          <t>CNY</t>
        </is>
      </c>
      <c r="X517" t="n">
        <v>1</v>
      </c>
      <c r="Y517" t="n">
        <v>45205.59</v>
      </c>
      <c r="Z517" t="n">
        <v>0</v>
      </c>
      <c r="AA517" t="n">
        <v>95716</v>
      </c>
      <c r="AF517" t="n">
        <v>0</v>
      </c>
      <c r="AG517" t="n">
        <v>194641</v>
      </c>
      <c r="AH517" t="n">
        <v>4.30568431912956</v>
      </c>
      <c r="AJ517" t="n">
        <v>4.30568431912956</v>
      </c>
      <c r="AK517" t="n">
        <v>4.30568431912956</v>
      </c>
      <c r="AQ517" t="n">
        <v>194641</v>
      </c>
      <c r="AR517" t="n">
        <v>4.30568431912956</v>
      </c>
      <c r="AS517" t="n">
        <v>1.114080476217732</v>
      </c>
      <c r="BL517" t="n">
        <v>1</v>
      </c>
      <c r="BM517" t="n">
        <v>40340</v>
      </c>
      <c r="BN517" t="n">
        <v>0</v>
      </c>
      <c r="BO517" t="n">
        <v>42175</v>
      </c>
      <c r="BP517" t="inlineStr">
        <is>
          <t>G,O</t>
        </is>
      </c>
      <c r="BQ517" t="inlineStr">
        <is>
          <t>T2</t>
        </is>
      </c>
      <c r="BS517" t="n">
        <v>4.330937035200793</v>
      </c>
      <c r="BT517" t="n">
        <v>0</v>
      </c>
      <c r="BV517" t="n">
        <v>4.330937035200793</v>
      </c>
      <c r="BY517" t="n">
        <v>174710</v>
      </c>
      <c r="BZ517" t="n">
        <v>4.330937035200793</v>
      </c>
      <c r="CP517" t="inlineStr">
        <is>
          <t>FiT财务管理</t>
        </is>
      </c>
      <c r="CQ517" t="inlineStr">
        <is>
          <t>5,1</t>
        </is>
      </c>
      <c r="CR517" t="n">
        <v>8</v>
      </c>
      <c r="CS517" t="inlineStr">
        <is>
          <t>T1</t>
        </is>
      </c>
      <c r="CT517" t="inlineStr">
        <is>
          <t>N</t>
        </is>
      </c>
    </row>
    <row r="518">
      <c r="A518" t="inlineStr">
        <is>
          <t>elenaLiu(刘蓉诗)</t>
        </is>
      </c>
      <c r="C518" t="n">
        <v>14404904</v>
      </c>
      <c r="D518" t="inlineStr">
        <is>
          <t>CSIG财务管理</t>
        </is>
      </c>
      <c r="E518" t="inlineStr">
        <is>
          <t>行业财务管理2中心</t>
        </is>
      </c>
      <c r="G518" t="inlineStr">
        <is>
          <t>S2职能系统－财经线/CSIG财务管理/行业财务管理2中心</t>
        </is>
      </c>
      <c r="H518" s="188" t="n">
        <v>38368</v>
      </c>
      <c r="I518" t="inlineStr">
        <is>
          <t>社会招聘</t>
        </is>
      </c>
      <c r="J518" t="inlineStr">
        <is>
          <t>财经类－FN</t>
        </is>
      </c>
      <c r="K518" t="inlineStr">
        <is>
          <t>财务管理</t>
        </is>
      </c>
      <c r="L518" t="inlineStr">
        <is>
          <t>S6</t>
        </is>
      </c>
      <c r="N518" t="inlineStr">
        <is>
          <t>Others</t>
        </is>
      </c>
      <c r="Q518" t="inlineStr">
        <is>
          <t>O,G</t>
        </is>
      </c>
      <c r="U518" t="n">
        <v>22043.5</v>
      </c>
      <c r="V518" t="n">
        <v>0.083333</v>
      </c>
      <c r="W518" t="inlineStr">
        <is>
          <t>CNY</t>
        </is>
      </c>
      <c r="X518" t="n">
        <v>1</v>
      </c>
      <c r="Y518" t="n">
        <v>20208.5</v>
      </c>
      <c r="Z518" t="n">
        <v>0</v>
      </c>
      <c r="AA518" t="n">
        <v>66130.5</v>
      </c>
      <c r="AF518" t="n">
        <v>0</v>
      </c>
      <c r="AG518" t="n">
        <v>85110.5</v>
      </c>
      <c r="AH518" t="n">
        <v>4.211618873246406</v>
      </c>
      <c r="AJ518" t="n">
        <v>4.211618873246406</v>
      </c>
      <c r="AK518" t="n">
        <v>4.211618873246406</v>
      </c>
      <c r="AQ518" t="n">
        <v>85110.5</v>
      </c>
      <c r="AR518" t="n">
        <v>4.211618873246406</v>
      </c>
      <c r="AS518" t="n">
        <v>1.291803900736131</v>
      </c>
      <c r="BL518" t="n">
        <v>1</v>
      </c>
      <c r="BM518" t="n">
        <v>18655</v>
      </c>
      <c r="BN518" t="n">
        <v>0</v>
      </c>
      <c r="BO518" t="n">
        <v>19140</v>
      </c>
      <c r="BP518" t="inlineStr">
        <is>
          <t>G,G</t>
        </is>
      </c>
      <c r="BQ518" t="inlineStr">
        <is>
          <t>Others</t>
        </is>
      </c>
      <c r="BS518" t="n">
        <v>3.531760922004824</v>
      </c>
      <c r="BT518" t="n">
        <v>0</v>
      </c>
      <c r="BV518" t="n">
        <v>3.531760922004824</v>
      </c>
      <c r="BY518" t="n">
        <v>65885</v>
      </c>
      <c r="BZ518" t="n">
        <v>3.531760922004824</v>
      </c>
      <c r="CP518" t="inlineStr">
        <is>
          <t>CSIG财务管理</t>
        </is>
      </c>
      <c r="CQ518" t="inlineStr">
        <is>
          <t>5,3</t>
        </is>
      </c>
      <c r="CR518" t="n">
        <v>6</v>
      </c>
      <c r="CS518" t="inlineStr">
        <is>
          <t>Others</t>
        </is>
      </c>
      <c r="CT518" t="inlineStr">
        <is>
          <t>N</t>
        </is>
      </c>
    </row>
    <row r="519">
      <c r="A519" t="inlineStr">
        <is>
          <t>roseYe(叶英)</t>
        </is>
      </c>
      <c r="C519" t="n">
        <v>56477306</v>
      </c>
      <c r="D519" t="inlineStr">
        <is>
          <t>PCG财务管理</t>
        </is>
      </c>
      <c r="E519" t="inlineStr">
        <is>
          <t>新闻财务管理组</t>
        </is>
      </c>
      <c r="G519" t="inlineStr">
        <is>
          <t>S2职能系统－财经线/PCG财务管理/新闻财务管理组</t>
        </is>
      </c>
      <c r="H519" s="188" t="n">
        <v>41718</v>
      </c>
      <c r="I519" t="inlineStr">
        <is>
          <t>社会招聘</t>
        </is>
      </c>
      <c r="J519" t="inlineStr">
        <is>
          <t>财经类－FN</t>
        </is>
      </c>
      <c r="K519" t="inlineStr">
        <is>
          <t>财务管理</t>
        </is>
      </c>
      <c r="L519" t="inlineStr">
        <is>
          <t>S8</t>
        </is>
      </c>
      <c r="N519" t="inlineStr">
        <is>
          <t>T1</t>
        </is>
      </c>
      <c r="Q519" t="inlineStr">
        <is>
          <t>G,G</t>
        </is>
      </c>
      <c r="U519" t="n">
        <v>28470.7</v>
      </c>
      <c r="V519" t="n">
        <v>0.083333</v>
      </c>
      <c r="W519" t="inlineStr">
        <is>
          <t>CNY</t>
        </is>
      </c>
      <c r="X519" t="n">
        <v>1</v>
      </c>
      <c r="Y519" t="n">
        <v>26283.23</v>
      </c>
      <c r="Z519" t="n">
        <v>0</v>
      </c>
      <c r="AA519" t="n">
        <v>56941.4</v>
      </c>
      <c r="AF519" t="n">
        <v>0</v>
      </c>
      <c r="AG519" t="n">
        <v>161071.4</v>
      </c>
      <c r="AH519" t="n">
        <v>6.128295494884</v>
      </c>
      <c r="AJ519" t="n">
        <v>6.128295494884</v>
      </c>
      <c r="AK519" t="n">
        <v>4.470584475347969</v>
      </c>
      <c r="AQ519" t="n">
        <v>161071.4</v>
      </c>
      <c r="AR519" t="n">
        <v>6.128295494884</v>
      </c>
      <c r="AS519" t="n">
        <v>2.490666460491727</v>
      </c>
      <c r="BL519" t="n">
        <v>1</v>
      </c>
      <c r="BM519" t="n">
        <v>25140</v>
      </c>
      <c r="BN519" t="n">
        <v>0</v>
      </c>
      <c r="BO519" t="n">
        <v>26220</v>
      </c>
      <c r="BP519" t="inlineStr">
        <is>
          <t>U,G</t>
        </is>
      </c>
      <c r="BQ519" t="inlineStr">
        <is>
          <t>T1</t>
        </is>
      </c>
      <c r="BS519" t="n">
        <v>2.572394590294352</v>
      </c>
      <c r="BT519" t="n">
        <v>0</v>
      </c>
      <c r="BV519" t="n">
        <v>2.572394590294352</v>
      </c>
      <c r="BY519" t="n">
        <v>64670</v>
      </c>
      <c r="BZ519" t="n">
        <v>2.572394590294352</v>
      </c>
      <c r="CP519" t="inlineStr">
        <is>
          <t>PCG财务管理</t>
        </is>
      </c>
      <c r="CQ519" t="inlineStr">
        <is>
          <t>3,3</t>
        </is>
      </c>
      <c r="CR519" t="n">
        <v>8</v>
      </c>
      <c r="CS519" t="inlineStr">
        <is>
          <t>T1</t>
        </is>
      </c>
      <c r="CT519" t="inlineStr">
        <is>
          <t>N</t>
        </is>
      </c>
    </row>
    <row r="520">
      <c r="A520" t="inlineStr">
        <is>
          <t>royLong(龙宏炜)</t>
        </is>
      </c>
      <c r="C520" t="n">
        <v>43828729</v>
      </c>
      <c r="D520" t="inlineStr">
        <is>
          <t>IEG财务管理</t>
        </is>
      </c>
      <c r="E520" t="inlineStr">
        <is>
          <t>IEG财务管理</t>
        </is>
      </c>
      <c r="G520" t="inlineStr">
        <is>
          <t>S2职能系统－财经线/IEG财务管理</t>
        </is>
      </c>
      <c r="H520" s="188" t="n">
        <v>41938</v>
      </c>
      <c r="I520" t="inlineStr">
        <is>
          <t>社会招聘</t>
        </is>
      </c>
      <c r="J520" t="inlineStr">
        <is>
          <t>财经类－FN</t>
        </is>
      </c>
      <c r="K520" t="inlineStr">
        <is>
          <t>财务管理</t>
        </is>
      </c>
      <c r="L520" t="inlineStr">
        <is>
          <t>S5</t>
        </is>
      </c>
      <c r="N520" t="inlineStr">
        <is>
          <t>Others</t>
        </is>
      </c>
      <c r="Q520" t="inlineStr">
        <is>
          <t>G,U</t>
        </is>
      </c>
      <c r="U520" t="n">
        <v>17966.75</v>
      </c>
      <c r="V520" t="n">
        <v>0.083333</v>
      </c>
      <c r="W520" t="inlineStr">
        <is>
          <t>CNY</t>
        </is>
      </c>
      <c r="X520" t="n">
        <v>1</v>
      </c>
      <c r="Y520" t="n">
        <v>17733.89</v>
      </c>
      <c r="Z520" t="n">
        <v>0</v>
      </c>
      <c r="AA520" t="n">
        <v>17966.75</v>
      </c>
      <c r="AF520" t="n">
        <v>0</v>
      </c>
      <c r="AG520" t="n">
        <v>33456.75</v>
      </c>
      <c r="AH520" t="n">
        <v>1.886599612380589</v>
      </c>
      <c r="AJ520" t="n">
        <v>1.886599612380589</v>
      </c>
      <c r="AK520" t="n">
        <v>1.886599612380589</v>
      </c>
      <c r="AQ520" t="n">
        <v>33456.75</v>
      </c>
      <c r="AR520" t="n">
        <v>1.886599612380589</v>
      </c>
      <c r="AS520" t="n">
        <v>0.4523627636560303</v>
      </c>
      <c r="BL520" t="n">
        <v>1</v>
      </c>
      <c r="BM520" t="n">
        <v>15770</v>
      </c>
      <c r="BN520" t="n">
        <v>0</v>
      </c>
      <c r="BO520" t="n">
        <v>16670</v>
      </c>
      <c r="BP520" t="inlineStr">
        <is>
          <t>O,G</t>
        </is>
      </c>
      <c r="BQ520" t="inlineStr">
        <is>
          <t>Others</t>
        </is>
      </c>
      <c r="BS520" t="n">
        <v>4.689917564996829</v>
      </c>
      <c r="BT520" t="n">
        <v>0</v>
      </c>
      <c r="BV520" t="n">
        <v>4.689917564996829</v>
      </c>
      <c r="BY520" t="n">
        <v>73960</v>
      </c>
      <c r="BZ520" t="n">
        <v>4.689917564996829</v>
      </c>
      <c r="CP520" t="inlineStr">
        <is>
          <t>IEG财务管理</t>
        </is>
      </c>
      <c r="CQ520" t="inlineStr">
        <is>
          <t>3,1</t>
        </is>
      </c>
      <c r="CR520" t="n">
        <v>5</v>
      </c>
      <c r="CS520" t="inlineStr">
        <is>
          <t>Others</t>
        </is>
      </c>
      <c r="CT520" t="inlineStr">
        <is>
          <t>N</t>
        </is>
      </c>
    </row>
    <row r="521">
      <c r="A521" t="inlineStr">
        <is>
          <t>dylanHong(洪恒)</t>
        </is>
      </c>
      <c r="C521" t="n">
        <v>64275162</v>
      </c>
      <c r="D521" t="inlineStr">
        <is>
          <t>WXG财务管理</t>
        </is>
      </c>
      <c r="E521" t="inlineStr">
        <is>
          <t>微信支付财务管理中心</t>
        </is>
      </c>
      <c r="G521" t="inlineStr">
        <is>
          <t>S2职能系统－财经线/WXG财务管理/微信支付财务管理中心</t>
        </is>
      </c>
      <c r="H521" s="188" t="n">
        <v>45629</v>
      </c>
      <c r="I521" t="inlineStr">
        <is>
          <t>社会招聘</t>
        </is>
      </c>
      <c r="J521" t="inlineStr">
        <is>
          <t>财经类－FN</t>
        </is>
      </c>
      <c r="K521" t="inlineStr">
        <is>
          <t>财务管理</t>
        </is>
      </c>
      <c r="L521" t="inlineStr">
        <is>
          <t>S11</t>
        </is>
      </c>
      <c r="N521" t="inlineStr">
        <is>
          <t>T2</t>
        </is>
      </c>
      <c r="Q521" t="inlineStr">
        <is>
          <t>N,N</t>
        </is>
      </c>
      <c r="U521" t="n">
        <v>50654.95</v>
      </c>
      <c r="V521" t="n">
        <v>0.083333</v>
      </c>
      <c r="W521" t="inlineStr">
        <is>
          <t>CNY</t>
        </is>
      </c>
      <c r="X521" t="n">
        <v>0.076712</v>
      </c>
      <c r="Y521" t="n">
        <v>50654.95</v>
      </c>
      <c r="Z521" t="n">
        <v>0</v>
      </c>
      <c r="AA521" t="n">
        <v>3885.84</v>
      </c>
      <c r="AF521" t="n">
        <v>0</v>
      </c>
      <c r="AG521" t="n">
        <v>3885.84</v>
      </c>
      <c r="AH521" t="n">
        <v>0.0767119501647914</v>
      </c>
      <c r="AJ521" t="n">
        <v>0.0767119501647914</v>
      </c>
      <c r="AK521" t="n">
        <v>0.0767119501647914</v>
      </c>
      <c r="AQ521" t="n">
        <v>3885.84</v>
      </c>
      <c r="AR521" t="n">
        <v>0.0767119501647914</v>
      </c>
      <c r="BM521" t="n">
        <v>0</v>
      </c>
      <c r="BN521" t="n">
        <v>0</v>
      </c>
      <c r="BO521" t="n">
        <v>0</v>
      </c>
      <c r="BT521" t="n">
        <v>0</v>
      </c>
      <c r="BY521" t="n">
        <v>0</v>
      </c>
      <c r="CP521" t="inlineStr">
        <is>
          <t>WXG财务管理</t>
        </is>
      </c>
      <c r="CR521" t="n">
        <v>11</v>
      </c>
      <c r="CS521" t="inlineStr">
        <is>
          <t>T2</t>
        </is>
      </c>
      <c r="CT521" t="inlineStr">
        <is>
          <t>N</t>
        </is>
      </c>
    </row>
    <row r="522">
      <c r="A522" t="inlineStr">
        <is>
          <t>justinTang(唐卓)</t>
        </is>
      </c>
      <c r="C522" t="n">
        <v>53281378</v>
      </c>
      <c r="D522" t="inlineStr">
        <is>
          <t>资金管理</t>
        </is>
      </c>
      <c r="E522" t="inlineStr">
        <is>
          <t>资金结算及风险控制中心</t>
        </is>
      </c>
      <c r="G522" t="inlineStr">
        <is>
          <t>S2职能系统－财经线/资金管理/资金结算及风险控制中心</t>
        </is>
      </c>
      <c r="H522" s="188" t="n">
        <v>40715</v>
      </c>
      <c r="I522" t="inlineStr">
        <is>
          <t>社会招聘</t>
        </is>
      </c>
      <c r="J522" t="inlineStr">
        <is>
          <t>财经类－FN</t>
        </is>
      </c>
      <c r="K522" t="inlineStr">
        <is>
          <t>资金管理</t>
        </is>
      </c>
      <c r="L522" t="inlineStr">
        <is>
          <t>S9</t>
        </is>
      </c>
      <c r="N522" t="inlineStr">
        <is>
          <t>T1</t>
        </is>
      </c>
      <c r="Q522" t="inlineStr">
        <is>
          <t>G,O</t>
        </is>
      </c>
      <c r="U522" t="n">
        <v>42679.1</v>
      </c>
      <c r="V522" t="n">
        <v>0.083333</v>
      </c>
      <c r="W522" t="inlineStr">
        <is>
          <t>CNY</t>
        </is>
      </c>
      <c r="X522" t="n">
        <v>1</v>
      </c>
      <c r="Y522" t="n">
        <v>40628.31</v>
      </c>
      <c r="Z522" t="n">
        <v>0</v>
      </c>
      <c r="AA522" t="n">
        <v>128037.3</v>
      </c>
      <c r="AF522" t="n">
        <v>0</v>
      </c>
      <c r="AG522" t="n">
        <v>289847.3</v>
      </c>
      <c r="AH522" t="n">
        <v>7.134121502961851</v>
      </c>
      <c r="AJ522" t="n">
        <v>7.134121502961851</v>
      </c>
      <c r="AK522" t="n">
        <v>5.661010758261911</v>
      </c>
      <c r="AQ522" t="n">
        <v>289847.3</v>
      </c>
      <c r="AR522" t="n">
        <v>7.134121502961851</v>
      </c>
      <c r="AS522" t="n">
        <v>3.670346967202735</v>
      </c>
      <c r="BL522" t="n">
        <v>1</v>
      </c>
      <c r="BM522" t="n">
        <v>37050</v>
      </c>
      <c r="BN522" t="n">
        <v>0</v>
      </c>
      <c r="BO522" t="n">
        <v>37220</v>
      </c>
      <c r="BP522" t="inlineStr">
        <is>
          <t>G,U</t>
        </is>
      </c>
      <c r="BQ522" t="inlineStr">
        <is>
          <t>T1</t>
        </is>
      </c>
      <c r="BS522" t="n">
        <v>2.131443994601889</v>
      </c>
      <c r="BT522" t="n">
        <v>0</v>
      </c>
      <c r="BV522" t="n">
        <v>2.131443994601889</v>
      </c>
      <c r="BY522" t="n">
        <v>78970</v>
      </c>
      <c r="BZ522" t="n">
        <v>2.131443994601889</v>
      </c>
      <c r="CP522" t="inlineStr">
        <is>
          <t>资金管理</t>
        </is>
      </c>
      <c r="CQ522" t="inlineStr">
        <is>
          <t>5,3</t>
        </is>
      </c>
      <c r="CR522" t="n">
        <v>9</v>
      </c>
      <c r="CS522" t="inlineStr">
        <is>
          <t>T1</t>
        </is>
      </c>
      <c r="CT522" t="inlineStr">
        <is>
          <t>N</t>
        </is>
      </c>
    </row>
    <row r="523">
      <c r="A523" t="inlineStr">
        <is>
          <t>austinGong(龚龙)</t>
        </is>
      </c>
      <c r="C523" t="n">
        <v>76991687</v>
      </c>
      <c r="D523" t="inlineStr">
        <is>
          <t>财经IT管理部</t>
        </is>
      </c>
      <c r="E523" t="inlineStr">
        <is>
          <t>公共支持中心</t>
        </is>
      </c>
      <c r="G523" t="inlineStr">
        <is>
          <t>S2职能系统－财经线/财经IT管理部/公共支持中心</t>
        </is>
      </c>
      <c r="H523" s="188" t="n">
        <v>38446</v>
      </c>
      <c r="I523" t="inlineStr">
        <is>
          <t>社会招聘</t>
        </is>
      </c>
      <c r="J523" t="inlineStr">
        <is>
          <t>技术研发类－TRD</t>
        </is>
      </c>
      <c r="K523" t="inlineStr">
        <is>
          <t>应用开发</t>
        </is>
      </c>
      <c r="L523" t="inlineStr">
        <is>
          <t>T7</t>
        </is>
      </c>
      <c r="N523" t="inlineStr">
        <is>
          <t>T1#</t>
        </is>
      </c>
      <c r="Q523" t="inlineStr">
        <is>
          <t>G,G</t>
        </is>
      </c>
      <c r="U523" t="n">
        <v>29095.65</v>
      </c>
      <c r="V523" t="n">
        <v>0.083333</v>
      </c>
      <c r="W523" t="inlineStr">
        <is>
          <t>CNY</t>
        </is>
      </c>
      <c r="X523" t="n">
        <v>1</v>
      </c>
      <c r="Y523" t="n">
        <v>28226.53</v>
      </c>
      <c r="Z523" t="n">
        <v>0</v>
      </c>
      <c r="AA523" t="n">
        <v>58191.3</v>
      </c>
      <c r="AF523" t="n">
        <v>0</v>
      </c>
      <c r="AG523" t="n">
        <v>200446.3</v>
      </c>
      <c r="AH523" t="n">
        <v>7.101344019261312</v>
      </c>
      <c r="AJ523" t="n">
        <v>7.101344019261312</v>
      </c>
      <c r="AK523" t="n">
        <v>5.326418089648285</v>
      </c>
      <c r="AQ523" t="n">
        <v>200446.3</v>
      </c>
      <c r="AR523" t="n">
        <v>7.101344019261312</v>
      </c>
      <c r="AS523" t="n">
        <v>1.082820408934986</v>
      </c>
      <c r="BL523" t="n">
        <v>1</v>
      </c>
      <c r="BM523" t="n">
        <v>24555</v>
      </c>
      <c r="BN523" t="n">
        <v>0</v>
      </c>
      <c r="BO523" t="n">
        <v>26430</v>
      </c>
      <c r="BP523" t="inlineStr">
        <is>
          <t>G,G</t>
        </is>
      </c>
      <c r="BQ523" t="inlineStr">
        <is>
          <t>T1#</t>
        </is>
      </c>
      <c r="BS523" t="n">
        <v>5.852983099165139</v>
      </c>
      <c r="BT523" t="n">
        <v>41395</v>
      </c>
      <c r="BV523" t="n">
        <v>7.538790470372633</v>
      </c>
      <c r="BY523" t="n">
        <v>185115</v>
      </c>
      <c r="BZ523" t="n">
        <v>7.538790470372633</v>
      </c>
      <c r="CP523" t="inlineStr">
        <is>
          <t>财经IT管理部</t>
        </is>
      </c>
      <c r="CQ523" t="inlineStr">
        <is>
          <t>3,3</t>
        </is>
      </c>
      <c r="CR523" t="n">
        <v>7</v>
      </c>
      <c r="CS523" t="inlineStr">
        <is>
          <t>T1#</t>
        </is>
      </c>
      <c r="CT523" t="inlineStr">
        <is>
          <t>N</t>
        </is>
      </c>
    </row>
    <row r="524">
      <c r="A524" t="inlineStr">
        <is>
          <t>sophiaLiang(梁霞)</t>
        </is>
      </c>
      <c r="C524" t="n">
        <v>53170147</v>
      </c>
      <c r="D524" t="inlineStr">
        <is>
          <t>财会及报告管理部</t>
        </is>
      </c>
      <c r="E524" t="inlineStr">
        <is>
          <t>供应商支付管理中心</t>
        </is>
      </c>
      <c r="G524" t="inlineStr">
        <is>
          <t>S2职能系统－财经线/财会及报告管理部/供应商支付管理中心</t>
        </is>
      </c>
      <c r="H524" s="188" t="n">
        <v>41389</v>
      </c>
      <c r="I524" t="inlineStr">
        <is>
          <t>社会招聘</t>
        </is>
      </c>
      <c r="J524" t="inlineStr">
        <is>
          <t>财经类－FN</t>
        </is>
      </c>
      <c r="K524" t="inlineStr">
        <is>
          <t>会计</t>
        </is>
      </c>
      <c r="L524" t="inlineStr">
        <is>
          <t>S8</t>
        </is>
      </c>
      <c r="N524" t="inlineStr">
        <is>
          <t>T1#</t>
        </is>
      </c>
      <c r="Q524" t="inlineStr">
        <is>
          <t>O,G</t>
        </is>
      </c>
      <c r="U524" t="n">
        <v>31244.95</v>
      </c>
      <c r="V524" t="n">
        <v>0.083333</v>
      </c>
      <c r="W524" t="inlineStr">
        <is>
          <t>CNY</t>
        </is>
      </c>
      <c r="X524" t="n">
        <v>1</v>
      </c>
      <c r="Y524" t="n">
        <v>30612.78</v>
      </c>
      <c r="Z524" t="n">
        <v>0</v>
      </c>
      <c r="AA524" t="n">
        <v>93734.85000000001</v>
      </c>
      <c r="AF524" t="n">
        <v>0</v>
      </c>
      <c r="AG524" t="n">
        <v>241179.85</v>
      </c>
      <c r="AH524" t="n">
        <v>7.878404052163836</v>
      </c>
      <c r="AJ524" t="n">
        <v>7.878404052163836</v>
      </c>
      <c r="AK524" t="n">
        <v>6.265025587352733</v>
      </c>
      <c r="AQ524" t="n">
        <v>241179.85</v>
      </c>
      <c r="AR524" t="n">
        <v>7.878404052163836</v>
      </c>
      <c r="AS524" t="n">
        <v>2.51059022536824</v>
      </c>
      <c r="BL524" t="n">
        <v>1</v>
      </c>
      <c r="BM524" t="n">
        <v>28065</v>
      </c>
      <c r="BN524" t="n">
        <v>0</v>
      </c>
      <c r="BO524" t="n">
        <v>28585</v>
      </c>
      <c r="BP524" t="inlineStr">
        <is>
          <t>O,U</t>
        </is>
      </c>
      <c r="BQ524" t="inlineStr">
        <is>
          <t>Others</t>
        </is>
      </c>
      <c r="BS524" t="n">
        <v>3.422946730803492</v>
      </c>
      <c r="BT524" t="n">
        <v>0</v>
      </c>
      <c r="BV524" t="n">
        <v>3.422946730803492</v>
      </c>
      <c r="BY524" t="n">
        <v>96065</v>
      </c>
      <c r="BZ524" t="n">
        <v>3.422946730803492</v>
      </c>
      <c r="CP524" t="inlineStr">
        <is>
          <t>财会及报告管理部</t>
        </is>
      </c>
      <c r="CQ524" t="inlineStr">
        <is>
          <t>5,3</t>
        </is>
      </c>
      <c r="CR524" t="n">
        <v>8</v>
      </c>
      <c r="CS524" t="inlineStr">
        <is>
          <t>T1#</t>
        </is>
      </c>
      <c r="CT524" t="inlineStr">
        <is>
          <t>N</t>
        </is>
      </c>
    </row>
    <row r="525">
      <c r="A525" t="inlineStr">
        <is>
          <t>randyDeng(邓天涛)</t>
        </is>
      </c>
      <c r="C525" t="n">
        <v>34088928</v>
      </c>
      <c r="D525" t="inlineStr">
        <is>
          <t>CDG财务管理</t>
        </is>
      </c>
      <c r="E525" t="inlineStr">
        <is>
          <t>子公司财务管理组</t>
        </is>
      </c>
      <c r="G525" t="inlineStr">
        <is>
          <t>S2职能系统－财经线/CDG财务管理/子公司财务管理组</t>
        </is>
      </c>
      <c r="H525" s="188" t="n">
        <v>45297</v>
      </c>
      <c r="I525" t="inlineStr">
        <is>
          <t>社会招聘</t>
        </is>
      </c>
      <c r="J525" t="inlineStr">
        <is>
          <t>财经类－FN</t>
        </is>
      </c>
      <c r="K525" t="inlineStr">
        <is>
          <t>财务管理</t>
        </is>
      </c>
      <c r="L525" t="inlineStr">
        <is>
          <t>S8</t>
        </is>
      </c>
      <c r="N525" t="inlineStr">
        <is>
          <t>T2</t>
        </is>
      </c>
      <c r="Q525" t="inlineStr">
        <is>
          <t>O,O</t>
        </is>
      </c>
      <c r="U525" t="n">
        <v>49035.15</v>
      </c>
      <c r="V525" t="n">
        <v>0.083333</v>
      </c>
      <c r="W525" t="inlineStr">
        <is>
          <t>CNY</t>
        </is>
      </c>
      <c r="X525" t="n">
        <v>0.986301</v>
      </c>
      <c r="Y525" t="n">
        <v>46610.15</v>
      </c>
      <c r="Z525" t="n">
        <v>0</v>
      </c>
      <c r="AA525" t="n">
        <v>48363.42</v>
      </c>
      <c r="AF525" t="n">
        <v>0</v>
      </c>
      <c r="AG525" t="n">
        <v>48363.42</v>
      </c>
      <c r="AH525" t="n">
        <v>1.037615626639262</v>
      </c>
      <c r="AJ525" t="n">
        <v>1.037615626639262</v>
      </c>
      <c r="AK525" t="n">
        <v>1.037615626639262</v>
      </c>
      <c r="AQ525" t="n">
        <v>48363.42</v>
      </c>
      <c r="AR525" t="n">
        <v>1.037615626639262</v>
      </c>
      <c r="BM525" t="n">
        <v>0</v>
      </c>
      <c r="BN525" t="n">
        <v>0</v>
      </c>
      <c r="BO525" t="n">
        <v>0</v>
      </c>
      <c r="BT525" t="n">
        <v>0</v>
      </c>
      <c r="BY525" t="n">
        <v>0</v>
      </c>
      <c r="CP525" t="inlineStr">
        <is>
          <t>CDG财务管理</t>
        </is>
      </c>
      <c r="CQ525" t="inlineStr">
        <is>
          <t>5,5</t>
        </is>
      </c>
      <c r="CR525" t="n">
        <v>8</v>
      </c>
      <c r="CS525" t="inlineStr">
        <is>
          <t>T2</t>
        </is>
      </c>
      <c r="CT525" t="inlineStr">
        <is>
          <t>N</t>
        </is>
      </c>
    </row>
    <row r="526">
      <c r="A526" t="inlineStr">
        <is>
          <t>roseYan(阎燕丽)</t>
        </is>
      </c>
      <c r="C526" t="n">
        <v>59957359</v>
      </c>
      <c r="D526" t="inlineStr">
        <is>
          <t>预算及职能系统财务管理部</t>
        </is>
      </c>
      <c r="E526" t="inlineStr">
        <is>
          <t>预算管理中心</t>
        </is>
      </c>
      <c r="G526" t="inlineStr">
        <is>
          <t>S2职能系统－财经线/预算及职能系统财务管理部/预算管理中心</t>
        </is>
      </c>
      <c r="H526" s="188" t="n">
        <v>43723</v>
      </c>
      <c r="I526" t="inlineStr">
        <is>
          <t>社会招聘</t>
        </is>
      </c>
      <c r="J526" t="inlineStr">
        <is>
          <t>财经类－FN</t>
        </is>
      </c>
      <c r="K526" t="inlineStr">
        <is>
          <t>预算管理</t>
        </is>
      </c>
      <c r="L526" t="inlineStr">
        <is>
          <t>S12</t>
        </is>
      </c>
      <c r="M526" t="inlineStr">
        <is>
          <t>L1-2</t>
        </is>
      </c>
      <c r="N526" t="inlineStr">
        <is>
          <t>Others</t>
        </is>
      </c>
      <c r="Q526" t="inlineStr">
        <is>
          <t>U,G</t>
        </is>
      </c>
      <c r="U526" t="n">
        <v>77337.25</v>
      </c>
      <c r="V526" t="n">
        <v>0.083333</v>
      </c>
      <c r="W526" t="inlineStr">
        <is>
          <t>CNY</t>
        </is>
      </c>
      <c r="X526" t="n">
        <v>1</v>
      </c>
      <c r="Y526" t="n">
        <v>74733.83</v>
      </c>
      <c r="Z526" t="n">
        <v>0</v>
      </c>
      <c r="AA526" t="n">
        <v>77337.25</v>
      </c>
      <c r="AF526" t="n">
        <v>54630</v>
      </c>
      <c r="AG526" t="n">
        <v>118482.25</v>
      </c>
      <c r="AH526" t="n">
        <v>1.585389775955548</v>
      </c>
      <c r="AJ526" t="n">
        <v>2.31638402581535</v>
      </c>
      <c r="AK526" t="n">
        <v>2.31638402581535</v>
      </c>
      <c r="AQ526" t="n">
        <v>173112.25</v>
      </c>
      <c r="AR526" t="n">
        <v>2.31638402581535</v>
      </c>
      <c r="AS526" t="n">
        <v>1.245770365572827</v>
      </c>
      <c r="BL526" t="n">
        <v>1</v>
      </c>
      <c r="BM526" t="n">
        <v>61920</v>
      </c>
      <c r="BN526" t="n">
        <v>0</v>
      </c>
      <c r="BO526" t="n">
        <v>64985</v>
      </c>
      <c r="BP526" t="inlineStr">
        <is>
          <t>U,G</t>
        </is>
      </c>
      <c r="BQ526" t="inlineStr">
        <is>
          <t>Others</t>
        </is>
      </c>
      <c r="BS526" t="n">
        <v>2.244186046511628</v>
      </c>
      <c r="BT526" t="n">
        <v>0</v>
      </c>
      <c r="BV526" t="n">
        <v>2.244186046511628</v>
      </c>
      <c r="BY526" t="n">
        <v>138960</v>
      </c>
      <c r="BZ526" t="n">
        <v>2.244186046511628</v>
      </c>
      <c r="CP526" t="inlineStr">
        <is>
          <t>预算及职能系统财务管理部</t>
        </is>
      </c>
      <c r="CQ526" t="inlineStr">
        <is>
          <t>3,1</t>
        </is>
      </c>
      <c r="CR526" t="n">
        <v>12</v>
      </c>
      <c r="CS526" t="inlineStr">
        <is>
          <t>Others</t>
        </is>
      </c>
      <c r="CT526" t="inlineStr">
        <is>
          <t>N</t>
        </is>
      </c>
    </row>
    <row r="527">
      <c r="A527" t="inlineStr">
        <is>
          <t>ethanSun(孙松然)</t>
        </is>
      </c>
      <c r="C527" t="n">
        <v>19742818</v>
      </c>
      <c r="D527" t="inlineStr">
        <is>
          <t>FiT财务管理</t>
        </is>
      </c>
      <c r="E527" t="inlineStr">
        <is>
          <t>结算支持中心</t>
        </is>
      </c>
      <c r="G527" t="inlineStr">
        <is>
          <t>S2职能系统－财经线/FiT财务管理/结算支持中心</t>
        </is>
      </c>
      <c r="H527" s="188" t="n">
        <v>45088</v>
      </c>
      <c r="I527" t="inlineStr">
        <is>
          <t>高校招聘</t>
        </is>
      </c>
      <c r="J527" t="inlineStr">
        <is>
          <t>财经类－FN</t>
        </is>
      </c>
      <c r="K527" t="inlineStr">
        <is>
          <t>财务管理</t>
        </is>
      </c>
      <c r="L527" t="inlineStr">
        <is>
          <t>S6</t>
        </is>
      </c>
      <c r="N527" t="inlineStr">
        <is>
          <t>T2</t>
        </is>
      </c>
      <c r="Q527" t="inlineStr">
        <is>
          <t>O,G</t>
        </is>
      </c>
      <c r="U527" t="n">
        <v>22925.55</v>
      </c>
      <c r="V527" t="n">
        <v>0.083333</v>
      </c>
      <c r="W527" t="inlineStr">
        <is>
          <t>CNY</t>
        </is>
      </c>
      <c r="X527" t="n">
        <v>1</v>
      </c>
      <c r="Y527" t="n">
        <v>22348.49</v>
      </c>
      <c r="Z527" t="n">
        <v>0</v>
      </c>
      <c r="AA527" t="n">
        <v>68776.64999999999</v>
      </c>
      <c r="AF527" t="n">
        <v>0</v>
      </c>
      <c r="AG527" t="n">
        <v>102801.65</v>
      </c>
      <c r="AH527" t="n">
        <v>4.599937176963633</v>
      </c>
      <c r="AJ527" t="n">
        <v>4.599937176963633</v>
      </c>
      <c r="AK527" t="n">
        <v>4.599937176963633</v>
      </c>
      <c r="AQ527" t="n">
        <v>102801.65</v>
      </c>
      <c r="AR527" t="n">
        <v>4.599937176963633</v>
      </c>
      <c r="AS527" t="n">
        <v>9.922939189189188</v>
      </c>
      <c r="BL527" t="n">
        <v>0.556164383561643</v>
      </c>
      <c r="BM527" t="n">
        <v>18620</v>
      </c>
      <c r="BN527" t="n">
        <v>0</v>
      </c>
      <c r="BO527" t="n">
        <v>18630</v>
      </c>
      <c r="BP527" t="inlineStr">
        <is>
          <t>N,G</t>
        </is>
      </c>
      <c r="BQ527" t="inlineStr">
        <is>
          <t>T2</t>
        </is>
      </c>
      <c r="BS527" t="n">
        <v>0.556390977443609</v>
      </c>
      <c r="BT527" t="n">
        <v>0</v>
      </c>
      <c r="BV527" t="n">
        <v>0.556390977443609</v>
      </c>
      <c r="BY527" t="n">
        <v>10360</v>
      </c>
      <c r="BZ527" t="n">
        <v>0.556390977443609</v>
      </c>
      <c r="CP527" t="inlineStr">
        <is>
          <t>FiT财务管理</t>
        </is>
      </c>
      <c r="CQ527" t="inlineStr">
        <is>
          <t>5,3</t>
        </is>
      </c>
      <c r="CR527" t="n">
        <v>6</v>
      </c>
      <c r="CS527" t="inlineStr">
        <is>
          <t>T2</t>
        </is>
      </c>
      <c r="CT527" t="inlineStr">
        <is>
          <t>N</t>
        </is>
      </c>
    </row>
    <row r="528">
      <c r="A528" t="inlineStr">
        <is>
          <t>lillianCai(蔡素舒)</t>
        </is>
      </c>
      <c r="C528" t="n">
        <v>25569640</v>
      </c>
      <c r="D528" t="inlineStr">
        <is>
          <t>FiT财务管理</t>
        </is>
      </c>
      <c r="E528" t="inlineStr">
        <is>
          <t>结算支持中心</t>
        </is>
      </c>
      <c r="G528" t="inlineStr">
        <is>
          <t>S2职能系统－财经线/FiT财务管理/结算支持中心</t>
        </is>
      </c>
      <c r="H528" s="188" t="n">
        <v>38167</v>
      </c>
      <c r="I528" t="inlineStr">
        <is>
          <t>社会招聘</t>
        </is>
      </c>
      <c r="J528" t="inlineStr">
        <is>
          <t>财经类－FN</t>
        </is>
      </c>
      <c r="K528" t="inlineStr">
        <is>
          <t>财务管理</t>
        </is>
      </c>
      <c r="L528" t="inlineStr">
        <is>
          <t>S7</t>
        </is>
      </c>
      <c r="N528" t="inlineStr">
        <is>
          <t>T1</t>
        </is>
      </c>
      <c r="Q528" t="inlineStr">
        <is>
          <t>U,G</t>
        </is>
      </c>
      <c r="U528" t="n">
        <v>33262.35</v>
      </c>
      <c r="V528" t="n">
        <v>0.083333</v>
      </c>
      <c r="W528" t="inlineStr">
        <is>
          <t>CNY</t>
        </is>
      </c>
      <c r="X528" t="n">
        <v>1</v>
      </c>
      <c r="Y528" t="n">
        <v>31772.38</v>
      </c>
      <c r="Z528" t="n">
        <v>0</v>
      </c>
      <c r="AA528" t="n">
        <v>33262.35</v>
      </c>
      <c r="AF528" t="n">
        <v>0</v>
      </c>
      <c r="AG528" t="n">
        <v>102477.35</v>
      </c>
      <c r="AH528" t="n">
        <v>3.225359573314936</v>
      </c>
      <c r="AJ528" t="n">
        <v>3.225359573314936</v>
      </c>
      <c r="AK528" t="n">
        <v>3.225359573314936</v>
      </c>
      <c r="AQ528" t="n">
        <v>102477.35</v>
      </c>
      <c r="AR528" t="n">
        <v>3.225359573314936</v>
      </c>
      <c r="AS528" t="n">
        <v>0.6771109055469292</v>
      </c>
      <c r="BL528" t="n">
        <v>1</v>
      </c>
      <c r="BM528" t="n">
        <v>27020</v>
      </c>
      <c r="BN528" t="n">
        <v>0</v>
      </c>
      <c r="BO528" t="n">
        <v>27440</v>
      </c>
      <c r="BP528" t="inlineStr">
        <is>
          <t>O,G</t>
        </is>
      </c>
      <c r="BQ528" t="inlineStr">
        <is>
          <t>T1</t>
        </is>
      </c>
      <c r="BS528" t="n">
        <v>4.202442635085122</v>
      </c>
      <c r="BT528" t="n">
        <v>37795</v>
      </c>
      <c r="BV528" t="n">
        <v>5.601221317542561</v>
      </c>
      <c r="BY528" t="n">
        <v>151345</v>
      </c>
      <c r="BZ528" t="n">
        <v>5.601221317542561</v>
      </c>
      <c r="CP528" t="inlineStr">
        <is>
          <t>FiT财务管理</t>
        </is>
      </c>
      <c r="CQ528" t="inlineStr">
        <is>
          <t>3,1</t>
        </is>
      </c>
      <c r="CR528" t="n">
        <v>7</v>
      </c>
      <c r="CS528" t="inlineStr">
        <is>
          <t>T1</t>
        </is>
      </c>
      <c r="CT528" t="inlineStr">
        <is>
          <t>N</t>
        </is>
      </c>
    </row>
    <row r="529">
      <c r="A529" t="inlineStr">
        <is>
          <t>jordanLei(雷海嘉)</t>
        </is>
      </c>
      <c r="C529" t="n">
        <v>61812752</v>
      </c>
      <c r="D529" t="inlineStr">
        <is>
          <t>董事会办公室</t>
        </is>
      </c>
      <c r="E529" t="inlineStr">
        <is>
          <t>公司治理财经办公室</t>
        </is>
      </c>
      <c r="G529" t="inlineStr">
        <is>
          <t>S2职能系统－财经线/董事会办公室/公司治理财经办公室</t>
        </is>
      </c>
      <c r="H529" s="188" t="n">
        <v>44879</v>
      </c>
      <c r="I529" t="inlineStr">
        <is>
          <t>社会招聘</t>
        </is>
      </c>
      <c r="J529" t="inlineStr">
        <is>
          <t>财经类－FN</t>
        </is>
      </c>
      <c r="K529" t="inlineStr">
        <is>
          <t>公司秘书</t>
        </is>
      </c>
      <c r="L529" t="inlineStr">
        <is>
          <t>S7</t>
        </is>
      </c>
      <c r="N529" t="inlineStr">
        <is>
          <t>Others</t>
        </is>
      </c>
      <c r="Q529" t="inlineStr">
        <is>
          <t>O,U</t>
        </is>
      </c>
      <c r="U529" t="n">
        <v>35625.9</v>
      </c>
      <c r="V529" t="n">
        <v>0.083333</v>
      </c>
      <c r="W529" t="inlineStr">
        <is>
          <t>CNY</t>
        </is>
      </c>
      <c r="X529" t="n">
        <v>1</v>
      </c>
      <c r="Y529" t="n">
        <v>34379.55</v>
      </c>
      <c r="Z529" t="n">
        <v>0</v>
      </c>
      <c r="AA529" t="n">
        <v>71251.8</v>
      </c>
      <c r="AF529" t="n">
        <v>0</v>
      </c>
      <c r="AG529" t="n">
        <v>95451.8</v>
      </c>
      <c r="AH529" t="n">
        <v>2.776412140356694</v>
      </c>
      <c r="AJ529" t="n">
        <v>2.776412140356694</v>
      </c>
      <c r="AK529" t="n">
        <v>2.776412140356694</v>
      </c>
      <c r="AQ529" t="n">
        <v>95451.8</v>
      </c>
      <c r="AR529" t="n">
        <v>2.776412140356694</v>
      </c>
      <c r="AS529" t="n">
        <v>0.9446464446533723</v>
      </c>
      <c r="BL529" t="n">
        <v>1</v>
      </c>
      <c r="BM529" t="n">
        <v>31450</v>
      </c>
      <c r="BN529" t="n">
        <v>0</v>
      </c>
      <c r="BO529" t="n">
        <v>33220</v>
      </c>
      <c r="BP529" t="inlineStr">
        <is>
          <t>G,G</t>
        </is>
      </c>
      <c r="BQ529" t="inlineStr">
        <is>
          <t>Others</t>
        </is>
      </c>
      <c r="BS529" t="n">
        <v>3.212877583465819</v>
      </c>
      <c r="BT529" t="n">
        <v>0</v>
      </c>
      <c r="BV529" t="n">
        <v>3.212877583465819</v>
      </c>
      <c r="BY529" t="n">
        <v>101045</v>
      </c>
      <c r="BZ529" t="n">
        <v>3.212877583465819</v>
      </c>
      <c r="CP529" t="inlineStr">
        <is>
          <t>董事会办公室</t>
        </is>
      </c>
      <c r="CQ529" t="inlineStr">
        <is>
          <t>5,1</t>
        </is>
      </c>
      <c r="CR529" t="n">
        <v>7</v>
      </c>
      <c r="CS529" t="inlineStr">
        <is>
          <t>Others</t>
        </is>
      </c>
      <c r="CT529" t="inlineStr">
        <is>
          <t>N</t>
        </is>
      </c>
    </row>
    <row r="530">
      <c r="A530" t="inlineStr">
        <is>
          <t>lindaYu(于颖)</t>
        </is>
      </c>
      <c r="C530" t="n">
        <v>7276807</v>
      </c>
      <c r="D530" t="inlineStr">
        <is>
          <t>财会及报告管理部</t>
        </is>
      </c>
      <c r="E530" t="inlineStr">
        <is>
          <t>账务中心</t>
        </is>
      </c>
      <c r="G530" t="inlineStr">
        <is>
          <t>S2职能系统－财经线/财会及报告管理部/账务中心</t>
        </is>
      </c>
      <c r="H530" s="188" t="n">
        <v>42405</v>
      </c>
      <c r="I530" t="inlineStr">
        <is>
          <t>社会招聘</t>
        </is>
      </c>
      <c r="J530" t="inlineStr">
        <is>
          <t>财经类－FN</t>
        </is>
      </c>
      <c r="K530" t="inlineStr">
        <is>
          <t>会计</t>
        </is>
      </c>
      <c r="L530" t="inlineStr">
        <is>
          <t>S7</t>
        </is>
      </c>
      <c r="N530" t="inlineStr">
        <is>
          <t>T2</t>
        </is>
      </c>
      <c r="Q530" t="inlineStr">
        <is>
          <t>G,G</t>
        </is>
      </c>
      <c r="U530" t="n">
        <v>27891.7</v>
      </c>
      <c r="V530" t="n">
        <v>0.083333</v>
      </c>
      <c r="W530" t="inlineStr">
        <is>
          <t>CNY</t>
        </is>
      </c>
      <c r="X530" t="n">
        <v>1</v>
      </c>
      <c r="Y530" t="n">
        <v>25199.02</v>
      </c>
      <c r="Z530" t="n">
        <v>0</v>
      </c>
      <c r="AA530" t="n">
        <v>55783.4</v>
      </c>
      <c r="AF530" t="n">
        <v>0</v>
      </c>
      <c r="AG530" t="n">
        <v>91393.39999999999</v>
      </c>
      <c r="AH530" t="n">
        <v>3.626863266904824</v>
      </c>
      <c r="AJ530" t="n">
        <v>3.626863266904824</v>
      </c>
      <c r="AK530" t="n">
        <v>3.626863266904824</v>
      </c>
      <c r="AQ530" t="n">
        <v>91393.39999999999</v>
      </c>
      <c r="AR530" t="n">
        <v>3.626863266904824</v>
      </c>
      <c r="AS530" t="n">
        <v>1.596809644448327</v>
      </c>
      <c r="BL530" t="n">
        <v>1</v>
      </c>
      <c r="BM530" t="n">
        <v>24200</v>
      </c>
      <c r="BN530" t="n">
        <v>0</v>
      </c>
      <c r="BO530" t="n">
        <v>25705</v>
      </c>
      <c r="BP530" t="inlineStr">
        <is>
          <t>G,U</t>
        </is>
      </c>
      <c r="BQ530" t="inlineStr">
        <is>
          <t>T2</t>
        </is>
      </c>
      <c r="BS530" t="n">
        <v>2.365082644628099</v>
      </c>
      <c r="BT530" t="n">
        <v>0</v>
      </c>
      <c r="BV530" t="n">
        <v>2.365082644628099</v>
      </c>
      <c r="BY530" t="n">
        <v>57235</v>
      </c>
      <c r="BZ530" t="n">
        <v>2.365082644628099</v>
      </c>
      <c r="CP530" t="inlineStr">
        <is>
          <t>财会及报告管理部</t>
        </is>
      </c>
      <c r="CQ530" t="inlineStr">
        <is>
          <t>3,3</t>
        </is>
      </c>
      <c r="CR530" t="n">
        <v>7</v>
      </c>
      <c r="CS530" t="inlineStr">
        <is>
          <t>T2</t>
        </is>
      </c>
      <c r="CT530" t="inlineStr">
        <is>
          <t>N</t>
        </is>
      </c>
    </row>
    <row r="531">
      <c r="A531" t="inlineStr">
        <is>
          <t>samuelShi(史力)</t>
        </is>
      </c>
      <c r="C531" t="n">
        <v>40643673</v>
      </c>
      <c r="D531" t="inlineStr">
        <is>
          <t>财经IT管理部</t>
        </is>
      </c>
      <c r="E531" t="inlineStr">
        <is>
          <t>国际业务支持中心</t>
        </is>
      </c>
      <c r="G531" t="inlineStr">
        <is>
          <t>S2职能系统－财经线/财经IT管理部/国际业务支持中心</t>
        </is>
      </c>
      <c r="H531" s="188" t="n">
        <v>42612</v>
      </c>
      <c r="I531" t="inlineStr">
        <is>
          <t>社会招聘</t>
        </is>
      </c>
      <c r="J531" t="inlineStr">
        <is>
          <t>技术研发类－TRD</t>
        </is>
      </c>
      <c r="K531" t="inlineStr">
        <is>
          <t>应用开发</t>
        </is>
      </c>
      <c r="L531" t="inlineStr">
        <is>
          <t>T5</t>
        </is>
      </c>
      <c r="N531" t="inlineStr">
        <is>
          <t>T2</t>
        </is>
      </c>
      <c r="Q531" t="inlineStr">
        <is>
          <t>O,G</t>
        </is>
      </c>
      <c r="U531" t="n">
        <v>30960.25</v>
      </c>
      <c r="V531" t="n">
        <v>0.083333</v>
      </c>
      <c r="W531" t="inlineStr">
        <is>
          <t>CNY</t>
        </is>
      </c>
      <c r="X531" t="n">
        <v>1</v>
      </c>
      <c r="Y531" t="n">
        <v>28774.34</v>
      </c>
      <c r="Z531" t="n">
        <v>0</v>
      </c>
      <c r="AA531" t="n">
        <v>92880.75</v>
      </c>
      <c r="AF531" t="n">
        <v>0</v>
      </c>
      <c r="AG531" t="n">
        <v>128365.75</v>
      </c>
      <c r="AH531" t="n">
        <v>4.461118830179945</v>
      </c>
      <c r="AJ531" t="n">
        <v>4.461118830179945</v>
      </c>
      <c r="AK531" t="n">
        <v>4.461118830179945</v>
      </c>
      <c r="AQ531" t="n">
        <v>128365.75</v>
      </c>
      <c r="AR531" t="n">
        <v>4.461118830179945</v>
      </c>
      <c r="AS531" t="n">
        <v>2.115802703148179</v>
      </c>
      <c r="BL531" t="n">
        <v>1</v>
      </c>
      <c r="BM531" t="n">
        <v>25095</v>
      </c>
      <c r="BN531" t="n">
        <v>0</v>
      </c>
      <c r="BO531" t="n">
        <v>25320</v>
      </c>
      <c r="BP531" t="inlineStr">
        <is>
          <t>U,G</t>
        </is>
      </c>
      <c r="BQ531" t="inlineStr">
        <is>
          <t>T2</t>
        </is>
      </c>
      <c r="BS531" t="n">
        <v>2.417613070332735</v>
      </c>
      <c r="BT531" t="n">
        <v>0</v>
      </c>
      <c r="BV531" t="n">
        <v>2.417613070332735</v>
      </c>
      <c r="BY531" t="n">
        <v>60670</v>
      </c>
      <c r="BZ531" t="n">
        <v>2.417613070332735</v>
      </c>
      <c r="CP531" t="inlineStr">
        <is>
          <t>财经IT管理部</t>
        </is>
      </c>
      <c r="CQ531" t="inlineStr">
        <is>
          <t>5,3</t>
        </is>
      </c>
      <c r="CR531" t="n">
        <v>5</v>
      </c>
      <c r="CS531" t="inlineStr">
        <is>
          <t>T2</t>
        </is>
      </c>
      <c r="CT531" t="inlineStr">
        <is>
          <t>N</t>
        </is>
      </c>
    </row>
    <row r="532">
      <c r="A532" t="inlineStr">
        <is>
          <t>joyceFeng(冯琴璐)</t>
        </is>
      </c>
      <c r="C532" t="n">
        <v>51226087</v>
      </c>
      <c r="D532" t="inlineStr">
        <is>
          <t>审计监察</t>
        </is>
      </c>
      <c r="E532" t="inlineStr">
        <is>
          <t>金融审计组</t>
        </is>
      </c>
      <c r="G532" t="inlineStr">
        <is>
          <t>S2职能系统－财经线/审计监察/金融审计组</t>
        </is>
      </c>
      <c r="H532" s="188" t="n">
        <v>42758</v>
      </c>
      <c r="I532" t="inlineStr">
        <is>
          <t>高校招聘</t>
        </is>
      </c>
      <c r="J532" t="inlineStr">
        <is>
          <t>财经类－FN</t>
        </is>
      </c>
      <c r="K532" t="inlineStr">
        <is>
          <t>风险管理</t>
        </is>
      </c>
      <c r="L532" t="inlineStr">
        <is>
          <t>S11</t>
        </is>
      </c>
      <c r="N532" t="inlineStr">
        <is>
          <t>T1</t>
        </is>
      </c>
      <c r="Q532" t="inlineStr">
        <is>
          <t>O,G</t>
        </is>
      </c>
      <c r="U532" t="n">
        <v>38614.15</v>
      </c>
      <c r="V532" t="n">
        <v>0.083333</v>
      </c>
      <c r="W532" t="inlineStr">
        <is>
          <t>CNY</t>
        </is>
      </c>
      <c r="X532" t="n">
        <v>1</v>
      </c>
      <c r="Y532" t="n">
        <v>37218.5</v>
      </c>
      <c r="Z532" t="n">
        <v>0</v>
      </c>
      <c r="AA532" t="n">
        <v>115842.45</v>
      </c>
      <c r="AF532" t="n">
        <v>0</v>
      </c>
      <c r="AG532" t="n">
        <v>249617.45</v>
      </c>
      <c r="AH532" t="n">
        <v>6.706811128874082</v>
      </c>
      <c r="AJ532" t="n">
        <v>6.706811128874082</v>
      </c>
      <c r="AK532" t="n">
        <v>5.486853312196891</v>
      </c>
      <c r="AQ532" t="n">
        <v>249617.45</v>
      </c>
      <c r="AR532" t="n">
        <v>6.706811128874082</v>
      </c>
      <c r="AS532" t="n">
        <v>1.246373486456123</v>
      </c>
      <c r="BL532" t="n">
        <v>1</v>
      </c>
      <c r="BM532" t="n">
        <v>33870</v>
      </c>
      <c r="BN532" t="n">
        <v>0</v>
      </c>
      <c r="BO532" t="n">
        <v>36370</v>
      </c>
      <c r="BP532" t="inlineStr">
        <is>
          <t>G,O</t>
        </is>
      </c>
      <c r="BQ532" t="inlineStr">
        <is>
          <t>T1</t>
        </is>
      </c>
      <c r="BS532" t="n">
        <v>4.346324180690877</v>
      </c>
      <c r="BT532" t="n">
        <v>53065</v>
      </c>
      <c r="BV532" t="n">
        <v>5.913049896663714</v>
      </c>
      <c r="BY532" t="n">
        <v>200275</v>
      </c>
      <c r="BZ532" t="n">
        <v>5.913049896663714</v>
      </c>
      <c r="CP532" t="inlineStr">
        <is>
          <t>审计监察</t>
        </is>
      </c>
      <c r="CQ532" t="inlineStr">
        <is>
          <t>5,3</t>
        </is>
      </c>
      <c r="CR532" t="n">
        <v>11</v>
      </c>
      <c r="CS532" t="inlineStr">
        <is>
          <t>T1</t>
        </is>
      </c>
      <c r="CT532" t="inlineStr">
        <is>
          <t>N</t>
        </is>
      </c>
    </row>
    <row r="533">
      <c r="A533" t="inlineStr">
        <is>
          <t>maryHao(郝兰)</t>
        </is>
      </c>
      <c r="C533" t="n">
        <v>13621205</v>
      </c>
      <c r="D533" t="inlineStr">
        <is>
          <t>CDG财务管理</t>
        </is>
      </c>
      <c r="E533" t="inlineStr">
        <is>
          <t>综合财务管理中心</t>
        </is>
      </c>
      <c r="G533" t="inlineStr">
        <is>
          <t>S2职能系统－财经线/CDG财务管理/综合财务管理中心</t>
        </is>
      </c>
      <c r="H533" s="188" t="n">
        <v>40992</v>
      </c>
      <c r="I533" t="inlineStr">
        <is>
          <t>社会招聘</t>
        </is>
      </c>
      <c r="J533" t="inlineStr">
        <is>
          <t>财经类－FN</t>
        </is>
      </c>
      <c r="K533" t="inlineStr">
        <is>
          <t>财务管理</t>
        </is>
      </c>
      <c r="L533" t="inlineStr">
        <is>
          <t>S10</t>
        </is>
      </c>
      <c r="N533" t="inlineStr">
        <is>
          <t>T2</t>
        </is>
      </c>
      <c r="Q533" t="inlineStr">
        <is>
          <t>G,G</t>
        </is>
      </c>
      <c r="U533" t="n">
        <v>37752.2</v>
      </c>
      <c r="V533" t="n">
        <v>0.083333</v>
      </c>
      <c r="W533" t="inlineStr">
        <is>
          <t>CNY</t>
        </is>
      </c>
      <c r="X533" t="n">
        <v>1</v>
      </c>
      <c r="Y533" t="n">
        <v>36526.83</v>
      </c>
      <c r="Z533" t="n">
        <v>0</v>
      </c>
      <c r="AA533" t="n">
        <v>75504.39999999999</v>
      </c>
      <c r="AF533" t="n">
        <v>0</v>
      </c>
      <c r="AG533" t="n">
        <v>129924.4</v>
      </c>
      <c r="AH533" t="n">
        <v>3.556957994986151</v>
      </c>
      <c r="AJ533" t="n">
        <v>3.556957994986151</v>
      </c>
      <c r="AK533" t="n">
        <v>3.556957994986151</v>
      </c>
      <c r="AQ533" t="n">
        <v>129924.4</v>
      </c>
      <c r="AR533" t="n">
        <v>3.556957994986151</v>
      </c>
      <c r="AS533" t="n">
        <v>1.97919719704471</v>
      </c>
      <c r="BL533" t="n">
        <v>1</v>
      </c>
      <c r="BM533" t="n">
        <v>30410</v>
      </c>
      <c r="BN533" t="n">
        <v>0</v>
      </c>
      <c r="BO533" t="n">
        <v>30615</v>
      </c>
      <c r="BP533" t="inlineStr">
        <is>
          <t>U,G</t>
        </is>
      </c>
      <c r="BQ533" t="inlineStr">
        <is>
          <t>T2</t>
        </is>
      </c>
      <c r="BS533" t="n">
        <v>2.158664912857613</v>
      </c>
      <c r="BT533" t="n">
        <v>0</v>
      </c>
      <c r="BV533" t="n">
        <v>2.158664912857613</v>
      </c>
      <c r="BY533" t="n">
        <v>65645</v>
      </c>
      <c r="BZ533" t="n">
        <v>2.158664912857613</v>
      </c>
      <c r="CP533" t="inlineStr">
        <is>
          <t>CDG财务管理</t>
        </is>
      </c>
      <c r="CQ533" t="inlineStr">
        <is>
          <t>3,3</t>
        </is>
      </c>
      <c r="CR533" t="n">
        <v>10</v>
      </c>
      <c r="CS533" t="inlineStr">
        <is>
          <t>T2</t>
        </is>
      </c>
      <c r="CT533" t="inlineStr">
        <is>
          <t>N</t>
        </is>
      </c>
    </row>
    <row r="534">
      <c r="A534" t="inlineStr">
        <is>
          <t>marcusYu(余辉辉)</t>
        </is>
      </c>
      <c r="C534" t="n">
        <v>39407513</v>
      </c>
      <c r="D534" t="inlineStr">
        <is>
          <t>审计监察</t>
        </is>
      </c>
      <c r="E534" t="inlineStr">
        <is>
          <t>审计中台及运营组</t>
        </is>
      </c>
      <c r="G534" t="inlineStr">
        <is>
          <t>S2职能系统－财经线/审计监察/审计中台及运营组</t>
        </is>
      </c>
      <c r="H534" s="188" t="n">
        <v>36948</v>
      </c>
      <c r="I534" t="inlineStr">
        <is>
          <t>高校招聘</t>
        </is>
      </c>
      <c r="J534" t="inlineStr">
        <is>
          <t>财经类－FN</t>
        </is>
      </c>
      <c r="K534" t="inlineStr">
        <is>
          <t>风险管理</t>
        </is>
      </c>
      <c r="L534" t="inlineStr">
        <is>
          <t>S6</t>
        </is>
      </c>
      <c r="N534" t="inlineStr">
        <is>
          <t>T1#</t>
        </is>
      </c>
      <c r="Q534" t="inlineStr">
        <is>
          <t>G,G</t>
        </is>
      </c>
      <c r="U534" t="n">
        <v>33846.8</v>
      </c>
      <c r="V534" t="n">
        <v>0.083333</v>
      </c>
      <c r="W534" t="inlineStr">
        <is>
          <t>CNY</t>
        </is>
      </c>
      <c r="X534" t="n">
        <v>1</v>
      </c>
      <c r="Y534" t="n">
        <v>32768.53</v>
      </c>
      <c r="Z534" t="n">
        <v>0</v>
      </c>
      <c r="AA534" t="n">
        <v>67693.60000000001</v>
      </c>
      <c r="AF534" t="n">
        <v>0</v>
      </c>
      <c r="AG534" t="n">
        <v>232228.6</v>
      </c>
      <c r="AH534" t="n">
        <v>7.086939816952424</v>
      </c>
      <c r="AJ534" t="n">
        <v>7.086939816952424</v>
      </c>
      <c r="AK534" t="n">
        <v>5.406363971774138</v>
      </c>
      <c r="AQ534" t="n">
        <v>232228.6</v>
      </c>
      <c r="AR534" t="n">
        <v>7.086939816952424</v>
      </c>
      <c r="AS534" t="n">
        <v>1.015695416375088</v>
      </c>
      <c r="BL534" t="n">
        <v>1</v>
      </c>
      <c r="BM534" t="n">
        <v>29625</v>
      </c>
      <c r="BN534" t="n">
        <v>0</v>
      </c>
      <c r="BO534" t="n">
        <v>31860</v>
      </c>
      <c r="BP534" t="inlineStr">
        <is>
          <t>G,G</t>
        </is>
      </c>
      <c r="BQ534" t="inlineStr">
        <is>
          <t>T1#</t>
        </is>
      </c>
      <c r="BS534" t="n">
        <v>5.722194092827004</v>
      </c>
      <c r="BT534" t="n">
        <v>59120</v>
      </c>
      <c r="BV534" t="n">
        <v>7.717805907172996</v>
      </c>
      <c r="BY534" t="n">
        <v>228640</v>
      </c>
      <c r="BZ534" t="n">
        <v>7.717805907172996</v>
      </c>
      <c r="CP534" t="inlineStr">
        <is>
          <t>审计监察</t>
        </is>
      </c>
      <c r="CQ534" t="inlineStr">
        <is>
          <t>3,3</t>
        </is>
      </c>
      <c r="CR534" t="n">
        <v>6</v>
      </c>
      <c r="CS534" t="inlineStr">
        <is>
          <t>T1#</t>
        </is>
      </c>
      <c r="CT534" t="inlineStr">
        <is>
          <t>N</t>
        </is>
      </c>
    </row>
    <row r="535">
      <c r="A535" t="inlineStr">
        <is>
          <t>stephanieKong(孔曦莉)</t>
        </is>
      </c>
      <c r="C535" t="n">
        <v>27880378</v>
      </c>
      <c r="D535" t="inlineStr">
        <is>
          <t>财会及报告管理部</t>
        </is>
      </c>
      <c r="E535" t="inlineStr">
        <is>
          <t>供应商支付管理中心</t>
        </is>
      </c>
      <c r="G535" t="inlineStr">
        <is>
          <t>S2职能系统－财经线/财会及报告管理部/供应商支付管理中心</t>
        </is>
      </c>
      <c r="H535" s="188" t="n">
        <v>37138</v>
      </c>
      <c r="I535" t="inlineStr">
        <is>
          <t>社会招聘</t>
        </is>
      </c>
      <c r="J535" t="inlineStr">
        <is>
          <t>财经类－FN</t>
        </is>
      </c>
      <c r="K535" t="inlineStr">
        <is>
          <t>会计</t>
        </is>
      </c>
      <c r="L535" t="inlineStr">
        <is>
          <t>S11</t>
        </is>
      </c>
      <c r="N535" t="inlineStr">
        <is>
          <t>T2</t>
        </is>
      </c>
      <c r="Q535" t="inlineStr">
        <is>
          <t>G,G</t>
        </is>
      </c>
      <c r="U535" t="n">
        <v>52087.9</v>
      </c>
      <c r="V535" t="n">
        <v>0.083333</v>
      </c>
      <c r="W535" t="inlineStr">
        <is>
          <t>CNY</t>
        </is>
      </c>
      <c r="X535" t="n">
        <v>1</v>
      </c>
      <c r="Y535" t="n">
        <v>49044.8</v>
      </c>
      <c r="Z535" t="n">
        <v>0</v>
      </c>
      <c r="AA535" t="n">
        <v>104175.8</v>
      </c>
      <c r="AF535" t="n">
        <v>0</v>
      </c>
      <c r="AG535" t="n">
        <v>169725.8</v>
      </c>
      <c r="AH535" t="n">
        <v>3.460627834143477</v>
      </c>
      <c r="AJ535" t="n">
        <v>3.460627834143477</v>
      </c>
      <c r="AK535" t="n">
        <v>3.460627834143477</v>
      </c>
      <c r="AQ535" t="n">
        <v>169725.8</v>
      </c>
      <c r="AR535" t="n">
        <v>3.460627834143477</v>
      </c>
      <c r="AS535" t="n">
        <v>0.9005215545828359</v>
      </c>
      <c r="BL535" t="n">
        <v>1</v>
      </c>
      <c r="BM535" t="n">
        <v>43175</v>
      </c>
      <c r="BN535" t="n">
        <v>0</v>
      </c>
      <c r="BO535" t="n">
        <v>47115</v>
      </c>
      <c r="BP535" t="inlineStr">
        <is>
          <t>O,G</t>
        </is>
      </c>
      <c r="BQ535" t="inlineStr">
        <is>
          <t>T2</t>
        </is>
      </c>
      <c r="BS535" t="n">
        <v>4.365373480023162</v>
      </c>
      <c r="BT535" t="n">
        <v>0</v>
      </c>
      <c r="BV535" t="n">
        <v>4.365373480023162</v>
      </c>
      <c r="BY535" t="n">
        <v>188475</v>
      </c>
      <c r="BZ535" t="n">
        <v>4.365373480023162</v>
      </c>
      <c r="CP535" t="inlineStr">
        <is>
          <t>财会及报告管理部</t>
        </is>
      </c>
      <c r="CQ535" t="inlineStr">
        <is>
          <t>3,3</t>
        </is>
      </c>
      <c r="CR535" t="n">
        <v>11</v>
      </c>
      <c r="CS535" t="inlineStr">
        <is>
          <t>T2</t>
        </is>
      </c>
      <c r="CT535" t="inlineStr">
        <is>
          <t>N</t>
        </is>
      </c>
    </row>
    <row r="536">
      <c r="A536" t="inlineStr">
        <is>
          <t>madelynLu(陆琳云)</t>
        </is>
      </c>
      <c r="C536" t="n">
        <v>8974647</v>
      </c>
      <c r="D536" t="inlineStr">
        <is>
          <t>行政支持中心</t>
        </is>
      </c>
      <c r="E536" t="inlineStr">
        <is>
          <t>行政支持中心</t>
        </is>
      </c>
      <c r="G536" t="inlineStr">
        <is>
          <t>S2职能系统－财经线/行政支持中心</t>
        </is>
      </c>
      <c r="H536" s="188" t="n">
        <v>38372</v>
      </c>
      <c r="I536" t="inlineStr">
        <is>
          <t>社会招聘</t>
        </is>
      </c>
      <c r="J536" t="inlineStr">
        <is>
          <t>财经类－FN</t>
        </is>
      </c>
      <c r="K536" t="inlineStr">
        <is>
          <t>公司秘书</t>
        </is>
      </c>
      <c r="L536" t="inlineStr">
        <is>
          <t>S8</t>
        </is>
      </c>
      <c r="N536" t="inlineStr">
        <is>
          <t>T2</t>
        </is>
      </c>
      <c r="Q536" t="inlineStr">
        <is>
          <t>O,O</t>
        </is>
      </c>
      <c r="U536" t="n">
        <v>40091.75</v>
      </c>
      <c r="V536" t="n">
        <v>0.083333</v>
      </c>
      <c r="W536" t="inlineStr">
        <is>
          <t>CNY</t>
        </is>
      </c>
      <c r="X536" t="n">
        <v>1</v>
      </c>
      <c r="Y536" t="n">
        <v>38279.08</v>
      </c>
      <c r="Z536" t="n">
        <v>0</v>
      </c>
      <c r="AA536" t="n">
        <v>160367</v>
      </c>
      <c r="AF536" t="n">
        <v>0</v>
      </c>
      <c r="AG536" t="n">
        <v>208917</v>
      </c>
      <c r="AH536" t="n">
        <v>5.457733048965649</v>
      </c>
      <c r="AJ536" t="n">
        <v>5.457733048965649</v>
      </c>
      <c r="AK536" t="n">
        <v>5.457733048965649</v>
      </c>
      <c r="AQ536" t="n">
        <v>208917</v>
      </c>
      <c r="AR536" t="n">
        <v>5.457733048965649</v>
      </c>
      <c r="AS536" t="n">
        <v>0.6858057315431836</v>
      </c>
      <c r="BL536" t="n">
        <v>1</v>
      </c>
      <c r="BM536" t="n">
        <v>33110</v>
      </c>
      <c r="BN536" t="n">
        <v>0</v>
      </c>
      <c r="BO536" t="n">
        <v>34645</v>
      </c>
      <c r="BP536" t="inlineStr">
        <is>
          <t>O,O</t>
        </is>
      </c>
      <c r="BQ536" t="inlineStr">
        <is>
          <t>T1#</t>
        </is>
      </c>
      <c r="BS536" t="n">
        <v>7.358652974932045</v>
      </c>
      <c r="BT536" t="n">
        <v>60985</v>
      </c>
      <c r="BV536" t="n">
        <v>9.200543642404108</v>
      </c>
      <c r="BY536" t="n">
        <v>304630</v>
      </c>
      <c r="BZ536" t="n">
        <v>9.200543642404108</v>
      </c>
      <c r="CP536" t="inlineStr">
        <is>
          <t>行政支持中心</t>
        </is>
      </c>
      <c r="CQ536" t="inlineStr">
        <is>
          <t>5,5</t>
        </is>
      </c>
      <c r="CR536" t="n">
        <v>8</v>
      </c>
      <c r="CS536" t="inlineStr">
        <is>
          <t>T2</t>
        </is>
      </c>
      <c r="CT536" t="inlineStr">
        <is>
          <t>N</t>
        </is>
      </c>
    </row>
    <row r="537">
      <c r="A537" t="inlineStr">
        <is>
          <t>ralphYao(姚德韬)</t>
        </is>
      </c>
      <c r="C537" t="n">
        <v>60454279</v>
      </c>
      <c r="D537" t="inlineStr">
        <is>
          <t>IEG财务管理</t>
        </is>
      </c>
      <c r="E537" t="inlineStr">
        <is>
          <t>自研财务管理组</t>
        </is>
      </c>
      <c r="G537" t="inlineStr">
        <is>
          <t>S2职能系统－财经线/IEG财务管理/自研财务管理组</t>
        </is>
      </c>
      <c r="H537" s="188" t="n">
        <v>45460</v>
      </c>
      <c r="I537" t="inlineStr">
        <is>
          <t>高校招聘</t>
        </is>
      </c>
      <c r="J537" t="inlineStr">
        <is>
          <t>财经类－FN</t>
        </is>
      </c>
      <c r="K537" t="inlineStr">
        <is>
          <t>财务管理</t>
        </is>
      </c>
      <c r="L537" t="inlineStr">
        <is>
          <t>S7</t>
        </is>
      </c>
      <c r="N537" t="inlineStr">
        <is>
          <t>T1#</t>
        </is>
      </c>
      <c r="Q537" t="inlineStr">
        <is>
          <t>N,G</t>
        </is>
      </c>
      <c r="U537" t="n">
        <v>28331.85</v>
      </c>
      <c r="V537" t="n">
        <v>0.083333</v>
      </c>
      <c r="W537" t="inlineStr">
        <is>
          <t>CNY</t>
        </is>
      </c>
      <c r="X537" t="n">
        <v>0.539726</v>
      </c>
      <c r="Y537" t="n">
        <v>27415.93</v>
      </c>
      <c r="Z537" t="n">
        <v>0</v>
      </c>
      <c r="AA537" t="n">
        <v>15291.44</v>
      </c>
      <c r="AF537" t="n">
        <v>0</v>
      </c>
      <c r="AG537" t="n">
        <v>15291.44</v>
      </c>
      <c r="AH537" t="n">
        <v>0.5577574789547537</v>
      </c>
      <c r="AJ537" t="n">
        <v>0.5577574789547537</v>
      </c>
      <c r="AK537" t="n">
        <v>0.5577574789547537</v>
      </c>
      <c r="AQ537" t="n">
        <v>15291.44</v>
      </c>
      <c r="AR537" t="n">
        <v>0.5577574789547537</v>
      </c>
      <c r="BM537" t="n">
        <v>0</v>
      </c>
      <c r="BN537" t="n">
        <v>0</v>
      </c>
      <c r="BO537" t="n">
        <v>0</v>
      </c>
      <c r="BT537" t="n">
        <v>0</v>
      </c>
      <c r="BY537" t="n">
        <v>0</v>
      </c>
      <c r="CP537" t="inlineStr">
        <is>
          <t>IEG财务管理</t>
        </is>
      </c>
      <c r="CQ537" t="n">
        <v>3</v>
      </c>
      <c r="CR537" t="n">
        <v>7</v>
      </c>
      <c r="CS537" t="inlineStr">
        <is>
          <t>T1#</t>
        </is>
      </c>
      <c r="CT537" t="inlineStr">
        <is>
          <t>N</t>
        </is>
      </c>
    </row>
    <row r="538">
      <c r="A538" t="inlineStr">
        <is>
          <t>paulCui(崔德伟)</t>
        </is>
      </c>
      <c r="C538" t="n">
        <v>2632920</v>
      </c>
      <c r="D538" t="inlineStr">
        <is>
          <t>FiT财务管理</t>
        </is>
      </c>
      <c r="E538" t="inlineStr">
        <is>
          <t>结算支持中心</t>
        </is>
      </c>
      <c r="G538" t="inlineStr">
        <is>
          <t>S2职能系统－财经线/FiT财务管理/结算支持中心</t>
        </is>
      </c>
      <c r="H538" s="188" t="n">
        <v>36864</v>
      </c>
      <c r="I538" t="inlineStr">
        <is>
          <t>社会招聘</t>
        </is>
      </c>
      <c r="J538" t="inlineStr">
        <is>
          <t>财经类－FN</t>
        </is>
      </c>
      <c r="K538" t="inlineStr">
        <is>
          <t>财务管理</t>
        </is>
      </c>
      <c r="L538" t="inlineStr">
        <is>
          <t>S10</t>
        </is>
      </c>
      <c r="N538" t="inlineStr">
        <is>
          <t>T1</t>
        </is>
      </c>
      <c r="Q538" t="inlineStr">
        <is>
          <t>G,G</t>
        </is>
      </c>
      <c r="U538" t="n">
        <v>63869.75</v>
      </c>
      <c r="V538" t="n">
        <v>0.083333</v>
      </c>
      <c r="W538" t="inlineStr">
        <is>
          <t>CNY</t>
        </is>
      </c>
      <c r="X538" t="n">
        <v>1</v>
      </c>
      <c r="Y538" t="n">
        <v>61657.73</v>
      </c>
      <c r="Z538" t="n">
        <v>0</v>
      </c>
      <c r="AA538" t="n">
        <v>127739.5</v>
      </c>
      <c r="AF538" t="n">
        <v>0</v>
      </c>
      <c r="AG538" t="n">
        <v>326789.5</v>
      </c>
      <c r="AH538" t="n">
        <v>5.300057267758641</v>
      </c>
      <c r="AJ538" t="n">
        <v>5.300057267758641</v>
      </c>
      <c r="AK538" t="n">
        <v>4.235876020735762</v>
      </c>
      <c r="AQ538" t="n">
        <v>326789.5</v>
      </c>
      <c r="AR538" t="n">
        <v>5.300057267758641</v>
      </c>
      <c r="AS538" t="n">
        <v>2.799293301353435</v>
      </c>
      <c r="BL538" t="n">
        <v>1</v>
      </c>
      <c r="BM538" t="n">
        <v>51685</v>
      </c>
      <c r="BN538" t="n">
        <v>0</v>
      </c>
      <c r="BO538" t="n">
        <v>55885</v>
      </c>
      <c r="BP538" t="inlineStr">
        <is>
          <t>G,U</t>
        </is>
      </c>
      <c r="BQ538" t="inlineStr">
        <is>
          <t>T1</t>
        </is>
      </c>
      <c r="BS538" t="n">
        <v>2.258682403018284</v>
      </c>
      <c r="BT538" t="n">
        <v>0</v>
      </c>
      <c r="BV538" t="n">
        <v>2.258682403018284</v>
      </c>
      <c r="BY538" t="n">
        <v>116740</v>
      </c>
      <c r="BZ538" t="n">
        <v>2.258682403018284</v>
      </c>
      <c r="CP538" t="inlineStr">
        <is>
          <t>FiT财务管理</t>
        </is>
      </c>
      <c r="CQ538" t="inlineStr">
        <is>
          <t>3,3</t>
        </is>
      </c>
      <c r="CR538" t="n">
        <v>10</v>
      </c>
      <c r="CS538" t="inlineStr">
        <is>
          <t>T1</t>
        </is>
      </c>
      <c r="CT538" t="inlineStr">
        <is>
          <t>N</t>
        </is>
      </c>
    </row>
    <row r="539">
      <c r="A539" t="inlineStr">
        <is>
          <t>annaJiang(姜薇兰)</t>
        </is>
      </c>
      <c r="C539" t="n">
        <v>21815817</v>
      </c>
      <c r="D539" t="inlineStr">
        <is>
          <t>风险管理和内部控制</t>
        </is>
      </c>
      <c r="E539" t="inlineStr">
        <is>
          <t>IEG风控中心</t>
        </is>
      </c>
      <c r="G539" t="inlineStr">
        <is>
          <t>S2职能系统－财经线/风险管理和内部控制/IEG风控中心</t>
        </is>
      </c>
      <c r="H539" s="188" t="n">
        <v>38588</v>
      </c>
      <c r="I539" t="inlineStr">
        <is>
          <t>社会招聘</t>
        </is>
      </c>
      <c r="J539" t="inlineStr">
        <is>
          <t>财经类－FN</t>
        </is>
      </c>
      <c r="K539" t="inlineStr">
        <is>
          <t>风险管理</t>
        </is>
      </c>
      <c r="L539" t="inlineStr">
        <is>
          <t>S5</t>
        </is>
      </c>
      <c r="N539" t="inlineStr">
        <is>
          <t>T1#</t>
        </is>
      </c>
      <c r="Q539" t="inlineStr">
        <is>
          <t>G,O</t>
        </is>
      </c>
      <c r="U539" t="n">
        <v>24541.75</v>
      </c>
      <c r="V539" t="n">
        <v>0.083333</v>
      </c>
      <c r="W539" t="inlineStr">
        <is>
          <t>CNY</t>
        </is>
      </c>
      <c r="X539" t="n">
        <v>1</v>
      </c>
      <c r="Y539" t="n">
        <v>22340.29</v>
      </c>
      <c r="Z539" t="n">
        <v>0</v>
      </c>
      <c r="AA539" t="n">
        <v>73625.25</v>
      </c>
      <c r="AF539" t="n">
        <v>0</v>
      </c>
      <c r="AG539" t="n">
        <v>182135.25</v>
      </c>
      <c r="AH539" t="n">
        <v>8.152770174424772</v>
      </c>
      <c r="AJ539" t="n">
        <v>8.152770174424772</v>
      </c>
      <c r="AK539" t="n">
        <v>6.950458118493538</v>
      </c>
      <c r="AQ539" t="n">
        <v>182135.25</v>
      </c>
      <c r="AR539" t="n">
        <v>8.152770174424772</v>
      </c>
      <c r="AS539" t="n">
        <v>1.002836967294351</v>
      </c>
      <c r="BL539" t="n">
        <v>1</v>
      </c>
      <c r="BM539" t="n">
        <v>20825</v>
      </c>
      <c r="BN539" t="n">
        <v>0</v>
      </c>
      <c r="BO539" t="n">
        <v>21980</v>
      </c>
      <c r="BP539" t="inlineStr">
        <is>
          <t>G,O</t>
        </is>
      </c>
      <c r="BQ539" t="inlineStr">
        <is>
          <t>T1#</t>
        </is>
      </c>
      <c r="BS539" t="n">
        <v>6.80672268907563</v>
      </c>
      <c r="BT539" t="n">
        <v>39870</v>
      </c>
      <c r="BV539" t="n">
        <v>8.72124849939976</v>
      </c>
      <c r="BY539" t="n">
        <v>181620</v>
      </c>
      <c r="BZ539" t="n">
        <v>8.72124849939976</v>
      </c>
      <c r="CP539" t="inlineStr">
        <is>
          <t>风险管理和内部控制</t>
        </is>
      </c>
      <c r="CQ539" t="inlineStr">
        <is>
          <t>5,3</t>
        </is>
      </c>
      <c r="CR539" t="n">
        <v>5</v>
      </c>
      <c r="CS539" t="inlineStr">
        <is>
          <t>T1#</t>
        </is>
      </c>
      <c r="CT539" t="inlineStr">
        <is>
          <t>N</t>
        </is>
      </c>
    </row>
    <row r="540">
      <c r="A540" t="inlineStr">
        <is>
          <t>madelynCui(崔蓉)</t>
        </is>
      </c>
      <c r="C540" t="n">
        <v>88796662</v>
      </c>
      <c r="D540" t="inlineStr">
        <is>
          <t>税务部</t>
        </is>
      </c>
      <c r="E540" t="inlineStr">
        <is>
          <t>印章及文档管理组</t>
        </is>
      </c>
      <c r="G540" t="inlineStr">
        <is>
          <t>S2职能系统－财经线/税务部/印章及文档管理组</t>
        </is>
      </c>
      <c r="H540" s="188" t="n">
        <v>36194</v>
      </c>
      <c r="I540" t="inlineStr">
        <is>
          <t>高校招聘</t>
        </is>
      </c>
      <c r="J540" t="inlineStr">
        <is>
          <t>财经类－FN</t>
        </is>
      </c>
      <c r="K540" t="inlineStr">
        <is>
          <t>税务</t>
        </is>
      </c>
      <c r="L540" t="inlineStr">
        <is>
          <t>S10</t>
        </is>
      </c>
      <c r="N540" t="inlineStr">
        <is>
          <t>T1</t>
        </is>
      </c>
      <c r="Q540" t="inlineStr">
        <is>
          <t>G,G</t>
        </is>
      </c>
      <c r="U540" t="n">
        <v>55169.95</v>
      </c>
      <c r="V540" t="n">
        <v>0.083333</v>
      </c>
      <c r="W540" t="inlineStr">
        <is>
          <t>CNY</t>
        </is>
      </c>
      <c r="X540" t="n">
        <v>1</v>
      </c>
      <c r="Y540" t="n">
        <v>52417.67</v>
      </c>
      <c r="Z540" t="n">
        <v>0</v>
      </c>
      <c r="AA540" t="n">
        <v>110339.9</v>
      </c>
      <c r="AF540" t="n">
        <v>0</v>
      </c>
      <c r="AG540" t="n">
        <v>347614.9</v>
      </c>
      <c r="AH540" t="n">
        <v>6.631635858671323</v>
      </c>
      <c r="AJ540" t="n">
        <v>6.631635858671323</v>
      </c>
      <c r="AK540" t="n">
        <v>4.698318334256368</v>
      </c>
      <c r="AQ540" t="n">
        <v>347614.9</v>
      </c>
      <c r="AR540" t="n">
        <v>6.631635858671323</v>
      </c>
      <c r="AS540" t="n">
        <v>1.191788463186766</v>
      </c>
      <c r="BL540" t="n">
        <v>1</v>
      </c>
      <c r="BM540" t="n">
        <v>49235</v>
      </c>
      <c r="BN540" t="n">
        <v>0</v>
      </c>
      <c r="BO540" t="n">
        <v>51315</v>
      </c>
      <c r="BP540" t="inlineStr">
        <is>
          <t>G,O</t>
        </is>
      </c>
      <c r="BQ540" t="inlineStr">
        <is>
          <t>T1</t>
        </is>
      </c>
      <c r="BS540" t="n">
        <v>4.514776073931147</v>
      </c>
      <c r="BT540" t="n">
        <v>69390</v>
      </c>
      <c r="BV540" t="n">
        <v>5.924139331776176</v>
      </c>
      <c r="BY540" t="n">
        <v>291675</v>
      </c>
      <c r="BZ540" t="n">
        <v>5.924139331776176</v>
      </c>
      <c r="CP540" t="inlineStr">
        <is>
          <t>税务部</t>
        </is>
      </c>
      <c r="CQ540" t="inlineStr">
        <is>
          <t>3,3</t>
        </is>
      </c>
      <c r="CR540" t="n">
        <v>10</v>
      </c>
      <c r="CS540" t="inlineStr">
        <is>
          <t>T1</t>
        </is>
      </c>
      <c r="CT540" t="inlineStr">
        <is>
          <t>N</t>
        </is>
      </c>
    </row>
    <row r="541">
      <c r="A541" t="inlineStr">
        <is>
          <t>sarahGao(高澜)</t>
        </is>
      </c>
      <c r="C541" t="n">
        <v>16958021</v>
      </c>
      <c r="D541" t="inlineStr">
        <is>
          <t>CDG财务管理</t>
        </is>
      </c>
      <c r="E541" t="inlineStr">
        <is>
          <t>AMS收入支持中心</t>
        </is>
      </c>
      <c r="G541" t="inlineStr">
        <is>
          <t>S2职能系统－财经线/CDG财务管理/AMS收入支持中心</t>
        </is>
      </c>
      <c r="H541" s="188" t="n">
        <v>43875</v>
      </c>
      <c r="I541" t="inlineStr">
        <is>
          <t>社会招聘</t>
        </is>
      </c>
      <c r="J541" t="inlineStr">
        <is>
          <t>财经类－FN</t>
        </is>
      </c>
      <c r="K541" t="inlineStr">
        <is>
          <t>财务管理</t>
        </is>
      </c>
      <c r="L541" t="inlineStr">
        <is>
          <t>S7</t>
        </is>
      </c>
      <c r="N541" t="inlineStr">
        <is>
          <t>T1</t>
        </is>
      </c>
      <c r="Q541" t="inlineStr">
        <is>
          <t>O,G</t>
        </is>
      </c>
      <c r="U541" t="n">
        <v>30265.25</v>
      </c>
      <c r="V541" t="n">
        <v>0.083333</v>
      </c>
      <c r="W541" t="inlineStr">
        <is>
          <t>CNY</t>
        </is>
      </c>
      <c r="X541" t="n">
        <v>1</v>
      </c>
      <c r="Y541" t="n">
        <v>29432.77</v>
      </c>
      <c r="Z541" t="n">
        <v>0</v>
      </c>
      <c r="AA541" t="n">
        <v>90795.75</v>
      </c>
      <c r="AF541" t="n">
        <v>0</v>
      </c>
      <c r="AG541" t="n">
        <v>206235.75</v>
      </c>
      <c r="AH541" t="n">
        <v>7.007011232717818</v>
      </c>
      <c r="AJ541" t="n">
        <v>7.007011232717818</v>
      </c>
      <c r="AK541" t="n">
        <v>5.15618305718422</v>
      </c>
      <c r="AQ541" t="n">
        <v>206235.75</v>
      </c>
      <c r="AR541" t="n">
        <v>7.007011232717818</v>
      </c>
      <c r="AS541" t="n">
        <v>1.304010306345041</v>
      </c>
      <c r="BL541" t="n">
        <v>1</v>
      </c>
      <c r="BM541" t="n">
        <v>26280</v>
      </c>
      <c r="BN541" t="n">
        <v>0</v>
      </c>
      <c r="BO541" t="n">
        <v>27260</v>
      </c>
      <c r="BP541" t="inlineStr">
        <is>
          <t>G,O</t>
        </is>
      </c>
      <c r="BQ541" t="inlineStr">
        <is>
          <t>T1</t>
        </is>
      </c>
      <c r="BS541" t="n">
        <v>4.186834094368341</v>
      </c>
      <c r="BT541" t="n">
        <v>48125</v>
      </c>
      <c r="BV541" t="n">
        <v>6.018074581430746</v>
      </c>
      <c r="BY541" t="n">
        <v>158155</v>
      </c>
      <c r="BZ541" t="n">
        <v>6.018074581430746</v>
      </c>
      <c r="CP541" t="inlineStr">
        <is>
          <t>CDG财务管理</t>
        </is>
      </c>
      <c r="CQ541" t="inlineStr">
        <is>
          <t>5,3</t>
        </is>
      </c>
      <c r="CR541" t="n">
        <v>7</v>
      </c>
      <c r="CS541" t="inlineStr">
        <is>
          <t>T1</t>
        </is>
      </c>
      <c r="CT541" t="inlineStr">
        <is>
          <t>N</t>
        </is>
      </c>
    </row>
    <row r="542">
      <c r="A542" t="inlineStr">
        <is>
          <t>michelleJiang(姜琴)</t>
        </is>
      </c>
      <c r="C542" t="n">
        <v>56760832</v>
      </c>
      <c r="D542" t="inlineStr">
        <is>
          <t>行政支持中心</t>
        </is>
      </c>
      <c r="E542" t="inlineStr">
        <is>
          <t>秘书组</t>
        </is>
      </c>
      <c r="G542" t="inlineStr">
        <is>
          <t>S2职能系统－财经线/行政支持中心/秘书组</t>
        </is>
      </c>
      <c r="H542" s="188" t="n">
        <v>42045</v>
      </c>
      <c r="I542" t="inlineStr">
        <is>
          <t>社会招聘</t>
        </is>
      </c>
      <c r="J542" t="inlineStr">
        <is>
          <t>财经类－FN</t>
        </is>
      </c>
      <c r="K542" t="inlineStr">
        <is>
          <t>公司秘书</t>
        </is>
      </c>
      <c r="L542" t="inlineStr">
        <is>
          <t>S9</t>
        </is>
      </c>
      <c r="N542" t="inlineStr">
        <is>
          <t>Others</t>
        </is>
      </c>
      <c r="Q542" t="inlineStr">
        <is>
          <t>G,G</t>
        </is>
      </c>
      <c r="U542" t="n">
        <v>35846.9</v>
      </c>
      <c r="V542" t="n">
        <v>0.083333</v>
      </c>
      <c r="W542" t="inlineStr">
        <is>
          <t>CNY</t>
        </is>
      </c>
      <c r="X542" t="n">
        <v>1</v>
      </c>
      <c r="Y542" t="n">
        <v>33509.98</v>
      </c>
      <c r="Z542" t="n">
        <v>0</v>
      </c>
      <c r="AA542" t="n">
        <v>71693.8</v>
      </c>
      <c r="AF542" t="n">
        <v>0</v>
      </c>
      <c r="AG542" t="n">
        <v>100538.8</v>
      </c>
      <c r="AH542" t="n">
        <v>3.000264398844762</v>
      </c>
      <c r="AJ542" t="n">
        <v>3.000264398844762</v>
      </c>
      <c r="AK542" t="n">
        <v>3.000264398844762</v>
      </c>
      <c r="AQ542" t="n">
        <v>100538.8</v>
      </c>
      <c r="AR542" t="n">
        <v>3.000264398844762</v>
      </c>
      <c r="AS542" t="n">
        <v>0.9358976029788224</v>
      </c>
      <c r="BL542" t="n">
        <v>1</v>
      </c>
      <c r="BM542" t="n">
        <v>29805</v>
      </c>
      <c r="BN542" t="n">
        <v>0</v>
      </c>
      <c r="BO542" t="n">
        <v>31630</v>
      </c>
      <c r="BP542" t="inlineStr">
        <is>
          <t>G,G</t>
        </is>
      </c>
      <c r="BQ542" t="inlineStr">
        <is>
          <t>Others</t>
        </is>
      </c>
      <c r="BS542" t="n">
        <v>3.604261030028518</v>
      </c>
      <c r="BT542" t="n">
        <v>0</v>
      </c>
      <c r="BV542" t="n">
        <v>3.604261030028518</v>
      </c>
      <c r="BY542" t="n">
        <v>107425</v>
      </c>
      <c r="BZ542" t="n">
        <v>3.604261030028518</v>
      </c>
      <c r="CP542" t="inlineStr">
        <is>
          <t>行政支持中心</t>
        </is>
      </c>
      <c r="CQ542" t="inlineStr">
        <is>
          <t>3,3</t>
        </is>
      </c>
      <c r="CR542" t="n">
        <v>9</v>
      </c>
      <c r="CS542" t="inlineStr">
        <is>
          <t>Others</t>
        </is>
      </c>
      <c r="CT542" t="inlineStr">
        <is>
          <t>N</t>
        </is>
      </c>
    </row>
    <row r="543">
      <c r="A543" t="inlineStr">
        <is>
          <t>sophieWu(武茹)</t>
        </is>
      </c>
      <c r="C543" t="n">
        <v>46632555</v>
      </c>
      <c r="D543" t="inlineStr">
        <is>
          <t>董事会办公室</t>
        </is>
      </c>
      <c r="E543" t="inlineStr">
        <is>
          <t>公司治理财经办公室</t>
        </is>
      </c>
      <c r="G543" t="inlineStr">
        <is>
          <t>S2职能系统－财经线/董事会办公室/公司治理财经办公室</t>
        </is>
      </c>
      <c r="H543" s="188" t="n">
        <v>41286</v>
      </c>
      <c r="I543" t="inlineStr">
        <is>
          <t>社会招聘</t>
        </is>
      </c>
      <c r="J543" t="inlineStr">
        <is>
          <t>财经类－FN</t>
        </is>
      </c>
      <c r="K543" t="inlineStr">
        <is>
          <t>公司秘书</t>
        </is>
      </c>
      <c r="L543" t="inlineStr">
        <is>
          <t>S8</t>
        </is>
      </c>
      <c r="N543" t="inlineStr">
        <is>
          <t>T2</t>
        </is>
      </c>
      <c r="Q543" t="inlineStr">
        <is>
          <t>U,U</t>
        </is>
      </c>
      <c r="U543" t="n">
        <v>46769</v>
      </c>
      <c r="V543" t="n">
        <v>0.083333</v>
      </c>
      <c r="W543" t="inlineStr">
        <is>
          <t>CNY</t>
        </is>
      </c>
      <c r="X543" t="n">
        <v>1</v>
      </c>
      <c r="Y543" t="n">
        <v>45177.98</v>
      </c>
      <c r="Z543" t="n">
        <v>0</v>
      </c>
      <c r="AA543" t="n">
        <v>0</v>
      </c>
      <c r="AF543" t="n">
        <v>0</v>
      </c>
      <c r="AG543" t="n">
        <v>62640</v>
      </c>
      <c r="AH543" t="n">
        <v>1.386516174472608</v>
      </c>
      <c r="AJ543" t="n">
        <v>1.386516174472608</v>
      </c>
      <c r="AK543" t="n">
        <v>1.386516174472608</v>
      </c>
      <c r="AQ543" t="n">
        <v>62640</v>
      </c>
      <c r="AR543" t="n">
        <v>1.386516174472608</v>
      </c>
      <c r="AS543" t="n">
        <v>0.2961842167478368</v>
      </c>
      <c r="BL543" t="n">
        <v>1</v>
      </c>
      <c r="BM543" t="n">
        <v>38110</v>
      </c>
      <c r="BN543" t="n">
        <v>0</v>
      </c>
      <c r="BO543" t="n">
        <v>40535</v>
      </c>
      <c r="BP543" t="inlineStr">
        <is>
          <t>O,O</t>
        </is>
      </c>
      <c r="BQ543" t="inlineStr">
        <is>
          <t>T2</t>
        </is>
      </c>
      <c r="BS543" t="n">
        <v>5.549462083442666</v>
      </c>
      <c r="BT543" t="n">
        <v>0</v>
      </c>
      <c r="BV543" t="n">
        <v>5.549462083442666</v>
      </c>
      <c r="BY543" t="n">
        <v>211490</v>
      </c>
      <c r="BZ543" t="n">
        <v>5.549462083442666</v>
      </c>
      <c r="CP543" t="inlineStr">
        <is>
          <t>董事会办公室</t>
        </is>
      </c>
      <c r="CQ543" t="inlineStr">
        <is>
          <t>1,1</t>
        </is>
      </c>
      <c r="CR543" t="n">
        <v>8</v>
      </c>
      <c r="CS543" t="inlineStr">
        <is>
          <t>T2</t>
        </is>
      </c>
      <c r="CT543" t="inlineStr">
        <is>
          <t>N</t>
        </is>
      </c>
    </row>
    <row r="544">
      <c r="A544" t="inlineStr">
        <is>
          <t>royLin(林卓浩)</t>
        </is>
      </c>
      <c r="C544" t="n">
        <v>93138147</v>
      </c>
      <c r="D544" t="inlineStr">
        <is>
          <t>CSIG财务管理</t>
        </is>
      </c>
      <c r="E544" t="inlineStr">
        <is>
          <t>综合财务管理中心</t>
        </is>
      </c>
      <c r="G544" t="inlineStr">
        <is>
          <t>S2职能系统－财经线/CSIG财务管理/综合财务管理中心</t>
        </is>
      </c>
      <c r="H544" s="188" t="n">
        <v>38217</v>
      </c>
      <c r="I544" t="inlineStr">
        <is>
          <t>社会招聘</t>
        </is>
      </c>
      <c r="J544" t="inlineStr">
        <is>
          <t>财经类－FN</t>
        </is>
      </c>
      <c r="K544" t="inlineStr">
        <is>
          <t>财务管理</t>
        </is>
      </c>
      <c r="L544" t="inlineStr">
        <is>
          <t>S6</t>
        </is>
      </c>
      <c r="N544" t="inlineStr">
        <is>
          <t>T1</t>
        </is>
      </c>
      <c r="Q544" t="inlineStr">
        <is>
          <t>G,U</t>
        </is>
      </c>
      <c r="U544" t="n">
        <v>24762.65</v>
      </c>
      <c r="V544" t="n">
        <v>0.083333</v>
      </c>
      <c r="W544" t="inlineStr">
        <is>
          <t>CNY</t>
        </is>
      </c>
      <c r="X544" t="n">
        <v>1</v>
      </c>
      <c r="Y544" t="n">
        <v>22598.73</v>
      </c>
      <c r="Z544" t="n">
        <v>0</v>
      </c>
      <c r="AA544" t="n">
        <v>24762.65</v>
      </c>
      <c r="AF544" t="n">
        <v>0</v>
      </c>
      <c r="AG544" t="n">
        <v>82047.64999999999</v>
      </c>
      <c r="AH544" t="n">
        <v>3.630631013335705</v>
      </c>
      <c r="AJ544" t="n">
        <v>3.630631013335705</v>
      </c>
      <c r="AK544" t="n">
        <v>3.630631013335705</v>
      </c>
      <c r="AQ544" t="n">
        <v>82047.64999999999</v>
      </c>
      <c r="AR544" t="n">
        <v>3.630631013335705</v>
      </c>
      <c r="AS544" t="n">
        <v>0.7451087499432411</v>
      </c>
      <c r="BL544" t="n">
        <v>1</v>
      </c>
      <c r="BM544" t="n">
        <v>21910</v>
      </c>
      <c r="BN544" t="n">
        <v>0</v>
      </c>
      <c r="BO544" t="n">
        <v>22785</v>
      </c>
      <c r="BP544" t="inlineStr">
        <is>
          <t>G,G</t>
        </is>
      </c>
      <c r="BQ544" t="inlineStr">
        <is>
          <t>T1</t>
        </is>
      </c>
      <c r="BS544" t="n">
        <v>3.240073026015518</v>
      </c>
      <c r="BT544" t="n">
        <v>39125</v>
      </c>
      <c r="BV544" t="n">
        <v>5.025787311729804</v>
      </c>
      <c r="BY544" t="n">
        <v>110115</v>
      </c>
      <c r="BZ544" t="n">
        <v>5.025787311729804</v>
      </c>
      <c r="CP544" t="inlineStr">
        <is>
          <t>CSIG财务管理</t>
        </is>
      </c>
      <c r="CQ544" t="inlineStr">
        <is>
          <t>3,1</t>
        </is>
      </c>
      <c r="CR544" t="n">
        <v>6</v>
      </c>
      <c r="CS544" t="inlineStr">
        <is>
          <t>T1</t>
        </is>
      </c>
      <c r="CT544" t="inlineStr">
        <is>
          <t>N</t>
        </is>
      </c>
    </row>
    <row r="545">
      <c r="A545" t="inlineStr">
        <is>
          <t>victoriaLiang(梁君)</t>
        </is>
      </c>
      <c r="C545" t="n">
        <v>37901065</v>
      </c>
      <c r="D545" t="inlineStr">
        <is>
          <t>CSIG财务管理</t>
        </is>
      </c>
      <c r="E545" t="inlineStr">
        <is>
          <t>行业财务管理1中心</t>
        </is>
      </c>
      <c r="G545" t="inlineStr">
        <is>
          <t>S2职能系统－财经线/CSIG财务管理/行业财务管理1中心</t>
        </is>
      </c>
      <c r="H545" s="188" t="n">
        <v>36757</v>
      </c>
      <c r="I545" t="inlineStr">
        <is>
          <t>社会招聘</t>
        </is>
      </c>
      <c r="J545" t="inlineStr">
        <is>
          <t>财经类－FN</t>
        </is>
      </c>
      <c r="K545" t="inlineStr">
        <is>
          <t>财务管理</t>
        </is>
      </c>
      <c r="L545" t="inlineStr">
        <is>
          <t>S12</t>
        </is>
      </c>
      <c r="M545" t="inlineStr">
        <is>
          <t>L1-1</t>
        </is>
      </c>
      <c r="N545" t="inlineStr">
        <is>
          <t>T1</t>
        </is>
      </c>
      <c r="Q545" t="inlineStr">
        <is>
          <t>U,O</t>
        </is>
      </c>
      <c r="U545" t="n">
        <v>69789.10000000001</v>
      </c>
      <c r="V545" t="n">
        <v>0.083333</v>
      </c>
      <c r="W545" t="inlineStr">
        <is>
          <t>CNY</t>
        </is>
      </c>
      <c r="X545" t="n">
        <v>1</v>
      </c>
      <c r="Y545" t="n">
        <v>67962.85000000001</v>
      </c>
      <c r="Z545" t="n">
        <v>0</v>
      </c>
      <c r="AA545" t="n">
        <v>139578.2</v>
      </c>
      <c r="AF545" t="n">
        <v>50915</v>
      </c>
      <c r="AG545" t="n">
        <v>301653.2</v>
      </c>
      <c r="AH545" t="n">
        <v>4.438501328299211</v>
      </c>
      <c r="AJ545" t="n">
        <v>5.187660611642978</v>
      </c>
      <c r="AK545" t="n">
        <v>5.187660611642978</v>
      </c>
      <c r="AQ545" t="n">
        <v>352568.2</v>
      </c>
      <c r="AR545" t="n">
        <v>5.187660611642978</v>
      </c>
      <c r="AS545" t="n">
        <v>0.7461602929038539</v>
      </c>
      <c r="BL545" t="n">
        <v>1</v>
      </c>
      <c r="BM545" t="n">
        <v>60890</v>
      </c>
      <c r="BN545" t="n">
        <v>0</v>
      </c>
      <c r="BO545" t="n">
        <v>61585</v>
      </c>
      <c r="BP545" t="inlineStr">
        <is>
          <t>O,G</t>
        </is>
      </c>
      <c r="BQ545" t="inlineStr">
        <is>
          <t>T1#</t>
        </is>
      </c>
      <c r="BS545" t="n">
        <v>6.073985876170143</v>
      </c>
      <c r="BT545" t="n">
        <v>102665</v>
      </c>
      <c r="BV545" t="n">
        <v>7.760059123008705</v>
      </c>
      <c r="BY545" t="n">
        <v>472510</v>
      </c>
      <c r="BZ545" t="n">
        <v>7.760059123008705</v>
      </c>
      <c r="CP545" t="inlineStr">
        <is>
          <t>CSIG财务管理</t>
        </is>
      </c>
      <c r="CQ545" t="inlineStr">
        <is>
          <t>5,1</t>
        </is>
      </c>
      <c r="CR545" t="n">
        <v>12</v>
      </c>
      <c r="CS545" t="inlineStr">
        <is>
          <t>T1</t>
        </is>
      </c>
      <c r="CT545" t="inlineStr">
        <is>
          <t>N</t>
        </is>
      </c>
    </row>
    <row r="546">
      <c r="A546" t="inlineStr">
        <is>
          <t>juliaWei(魏蝶)</t>
        </is>
      </c>
      <c r="C546" t="n">
        <v>50550498</v>
      </c>
      <c r="D546" t="inlineStr">
        <is>
          <t>CSIG财务管理</t>
        </is>
      </c>
      <c r="E546" t="inlineStr">
        <is>
          <t>行业财务管理2中心</t>
        </is>
      </c>
      <c r="G546" t="inlineStr">
        <is>
          <t>S2职能系统－财经线/CSIG财务管理/行业财务管理2中心</t>
        </is>
      </c>
      <c r="H546" s="188" t="n">
        <v>40488</v>
      </c>
      <c r="I546" t="inlineStr">
        <is>
          <t>社会招聘</t>
        </is>
      </c>
      <c r="J546" t="inlineStr">
        <is>
          <t>财经类－FN</t>
        </is>
      </c>
      <c r="K546" t="inlineStr">
        <is>
          <t>财务管理</t>
        </is>
      </c>
      <c r="L546" t="inlineStr">
        <is>
          <t>S5</t>
        </is>
      </c>
      <c r="N546" t="inlineStr">
        <is>
          <t>T2</t>
        </is>
      </c>
      <c r="Q546" t="inlineStr">
        <is>
          <t>O,U</t>
        </is>
      </c>
      <c r="U546" t="n">
        <v>26149.2</v>
      </c>
      <c r="V546" t="n">
        <v>0.083333</v>
      </c>
      <c r="W546" t="inlineStr">
        <is>
          <t>CNY</t>
        </is>
      </c>
      <c r="X546" t="n">
        <v>1</v>
      </c>
      <c r="Y546" t="n">
        <v>24441.91</v>
      </c>
      <c r="Z546" t="n">
        <v>0</v>
      </c>
      <c r="AA546" t="n">
        <v>52298.4</v>
      </c>
      <c r="AF546" t="n">
        <v>0</v>
      </c>
      <c r="AG546" t="n">
        <v>78803.39999999999</v>
      </c>
      <c r="AH546" t="n">
        <v>3.224109736104912</v>
      </c>
      <c r="AJ546" t="n">
        <v>3.224109736104912</v>
      </c>
      <c r="AK546" t="n">
        <v>3.224109736104912</v>
      </c>
      <c r="AQ546" t="n">
        <v>78803.39999999999</v>
      </c>
      <c r="AR546" t="n">
        <v>3.224109736104912</v>
      </c>
      <c r="AS546" t="n">
        <v>0.7571789574825846</v>
      </c>
      <c r="BL546" t="n">
        <v>1</v>
      </c>
      <c r="BM546" t="n">
        <v>23190</v>
      </c>
      <c r="BN546" t="n">
        <v>0</v>
      </c>
      <c r="BO546" t="n">
        <v>23295</v>
      </c>
      <c r="BP546" t="inlineStr">
        <is>
          <t>O,G</t>
        </is>
      </c>
      <c r="BQ546" t="inlineStr">
        <is>
          <t>T2</t>
        </is>
      </c>
      <c r="BS546" t="n">
        <v>4.487925830099181</v>
      </c>
      <c r="BT546" t="n">
        <v>0</v>
      </c>
      <c r="BV546" t="n">
        <v>4.487925830099181</v>
      </c>
      <c r="BY546" t="n">
        <v>104075</v>
      </c>
      <c r="BZ546" t="n">
        <v>4.487925830099181</v>
      </c>
      <c r="CP546" t="inlineStr">
        <is>
          <t>CSIG财务管理</t>
        </is>
      </c>
      <c r="CQ546" t="inlineStr">
        <is>
          <t>5,1</t>
        </is>
      </c>
      <c r="CR546" t="n">
        <v>5</v>
      </c>
      <c r="CS546" t="inlineStr">
        <is>
          <t>T2</t>
        </is>
      </c>
      <c r="CT546" t="inlineStr">
        <is>
          <t>N</t>
        </is>
      </c>
    </row>
    <row r="547">
      <c r="A547" t="inlineStr">
        <is>
          <t>robertFan(范骏华)</t>
        </is>
      </c>
      <c r="C547" t="n">
        <v>96590800</v>
      </c>
      <c r="D547" t="inlineStr">
        <is>
          <t>CSIG财务管理</t>
        </is>
      </c>
      <c r="E547" t="inlineStr">
        <is>
          <t>行业财务管理3中心</t>
        </is>
      </c>
      <c r="G547" t="inlineStr">
        <is>
          <t>S2职能系统－财经线/CSIG财务管理/行业财务管理3中心</t>
        </is>
      </c>
      <c r="H547" s="188" t="n">
        <v>37313</v>
      </c>
      <c r="I547" t="inlineStr">
        <is>
          <t>社会招聘</t>
        </is>
      </c>
      <c r="J547" t="inlineStr">
        <is>
          <t>财经类－FN</t>
        </is>
      </c>
      <c r="K547" t="inlineStr">
        <is>
          <t>财务管理</t>
        </is>
      </c>
      <c r="L547" t="inlineStr">
        <is>
          <t>S7</t>
        </is>
      </c>
      <c r="N547" t="inlineStr">
        <is>
          <t>T1</t>
        </is>
      </c>
      <c r="Q547" t="inlineStr">
        <is>
          <t>G,G</t>
        </is>
      </c>
      <c r="U547" t="n">
        <v>33188.1</v>
      </c>
      <c r="V547" t="n">
        <v>0.083333</v>
      </c>
      <c r="W547" t="inlineStr">
        <is>
          <t>CNY</t>
        </is>
      </c>
      <c r="X547" t="n">
        <v>1</v>
      </c>
      <c r="Y547" t="n">
        <v>30972.27</v>
      </c>
      <c r="Z547" t="n">
        <v>0</v>
      </c>
      <c r="AA547" t="n">
        <v>66376.2</v>
      </c>
      <c r="AF547" t="n">
        <v>0</v>
      </c>
      <c r="AG547" t="n">
        <v>179121.2</v>
      </c>
      <c r="AH547" t="n">
        <v>5.783276459878466</v>
      </c>
      <c r="AJ547" t="n">
        <v>5.783276459878466</v>
      </c>
      <c r="AK547" t="n">
        <v>4.296139740483988</v>
      </c>
      <c r="AQ547" t="n">
        <v>179121.2</v>
      </c>
      <c r="AR547" t="n">
        <v>5.783276459878466</v>
      </c>
      <c r="AS547" t="n">
        <v>0.9735641492512978</v>
      </c>
      <c r="BL547" t="n">
        <v>1</v>
      </c>
      <c r="BM547" t="n">
        <v>28550</v>
      </c>
      <c r="BN547" t="n">
        <v>0</v>
      </c>
      <c r="BO547" t="n">
        <v>31325</v>
      </c>
      <c r="BP547" t="inlineStr">
        <is>
          <t>O,G</t>
        </is>
      </c>
      <c r="BQ547" t="inlineStr">
        <is>
          <t>T1</t>
        </is>
      </c>
      <c r="BS547" t="n">
        <v>4.918213660245184</v>
      </c>
      <c r="BT547" t="n">
        <v>43570</v>
      </c>
      <c r="BV547" t="n">
        <v>6.44430823117338</v>
      </c>
      <c r="BY547" t="n">
        <v>183985</v>
      </c>
      <c r="BZ547" t="n">
        <v>6.44430823117338</v>
      </c>
      <c r="CP547" t="inlineStr">
        <is>
          <t>CSIG财务管理</t>
        </is>
      </c>
      <c r="CQ547" t="inlineStr">
        <is>
          <t>3,3</t>
        </is>
      </c>
      <c r="CR547" t="n">
        <v>7</v>
      </c>
      <c r="CS547" t="inlineStr">
        <is>
          <t>T1</t>
        </is>
      </c>
      <c r="CT547" t="inlineStr">
        <is>
          <t>N</t>
        </is>
      </c>
    </row>
    <row r="548">
      <c r="A548" t="inlineStr">
        <is>
          <t>haroldDeng(邓韬)</t>
        </is>
      </c>
      <c r="C548" t="n">
        <v>85748248</v>
      </c>
      <c r="D548" t="inlineStr">
        <is>
          <t>资金管理</t>
        </is>
      </c>
      <c r="E548" t="inlineStr">
        <is>
          <t>融资及资金筹划中心</t>
        </is>
      </c>
      <c r="G548" t="inlineStr">
        <is>
          <t>S2职能系统－财经线/资金管理/融资及资金筹划中心</t>
        </is>
      </c>
      <c r="H548" s="188" t="n">
        <v>41355</v>
      </c>
      <c r="I548" t="inlineStr">
        <is>
          <t>社会招聘</t>
        </is>
      </c>
      <c r="J548" t="inlineStr">
        <is>
          <t>财经类－FN</t>
        </is>
      </c>
      <c r="K548" t="inlineStr">
        <is>
          <t>资金管理</t>
        </is>
      </c>
      <c r="L548" t="inlineStr">
        <is>
          <t>S9</t>
        </is>
      </c>
      <c r="N548" t="inlineStr">
        <is>
          <t>T1</t>
        </is>
      </c>
      <c r="Q548" t="inlineStr">
        <is>
          <t>G,G</t>
        </is>
      </c>
      <c r="U548" t="n">
        <v>43860.5</v>
      </c>
      <c r="V548" t="n">
        <v>0.083333</v>
      </c>
      <c r="W548" t="inlineStr">
        <is>
          <t>CNY</t>
        </is>
      </c>
      <c r="X548" t="n">
        <v>1</v>
      </c>
      <c r="Y548" t="n">
        <v>42147.89</v>
      </c>
      <c r="Z548" t="n">
        <v>0</v>
      </c>
      <c r="AA548" t="n">
        <v>87721</v>
      </c>
      <c r="AF548" t="n">
        <v>0</v>
      </c>
      <c r="AG548" t="n">
        <v>243706</v>
      </c>
      <c r="AH548" t="n">
        <v>5.782163709737309</v>
      </c>
      <c r="AJ548" t="n">
        <v>5.782163709737309</v>
      </c>
      <c r="AK548" t="n">
        <v>4.330133726741718</v>
      </c>
      <c r="AQ548" t="n">
        <v>243706</v>
      </c>
      <c r="AR548" t="n">
        <v>5.782163709737309</v>
      </c>
      <c r="AS548" t="n">
        <v>1.101869560302928</v>
      </c>
      <c r="BL548" t="n">
        <v>1</v>
      </c>
      <c r="BM548" t="n">
        <v>35845</v>
      </c>
      <c r="BN548" t="n">
        <v>0</v>
      </c>
      <c r="BO548" t="n">
        <v>36770</v>
      </c>
      <c r="BP548" t="inlineStr">
        <is>
          <t>O,G</t>
        </is>
      </c>
      <c r="BQ548" t="inlineStr">
        <is>
          <t>T1</t>
        </is>
      </c>
      <c r="BS548" t="n">
        <v>4.198214534802623</v>
      </c>
      <c r="BT548" t="n">
        <v>70690</v>
      </c>
      <c r="BV548" t="n">
        <v>6.170316641093597</v>
      </c>
      <c r="BY548" t="n">
        <v>221175</v>
      </c>
      <c r="BZ548" t="n">
        <v>6.170316641093597</v>
      </c>
      <c r="CP548" t="inlineStr">
        <is>
          <t>资金管理</t>
        </is>
      </c>
      <c r="CQ548" t="inlineStr">
        <is>
          <t>3,3</t>
        </is>
      </c>
      <c r="CR548" t="n">
        <v>9</v>
      </c>
      <c r="CS548" t="inlineStr">
        <is>
          <t>T1</t>
        </is>
      </c>
      <c r="CT548" t="inlineStr">
        <is>
          <t>N</t>
        </is>
      </c>
    </row>
    <row r="549">
      <c r="A549" t="inlineStr">
        <is>
          <t>donaldQian(钱文超)</t>
        </is>
      </c>
      <c r="C549" t="n">
        <v>16031101</v>
      </c>
      <c r="D549" t="inlineStr">
        <is>
          <t>财经投资并购及管理部</t>
        </is>
      </c>
      <c r="E549" t="inlineStr">
        <is>
          <t>行业及项目管理中心</t>
        </is>
      </c>
      <c r="G549" t="inlineStr">
        <is>
          <t>S2职能系统－财经线/财经投资并购及管理部/行业及项目管理中心</t>
        </is>
      </c>
      <c r="H549" s="188" t="n">
        <v>43563</v>
      </c>
      <c r="I549" t="inlineStr">
        <is>
          <t>社会招聘</t>
        </is>
      </c>
      <c r="J549" t="inlineStr">
        <is>
          <t>财经类－FN</t>
        </is>
      </c>
      <c r="K549" t="inlineStr">
        <is>
          <t>投资并购</t>
        </is>
      </c>
      <c r="L549" t="inlineStr">
        <is>
          <t>S11</t>
        </is>
      </c>
      <c r="N549" t="inlineStr">
        <is>
          <t>T2</t>
        </is>
      </c>
      <c r="Q549" t="inlineStr">
        <is>
          <t>G,O</t>
        </is>
      </c>
      <c r="U549" t="n">
        <v>47337.05</v>
      </c>
      <c r="V549" t="n">
        <v>0.083333</v>
      </c>
      <c r="W549" t="inlineStr">
        <is>
          <t>CNY</t>
        </is>
      </c>
      <c r="X549" t="n">
        <v>1</v>
      </c>
      <c r="Y549" t="n">
        <v>43042.28</v>
      </c>
      <c r="Z549" t="n">
        <v>0</v>
      </c>
      <c r="AA549" t="n">
        <v>142011.15</v>
      </c>
      <c r="AF549" t="n">
        <v>0</v>
      </c>
      <c r="AG549" t="n">
        <v>204791.15</v>
      </c>
      <c r="AH549" t="n">
        <v>4.757906644350625</v>
      </c>
      <c r="AJ549" t="n">
        <v>4.757906644350625</v>
      </c>
      <c r="AK549" t="n">
        <v>4.757906644350625</v>
      </c>
      <c r="AQ549" t="n">
        <v>204791.15</v>
      </c>
      <c r="AR549" t="n">
        <v>4.757906644350625</v>
      </c>
      <c r="AS549" t="n">
        <v>2.014768557233509</v>
      </c>
      <c r="BL549" t="n">
        <v>1</v>
      </c>
      <c r="BM549" t="n">
        <v>40190</v>
      </c>
      <c r="BN549" t="n">
        <v>0</v>
      </c>
      <c r="BO549" t="n">
        <v>42590</v>
      </c>
      <c r="BP549" t="inlineStr">
        <is>
          <t>U,G</t>
        </is>
      </c>
      <c r="BQ549" t="inlineStr">
        <is>
          <t>T2</t>
        </is>
      </c>
      <c r="BS549" t="n">
        <v>2.529111719333168</v>
      </c>
      <c r="BT549" t="n">
        <v>0</v>
      </c>
      <c r="BV549" t="n">
        <v>2.529111719333168</v>
      </c>
      <c r="BY549" t="n">
        <v>101645</v>
      </c>
      <c r="BZ549" t="n">
        <v>2.529111719333168</v>
      </c>
      <c r="CP549" t="inlineStr">
        <is>
          <t>财经投资并购及管理部</t>
        </is>
      </c>
      <c r="CQ549" t="inlineStr">
        <is>
          <t>5,3</t>
        </is>
      </c>
      <c r="CR549" t="n">
        <v>11</v>
      </c>
      <c r="CS549" t="inlineStr">
        <is>
          <t>T2</t>
        </is>
      </c>
      <c r="CT549" t="inlineStr">
        <is>
          <t>N</t>
        </is>
      </c>
    </row>
    <row r="550">
      <c r="A550" t="inlineStr">
        <is>
          <t>andrewCao(曹伟)</t>
        </is>
      </c>
      <c r="C550" t="n">
        <v>23560136</v>
      </c>
      <c r="D550" t="inlineStr">
        <is>
          <t>风险管理和内部控制</t>
        </is>
      </c>
      <c r="E550" t="inlineStr">
        <is>
          <t>TEG风控组</t>
        </is>
      </c>
      <c r="G550" t="inlineStr">
        <is>
          <t>S2职能系统－财经线/风险管理和内部控制/TEG风控组</t>
        </is>
      </c>
      <c r="H550" s="188" t="n">
        <v>42697</v>
      </c>
      <c r="I550" t="inlineStr">
        <is>
          <t>高校招聘</t>
        </is>
      </c>
      <c r="J550" t="inlineStr">
        <is>
          <t>财经类－FN</t>
        </is>
      </c>
      <c r="K550" t="inlineStr">
        <is>
          <t>风险管理</t>
        </is>
      </c>
      <c r="L550" t="inlineStr">
        <is>
          <t>S6</t>
        </is>
      </c>
      <c r="N550" t="inlineStr">
        <is>
          <t>T2</t>
        </is>
      </c>
      <c r="Q550" t="inlineStr">
        <is>
          <t>O,G</t>
        </is>
      </c>
      <c r="U550" t="n">
        <v>36251.15</v>
      </c>
      <c r="V550" t="n">
        <v>0.083333</v>
      </c>
      <c r="W550" t="inlineStr">
        <is>
          <t>CNY</t>
        </is>
      </c>
      <c r="X550" t="n">
        <v>1</v>
      </c>
      <c r="Y550" t="n">
        <v>34907.75</v>
      </c>
      <c r="Z550" t="n">
        <v>0</v>
      </c>
      <c r="AA550" t="n">
        <v>108753.45</v>
      </c>
      <c r="AF550" t="n">
        <v>0</v>
      </c>
      <c r="AG550" t="n">
        <v>148258.45</v>
      </c>
      <c r="AH550" t="n">
        <v>4.24714998818314</v>
      </c>
      <c r="AJ550" t="n">
        <v>4.24714998818314</v>
      </c>
      <c r="AK550" t="n">
        <v>4.24714998818314</v>
      </c>
      <c r="AQ550" t="n">
        <v>148258.45</v>
      </c>
      <c r="AR550" t="n">
        <v>4.24714998818314</v>
      </c>
      <c r="AS550" t="n">
        <v>1.362982762583314</v>
      </c>
      <c r="BL550" t="n">
        <v>1</v>
      </c>
      <c r="BM550" t="n">
        <v>29375</v>
      </c>
      <c r="BN550" t="n">
        <v>0</v>
      </c>
      <c r="BO550" t="n">
        <v>31150</v>
      </c>
      <c r="BP550" t="inlineStr">
        <is>
          <t>G,G</t>
        </is>
      </c>
      <c r="BQ550" t="inlineStr">
        <is>
          <t>T2</t>
        </is>
      </c>
      <c r="BS550" t="n">
        <v>3.702978723404255</v>
      </c>
      <c r="BT550" t="n">
        <v>0</v>
      </c>
      <c r="BV550" t="n">
        <v>3.702978723404255</v>
      </c>
      <c r="BY550" t="n">
        <v>108775</v>
      </c>
      <c r="BZ550" t="n">
        <v>3.702978723404255</v>
      </c>
      <c r="CP550" t="inlineStr">
        <is>
          <t>风险管理和内部控制</t>
        </is>
      </c>
      <c r="CQ550" t="inlineStr">
        <is>
          <t>5,3</t>
        </is>
      </c>
      <c r="CR550" t="n">
        <v>6</v>
      </c>
      <c r="CS550" t="inlineStr">
        <is>
          <t>T2</t>
        </is>
      </c>
      <c r="CT550" t="inlineStr">
        <is>
          <t>N</t>
        </is>
      </c>
    </row>
    <row r="551">
      <c r="A551" t="inlineStr">
        <is>
          <t>carolineJin(金婷蓉)</t>
        </is>
      </c>
      <c r="C551" t="n">
        <v>46726061</v>
      </c>
      <c r="D551" t="inlineStr">
        <is>
          <t>CFO办公室</t>
        </is>
      </c>
      <c r="E551" t="inlineStr">
        <is>
          <t>集团个税及综合项目组</t>
        </is>
      </c>
      <c r="G551" t="inlineStr">
        <is>
          <t>S2职能系统－财经线/CFO办公室/集团个税及综合项目组</t>
        </is>
      </c>
      <c r="H551" s="188" t="n">
        <v>44847</v>
      </c>
      <c r="I551" t="inlineStr">
        <is>
          <t>社会招聘</t>
        </is>
      </c>
      <c r="J551" t="inlineStr">
        <is>
          <t>财经类－FN</t>
        </is>
      </c>
      <c r="K551" t="inlineStr">
        <is>
          <t>投资者关系</t>
        </is>
      </c>
      <c r="L551" t="inlineStr">
        <is>
          <t>S9</t>
        </is>
      </c>
      <c r="N551" t="inlineStr">
        <is>
          <t>T1</t>
        </is>
      </c>
      <c r="Q551" t="inlineStr">
        <is>
          <t>G,G</t>
        </is>
      </c>
      <c r="U551" t="n">
        <v>54548.75</v>
      </c>
      <c r="V551" t="n">
        <v>0.083333</v>
      </c>
      <c r="W551" t="inlineStr">
        <is>
          <t>CNY</t>
        </is>
      </c>
      <c r="X551" t="n">
        <v>1</v>
      </c>
      <c r="Y551" t="n">
        <v>49644.74</v>
      </c>
      <c r="Z551" t="n">
        <v>0</v>
      </c>
      <c r="AA551" t="n">
        <v>109097.5</v>
      </c>
      <c r="AF551" t="n">
        <v>0</v>
      </c>
      <c r="AG551" t="n">
        <v>285862.5</v>
      </c>
      <c r="AH551" t="n">
        <v>5.758162899030189</v>
      </c>
      <c r="AJ551" t="n">
        <v>5.758162899030189</v>
      </c>
      <c r="AK551" t="n">
        <v>4.480081877757845</v>
      </c>
      <c r="AQ551" t="n">
        <v>285862.5</v>
      </c>
      <c r="AR551" t="n">
        <v>5.758162899030189</v>
      </c>
      <c r="AS551" t="n">
        <v>1.168741567521158</v>
      </c>
      <c r="BL551" t="n">
        <v>1</v>
      </c>
      <c r="BM551" t="n">
        <v>46275</v>
      </c>
      <c r="BN551" t="n">
        <v>0</v>
      </c>
      <c r="BO551" t="n">
        <v>49780</v>
      </c>
      <c r="BP551" t="inlineStr">
        <is>
          <t>G,G</t>
        </is>
      </c>
      <c r="BQ551" t="inlineStr">
        <is>
          <t>T1</t>
        </is>
      </c>
      <c r="BS551" t="n">
        <v>3.728795245813074</v>
      </c>
      <c r="BT551" t="n">
        <v>72040</v>
      </c>
      <c r="BV551" t="n">
        <v>5.285575364667747</v>
      </c>
      <c r="BY551" t="n">
        <v>244590</v>
      </c>
      <c r="BZ551" t="n">
        <v>5.285575364667747</v>
      </c>
      <c r="CP551" t="inlineStr">
        <is>
          <t>CFO办公室</t>
        </is>
      </c>
      <c r="CQ551" t="inlineStr">
        <is>
          <t>3,3</t>
        </is>
      </c>
      <c r="CR551" t="n">
        <v>9</v>
      </c>
      <c r="CS551" t="inlineStr">
        <is>
          <t>T1</t>
        </is>
      </c>
      <c r="CT551" t="inlineStr">
        <is>
          <t>N</t>
        </is>
      </c>
    </row>
    <row r="552">
      <c r="A552" t="inlineStr">
        <is>
          <t>teresaJia(贾佳)</t>
        </is>
      </c>
      <c r="C552" t="n">
        <v>26918804</v>
      </c>
      <c r="D552" t="inlineStr">
        <is>
          <t>预算及职能系统财务管理部</t>
        </is>
      </c>
      <c r="E552" t="inlineStr">
        <is>
          <t>预算管理中心</t>
        </is>
      </c>
      <c r="G552" t="inlineStr">
        <is>
          <t>S2职能系统－财经线/预算及职能系统财务管理部/预算管理中心</t>
        </is>
      </c>
      <c r="H552" s="188" t="n">
        <v>38142</v>
      </c>
      <c r="I552" t="inlineStr">
        <is>
          <t>社会招聘</t>
        </is>
      </c>
      <c r="J552" t="inlineStr">
        <is>
          <t>财经类－FN</t>
        </is>
      </c>
      <c r="K552" t="inlineStr">
        <is>
          <t>预算管理</t>
        </is>
      </c>
      <c r="L552" t="inlineStr">
        <is>
          <t>S9</t>
        </is>
      </c>
      <c r="N552" t="inlineStr">
        <is>
          <t>T1#</t>
        </is>
      </c>
      <c r="Q552" t="inlineStr">
        <is>
          <t>O,U</t>
        </is>
      </c>
      <c r="U552" t="n">
        <v>54047.35</v>
      </c>
      <c r="V552" t="n">
        <v>0.083333</v>
      </c>
      <c r="W552" t="inlineStr">
        <is>
          <t>CNY</t>
        </is>
      </c>
      <c r="X552" t="n">
        <v>1</v>
      </c>
      <c r="Y552" t="n">
        <v>52901.98</v>
      </c>
      <c r="Z552" t="n">
        <v>0</v>
      </c>
      <c r="AA552" t="n">
        <v>108094.7</v>
      </c>
      <c r="AF552" t="n">
        <v>0</v>
      </c>
      <c r="AG552" t="n">
        <v>277149.7</v>
      </c>
      <c r="AH552" t="n">
        <v>5.238928675259413</v>
      </c>
      <c r="AJ552" t="n">
        <v>5.238928675259413</v>
      </c>
      <c r="AK552" t="n">
        <v>5.238928675259413</v>
      </c>
      <c r="AQ552" t="n">
        <v>277149.7</v>
      </c>
      <c r="AR552" t="n">
        <v>5.238928675259413</v>
      </c>
      <c r="AS552" t="n">
        <v>0.733433100455171</v>
      </c>
      <c r="BL552" t="n">
        <v>1</v>
      </c>
      <c r="BM552" t="n">
        <v>47140</v>
      </c>
      <c r="BN552" t="n">
        <v>0</v>
      </c>
      <c r="BO552" t="n">
        <v>47490</v>
      </c>
      <c r="BP552" t="inlineStr">
        <is>
          <t>O,G</t>
        </is>
      </c>
      <c r="BQ552" t="inlineStr">
        <is>
          <t>T1#</t>
        </is>
      </c>
      <c r="BS552" t="n">
        <v>6.420873992363173</v>
      </c>
      <c r="BT552" t="n">
        <v>75200</v>
      </c>
      <c r="BV552" t="n">
        <v>8.016122189223589</v>
      </c>
      <c r="BY552" t="n">
        <v>377880</v>
      </c>
      <c r="BZ552" t="n">
        <v>8.016122189223589</v>
      </c>
      <c r="CP552" t="inlineStr">
        <is>
          <t>预算及职能系统财务管理部</t>
        </is>
      </c>
      <c r="CQ552" t="inlineStr">
        <is>
          <t>5,1</t>
        </is>
      </c>
      <c r="CR552" t="n">
        <v>9</v>
      </c>
      <c r="CS552" t="inlineStr">
        <is>
          <t>T1#</t>
        </is>
      </c>
      <c r="CT552" t="inlineStr">
        <is>
          <t>N</t>
        </is>
      </c>
    </row>
    <row r="553">
      <c r="A553" t="inlineStr">
        <is>
          <t>kathrynLiang(梁燕欣)</t>
        </is>
      </c>
      <c r="C553" t="n">
        <v>3827049</v>
      </c>
      <c r="D553" t="inlineStr">
        <is>
          <t>行政支持中心</t>
        </is>
      </c>
      <c r="E553" t="inlineStr">
        <is>
          <t>秘书组</t>
        </is>
      </c>
      <c r="G553" t="inlineStr">
        <is>
          <t>S2职能系统－财经线/行政支持中心/秘书组</t>
        </is>
      </c>
      <c r="H553" s="188" t="n">
        <v>41423</v>
      </c>
      <c r="I553" t="inlineStr">
        <is>
          <t>社会招聘</t>
        </is>
      </c>
      <c r="J553" t="inlineStr">
        <is>
          <t>财经类－FN</t>
        </is>
      </c>
      <c r="K553" t="inlineStr">
        <is>
          <t>公司秘书</t>
        </is>
      </c>
      <c r="L553" t="inlineStr">
        <is>
          <t>S8</t>
        </is>
      </c>
      <c r="N553" t="inlineStr">
        <is>
          <t>T1#</t>
        </is>
      </c>
      <c r="Q553" t="inlineStr">
        <is>
          <t>G,O</t>
        </is>
      </c>
      <c r="U553" t="n">
        <v>49276.85</v>
      </c>
      <c r="V553" t="n">
        <v>0.083333</v>
      </c>
      <c r="W553" t="inlineStr">
        <is>
          <t>CNY</t>
        </is>
      </c>
      <c r="X553" t="n">
        <v>1</v>
      </c>
      <c r="Y553" t="n">
        <v>44382.27</v>
      </c>
      <c r="Z553" t="n">
        <v>0</v>
      </c>
      <c r="AA553" t="n">
        <v>147830.55</v>
      </c>
      <c r="AF553" t="n">
        <v>0</v>
      </c>
      <c r="AG553" t="n">
        <v>368735.55</v>
      </c>
      <c r="AH553" t="n">
        <v>8.308172385053762</v>
      </c>
      <c r="AJ553" t="n">
        <v>8.308172385053762</v>
      </c>
      <c r="AK553" t="n">
        <v>6.719812889246088</v>
      </c>
      <c r="AQ553" t="n">
        <v>368735.55</v>
      </c>
      <c r="AR553" t="n">
        <v>8.308172385053762</v>
      </c>
      <c r="AS553" t="n">
        <v>1.222314283820068</v>
      </c>
      <c r="BL553" t="n">
        <v>1</v>
      </c>
      <c r="BM553" t="n">
        <v>44040</v>
      </c>
      <c r="BN553" t="n">
        <v>0</v>
      </c>
      <c r="BO553" t="n">
        <v>45150</v>
      </c>
      <c r="BP553" t="inlineStr">
        <is>
          <t>G,G</t>
        </is>
      </c>
      <c r="BQ553" t="inlineStr">
        <is>
          <t>T1#</t>
        </is>
      </c>
      <c r="BS553" t="n">
        <v>5.476158038147139</v>
      </c>
      <c r="BT553" t="n">
        <v>60500</v>
      </c>
      <c r="BV553" t="n">
        <v>6.849909173478656</v>
      </c>
      <c r="BY553" t="n">
        <v>301670</v>
      </c>
      <c r="BZ553" t="n">
        <v>6.849909173478656</v>
      </c>
      <c r="CP553" t="inlineStr">
        <is>
          <t>行政支持中心</t>
        </is>
      </c>
      <c r="CQ553" t="inlineStr">
        <is>
          <t>5,3</t>
        </is>
      </c>
      <c r="CR553" t="n">
        <v>8</v>
      </c>
      <c r="CS553" t="inlineStr">
        <is>
          <t>T1#</t>
        </is>
      </c>
      <c r="CT553" t="inlineStr">
        <is>
          <t>N</t>
        </is>
      </c>
    </row>
    <row r="554">
      <c r="A554" t="inlineStr">
        <is>
          <t>nancyWang(王君)</t>
        </is>
      </c>
      <c r="C554" t="n">
        <v>36753605</v>
      </c>
      <c r="D554" t="inlineStr">
        <is>
          <t>财会及报告管理部</t>
        </is>
      </c>
      <c r="E554" t="inlineStr">
        <is>
          <t>账务中心</t>
        </is>
      </c>
      <c r="G554" t="inlineStr">
        <is>
          <t>S2职能系统－财经线/财会及报告管理部/账务中心</t>
        </is>
      </c>
      <c r="H554" s="188" t="n">
        <v>40671</v>
      </c>
      <c r="I554" t="inlineStr">
        <is>
          <t>社会招聘</t>
        </is>
      </c>
      <c r="J554" t="inlineStr">
        <is>
          <t>财经类－FN</t>
        </is>
      </c>
      <c r="K554" t="inlineStr">
        <is>
          <t>会计</t>
        </is>
      </c>
      <c r="L554" t="inlineStr">
        <is>
          <t>S8</t>
        </is>
      </c>
      <c r="N554" t="inlineStr">
        <is>
          <t>T1#</t>
        </is>
      </c>
      <c r="Q554" t="inlineStr">
        <is>
          <t>O,G</t>
        </is>
      </c>
      <c r="U554" t="n">
        <v>28942.45</v>
      </c>
      <c r="V554" t="n">
        <v>0.083333</v>
      </c>
      <c r="W554" t="inlineStr">
        <is>
          <t>CNY</t>
        </is>
      </c>
      <c r="X554" t="n">
        <v>1</v>
      </c>
      <c r="Y554" t="n">
        <v>27691.2</v>
      </c>
      <c r="Z554" t="n">
        <v>0</v>
      </c>
      <c r="AA554" t="n">
        <v>86827.35000000001</v>
      </c>
      <c r="AF554" t="n">
        <v>0</v>
      </c>
      <c r="AG554" t="n">
        <v>207667.35</v>
      </c>
      <c r="AH554" t="n">
        <v>7.499398725949038</v>
      </c>
      <c r="AJ554" t="n">
        <v>7.499398725949038</v>
      </c>
      <c r="AK554" t="n">
        <v>6.373228679147166</v>
      </c>
      <c r="AQ554" t="n">
        <v>207667.35</v>
      </c>
      <c r="AR554" t="n">
        <v>7.499398725949038</v>
      </c>
      <c r="AS554" t="n">
        <v>1.087690716249836</v>
      </c>
      <c r="BL554" t="n">
        <v>1</v>
      </c>
      <c r="BM554" t="n">
        <v>24990</v>
      </c>
      <c r="BN554" t="n">
        <v>0</v>
      </c>
      <c r="BO554" t="n">
        <v>27035</v>
      </c>
      <c r="BP554" t="inlineStr">
        <is>
          <t>G,G</t>
        </is>
      </c>
      <c r="BQ554" t="inlineStr">
        <is>
          <t>T1#</t>
        </is>
      </c>
      <c r="BS554" t="n">
        <v>5.826730692276911</v>
      </c>
      <c r="BT554" t="n">
        <v>45315</v>
      </c>
      <c r="BV554" t="n">
        <v>7.640056022408964</v>
      </c>
      <c r="BY554" t="n">
        <v>190925</v>
      </c>
      <c r="BZ554" t="n">
        <v>7.640056022408964</v>
      </c>
      <c r="CP554" t="inlineStr">
        <is>
          <t>财会及报告管理部</t>
        </is>
      </c>
      <c r="CQ554" t="inlineStr">
        <is>
          <t>5,3</t>
        </is>
      </c>
      <c r="CR554" t="n">
        <v>8</v>
      </c>
      <c r="CS554" t="inlineStr">
        <is>
          <t>T1#</t>
        </is>
      </c>
      <c r="CT554" t="inlineStr">
        <is>
          <t>N</t>
        </is>
      </c>
    </row>
    <row r="555">
      <c r="A555" t="inlineStr">
        <is>
          <t>hannahZhang(张英妍)</t>
        </is>
      </c>
      <c r="C555" t="n">
        <v>81100341</v>
      </c>
      <c r="D555" t="inlineStr">
        <is>
          <t>财经投资并购及管理部</t>
        </is>
      </c>
      <c r="E555" t="inlineStr">
        <is>
          <t>行业及项目管理中心</t>
        </is>
      </c>
      <c r="G555" t="inlineStr">
        <is>
          <t>S2职能系统－财经线/财经投资并购及管理部/行业及项目管理中心</t>
        </is>
      </c>
      <c r="H555" s="188" t="n">
        <v>41051</v>
      </c>
      <c r="I555" t="inlineStr">
        <is>
          <t>高校招聘</t>
        </is>
      </c>
      <c r="J555" t="inlineStr">
        <is>
          <t>财经类－FN</t>
        </is>
      </c>
      <c r="K555" t="inlineStr">
        <is>
          <t>投资并购</t>
        </is>
      </c>
      <c r="L555" t="inlineStr">
        <is>
          <t>S11</t>
        </is>
      </c>
      <c r="N555" t="inlineStr">
        <is>
          <t>T1</t>
        </is>
      </c>
      <c r="Q555" t="inlineStr">
        <is>
          <t>G,O</t>
        </is>
      </c>
      <c r="U555" t="n">
        <v>47104.1</v>
      </c>
      <c r="V555" t="n">
        <v>0.083333</v>
      </c>
      <c r="W555" t="inlineStr">
        <is>
          <t>CNY</t>
        </is>
      </c>
      <c r="X555" t="n">
        <v>1</v>
      </c>
      <c r="Y555" t="n">
        <v>43011.58</v>
      </c>
      <c r="Z555" t="n">
        <v>0</v>
      </c>
      <c r="AA555" t="n">
        <v>141312.3</v>
      </c>
      <c r="AF555" t="n">
        <v>0</v>
      </c>
      <c r="AG555" t="n">
        <v>300457.3</v>
      </c>
      <c r="AH555" t="n">
        <v>6.985497858948682</v>
      </c>
      <c r="AJ555" t="n">
        <v>6.985497858948682</v>
      </c>
      <c r="AK555" t="n">
        <v>5.77628861808843</v>
      </c>
      <c r="AQ555" t="n">
        <v>300457.3</v>
      </c>
      <c r="AR555" t="n">
        <v>6.985497858948682</v>
      </c>
      <c r="AS555" t="n">
        <v>1.053515314083346</v>
      </c>
      <c r="BL555" t="n">
        <v>1</v>
      </c>
      <c r="BM555" t="n">
        <v>41125</v>
      </c>
      <c r="BN555" t="n">
        <v>0</v>
      </c>
      <c r="BO555" t="n">
        <v>42785</v>
      </c>
      <c r="BP555" t="inlineStr">
        <is>
          <t>G,G</t>
        </is>
      </c>
      <c r="BQ555" t="inlineStr">
        <is>
          <t>T1#</t>
        </is>
      </c>
      <c r="BS555" t="n">
        <v>5.491063829787234</v>
      </c>
      <c r="BT555" t="n">
        <v>59375</v>
      </c>
      <c r="BV555" t="n">
        <v>6.93483282674772</v>
      </c>
      <c r="BY555" t="n">
        <v>285195</v>
      </c>
      <c r="BZ555" t="n">
        <v>6.93483282674772</v>
      </c>
      <c r="CP555" t="inlineStr">
        <is>
          <t>财经投资并购及管理部</t>
        </is>
      </c>
      <c r="CQ555" t="inlineStr">
        <is>
          <t>5,3</t>
        </is>
      </c>
      <c r="CR555" t="n">
        <v>11</v>
      </c>
      <c r="CS555" t="inlineStr">
        <is>
          <t>T1</t>
        </is>
      </c>
      <c r="CT555" t="inlineStr">
        <is>
          <t>N</t>
        </is>
      </c>
    </row>
    <row r="556">
      <c r="A556" t="inlineStr">
        <is>
          <t>joeGuo(郭安立)</t>
        </is>
      </c>
      <c r="C556" t="n">
        <v>26876674</v>
      </c>
      <c r="D556" t="inlineStr">
        <is>
          <t>财会及报告管理部</t>
        </is>
      </c>
      <c r="E556" t="inlineStr">
        <is>
          <t>海外财会管理中心</t>
        </is>
      </c>
      <c r="G556" t="inlineStr">
        <is>
          <t>S2职能系统－财经线/财会及报告管理部/海外财会管理中心</t>
        </is>
      </c>
      <c r="H556" s="188" t="n">
        <v>43627</v>
      </c>
      <c r="I556" t="inlineStr">
        <is>
          <t>社会招聘</t>
        </is>
      </c>
      <c r="J556" t="inlineStr">
        <is>
          <t>财经类－FN</t>
        </is>
      </c>
      <c r="K556" t="inlineStr">
        <is>
          <t>会计</t>
        </is>
      </c>
      <c r="L556" t="inlineStr">
        <is>
          <t>S8</t>
        </is>
      </c>
      <c r="N556" t="inlineStr">
        <is>
          <t>T2</t>
        </is>
      </c>
      <c r="Q556" t="inlineStr">
        <is>
          <t>G,G</t>
        </is>
      </c>
      <c r="U556" t="n">
        <v>42156.45</v>
      </c>
      <c r="V556" t="n">
        <v>0.083333</v>
      </c>
      <c r="W556" t="inlineStr">
        <is>
          <t>CNY</t>
        </is>
      </c>
      <c r="X556" t="n">
        <v>1</v>
      </c>
      <c r="Y556" t="n">
        <v>40070.42</v>
      </c>
      <c r="Z556" t="n">
        <v>0</v>
      </c>
      <c r="AA556" t="n">
        <v>84312.89999999999</v>
      </c>
      <c r="AF556" t="n">
        <v>0</v>
      </c>
      <c r="AG556" t="n">
        <v>145662.9</v>
      </c>
      <c r="AH556" t="n">
        <v>3.635172778323761</v>
      </c>
      <c r="AJ556" t="n">
        <v>3.635172778323761</v>
      </c>
      <c r="AK556" t="n">
        <v>3.635172778323761</v>
      </c>
      <c r="AQ556" t="n">
        <v>145662.9</v>
      </c>
      <c r="AR556" t="n">
        <v>3.635172778323761</v>
      </c>
      <c r="AS556" t="n">
        <v>1.101754027683231</v>
      </c>
      <c r="BL556" t="n">
        <v>1</v>
      </c>
      <c r="BM556" t="n">
        <v>37865</v>
      </c>
      <c r="BN556" t="n">
        <v>0</v>
      </c>
      <c r="BO556" t="n">
        <v>39715</v>
      </c>
      <c r="BP556" t="inlineStr">
        <is>
          <t>G,G</t>
        </is>
      </c>
      <c r="BQ556" t="inlineStr">
        <is>
          <t>T2</t>
        </is>
      </c>
      <c r="BS556" t="n">
        <v>3.491614947841014</v>
      </c>
      <c r="BT556" t="n">
        <v>0</v>
      </c>
      <c r="BV556" t="n">
        <v>3.491614947841014</v>
      </c>
      <c r="BY556" t="n">
        <v>132210</v>
      </c>
      <c r="BZ556" t="n">
        <v>3.491614947841014</v>
      </c>
      <c r="CP556" t="inlineStr">
        <is>
          <t>财会及报告管理部</t>
        </is>
      </c>
      <c r="CQ556" t="inlineStr">
        <is>
          <t>3,3</t>
        </is>
      </c>
      <c r="CR556" t="n">
        <v>8</v>
      </c>
      <c r="CS556" t="inlineStr">
        <is>
          <t>T2</t>
        </is>
      </c>
      <c r="CT556" t="inlineStr">
        <is>
          <t>N</t>
        </is>
      </c>
    </row>
    <row r="557">
      <c r="A557" t="inlineStr">
        <is>
          <t>donaldPan(潘涛宁)</t>
        </is>
      </c>
      <c r="C557" t="n">
        <v>72586420</v>
      </c>
      <c r="D557" t="inlineStr">
        <is>
          <t>在线视频财务管理中心</t>
        </is>
      </c>
      <c r="E557" t="inlineStr">
        <is>
          <t>OVB长视频财务管理组</t>
        </is>
      </c>
      <c r="G557" t="inlineStr">
        <is>
          <t>S2职能系统－财经线/在线视频财务管理中心/OVB长视频财务管理组</t>
        </is>
      </c>
      <c r="H557" s="188" t="n">
        <v>38866</v>
      </c>
      <c r="I557" t="inlineStr">
        <is>
          <t>高校招聘</t>
        </is>
      </c>
      <c r="J557" t="inlineStr">
        <is>
          <t>财经类－FN</t>
        </is>
      </c>
      <c r="K557" t="inlineStr">
        <is>
          <t>财务管理</t>
        </is>
      </c>
      <c r="L557" t="inlineStr">
        <is>
          <t>S7</t>
        </is>
      </c>
      <c r="N557" t="inlineStr">
        <is>
          <t>T1</t>
        </is>
      </c>
      <c r="Q557" t="inlineStr">
        <is>
          <t>G,G</t>
        </is>
      </c>
      <c r="U557" t="n">
        <v>38702.15</v>
      </c>
      <c r="V557" t="n">
        <v>0.083333</v>
      </c>
      <c r="W557" t="inlineStr">
        <is>
          <t>CNY</t>
        </is>
      </c>
      <c r="X557" t="n">
        <v>1</v>
      </c>
      <c r="Y557" t="n">
        <v>37183.09</v>
      </c>
      <c r="Z557" t="n">
        <v>0</v>
      </c>
      <c r="AA557" t="n">
        <v>77404.3</v>
      </c>
      <c r="AF557" t="n">
        <v>0</v>
      </c>
      <c r="AG557" t="n">
        <v>212294.3</v>
      </c>
      <c r="AH557" t="n">
        <v>5.709431357103457</v>
      </c>
      <c r="AJ557" t="n">
        <v>5.709431357103457</v>
      </c>
      <c r="AK557" t="n">
        <v>4.504851533317968</v>
      </c>
      <c r="AQ557" t="n">
        <v>212294.3</v>
      </c>
      <c r="AR557" t="n">
        <v>5.709431357103457</v>
      </c>
      <c r="AS557" t="n">
        <v>1.983132181223727</v>
      </c>
      <c r="BL557" t="n">
        <v>1</v>
      </c>
      <c r="BM557" t="n">
        <v>32810</v>
      </c>
      <c r="BN557" t="n">
        <v>0</v>
      </c>
      <c r="BO557" t="n">
        <v>35035</v>
      </c>
      <c r="BP557" t="inlineStr">
        <is>
          <t>O,U</t>
        </is>
      </c>
      <c r="BQ557" t="inlineStr">
        <is>
          <t>T1</t>
        </is>
      </c>
      <c r="BS557" t="n">
        <v>3.262724779030783</v>
      </c>
      <c r="BT557" t="n">
        <v>0</v>
      </c>
      <c r="BV557" t="n">
        <v>3.262724779030783</v>
      </c>
      <c r="BY557" t="n">
        <v>107050</v>
      </c>
      <c r="BZ557" t="n">
        <v>3.262724779030783</v>
      </c>
      <c r="CP557" t="inlineStr">
        <is>
          <t>在线视频财务管理中心</t>
        </is>
      </c>
      <c r="CQ557" t="inlineStr">
        <is>
          <t>3,3</t>
        </is>
      </c>
      <c r="CR557" t="n">
        <v>7</v>
      </c>
      <c r="CS557" t="inlineStr">
        <is>
          <t>T1</t>
        </is>
      </c>
      <c r="CT557" t="inlineStr">
        <is>
          <t>N</t>
        </is>
      </c>
    </row>
    <row r="558">
      <c r="A558" t="inlineStr">
        <is>
          <t>jacobShen(沈强)</t>
        </is>
      </c>
      <c r="C558" t="n">
        <v>95656069</v>
      </c>
      <c r="D558" t="inlineStr">
        <is>
          <t>财经IT管理部</t>
        </is>
      </c>
      <c r="E558" t="inlineStr">
        <is>
          <t>业务开发中心</t>
        </is>
      </c>
      <c r="G558" t="inlineStr">
        <is>
          <t>S2职能系统－财经线/财经IT管理部/业务开发中心</t>
        </is>
      </c>
      <c r="H558" s="188" t="n">
        <v>40981</v>
      </c>
      <c r="I558" t="inlineStr">
        <is>
          <t>高校招聘</t>
        </is>
      </c>
      <c r="J558" t="inlineStr">
        <is>
          <t>技术研发类－TRD</t>
        </is>
      </c>
      <c r="K558" t="inlineStr">
        <is>
          <t>应用开发</t>
        </is>
      </c>
      <c r="L558" t="inlineStr">
        <is>
          <t>T8</t>
        </is>
      </c>
      <c r="N558" t="inlineStr">
        <is>
          <t>Others</t>
        </is>
      </c>
      <c r="Q558" t="inlineStr">
        <is>
          <t>O,O</t>
        </is>
      </c>
      <c r="U558" t="n">
        <v>28113.85</v>
      </c>
      <c r="V558" t="n">
        <v>0.083333</v>
      </c>
      <c r="W558" t="inlineStr">
        <is>
          <t>CNY</t>
        </is>
      </c>
      <c r="X558" t="n">
        <v>1</v>
      </c>
      <c r="Y558" t="n">
        <v>27742.82</v>
      </c>
      <c r="Z558" t="n">
        <v>0</v>
      </c>
      <c r="AA558" t="n">
        <v>112455.4</v>
      </c>
      <c r="AF558" t="n">
        <v>0</v>
      </c>
      <c r="AG558" t="n">
        <v>134995.4</v>
      </c>
      <c r="AH558" t="n">
        <v>4.865958110963486</v>
      </c>
      <c r="AJ558" t="n">
        <v>4.865958110963486</v>
      </c>
      <c r="AK558" t="n">
        <v>4.865958110963486</v>
      </c>
      <c r="AQ558" t="n">
        <v>134995.4</v>
      </c>
      <c r="AR558" t="n">
        <v>4.865958110963486</v>
      </c>
      <c r="AS558" t="n">
        <v>1.58612853953707</v>
      </c>
      <c r="BL558" t="n">
        <v>1</v>
      </c>
      <c r="BM558" t="n">
        <v>24330</v>
      </c>
      <c r="BN558" t="n">
        <v>0</v>
      </c>
      <c r="BO558" t="n">
        <v>24440</v>
      </c>
      <c r="BP558" t="inlineStr">
        <is>
          <t>G,G</t>
        </is>
      </c>
      <c r="BQ558" t="inlineStr">
        <is>
          <t>Others</t>
        </is>
      </c>
      <c r="BS558" t="n">
        <v>3.498150431565968</v>
      </c>
      <c r="BT558" t="n">
        <v>0</v>
      </c>
      <c r="BV558" t="n">
        <v>3.498150431565968</v>
      </c>
      <c r="BY558" t="n">
        <v>85110</v>
      </c>
      <c r="BZ558" t="n">
        <v>3.498150431565968</v>
      </c>
      <c r="CP558" t="inlineStr">
        <is>
          <t>财经IT管理部</t>
        </is>
      </c>
      <c r="CQ558" t="inlineStr">
        <is>
          <t>5,5</t>
        </is>
      </c>
      <c r="CR558" t="n">
        <v>8</v>
      </c>
      <c r="CS558" t="inlineStr">
        <is>
          <t>Others</t>
        </is>
      </c>
      <c r="CT558" t="inlineStr">
        <is>
          <t>N</t>
        </is>
      </c>
    </row>
    <row r="559">
      <c r="A559" t="inlineStr">
        <is>
          <t>zoeLai(赖青)</t>
        </is>
      </c>
      <c r="C559" t="n">
        <v>96046217</v>
      </c>
      <c r="D559" t="inlineStr">
        <is>
          <t>财经IT管理部</t>
        </is>
      </c>
      <c r="E559" t="inlineStr">
        <is>
          <t>国际业务支持中心</t>
        </is>
      </c>
      <c r="G559" t="inlineStr">
        <is>
          <t>S2职能系统－财经线/财经IT管理部/国际业务支持中心</t>
        </is>
      </c>
      <c r="H559" s="188" t="n">
        <v>44931</v>
      </c>
      <c r="I559" t="inlineStr">
        <is>
          <t>社会招聘</t>
        </is>
      </c>
      <c r="J559" t="inlineStr">
        <is>
          <t>技术研发类－TRD</t>
        </is>
      </c>
      <c r="K559" t="inlineStr">
        <is>
          <t>应用开发</t>
        </is>
      </c>
      <c r="L559" t="inlineStr">
        <is>
          <t>T10</t>
        </is>
      </c>
      <c r="N559" t="inlineStr">
        <is>
          <t>T2</t>
        </is>
      </c>
      <c r="Q559" t="inlineStr">
        <is>
          <t>G,G</t>
        </is>
      </c>
      <c r="U559" t="n">
        <v>41843.3</v>
      </c>
      <c r="V559" t="n">
        <v>0.083333</v>
      </c>
      <c r="W559" t="inlineStr">
        <is>
          <t>CNY</t>
        </is>
      </c>
      <c r="X559" t="n">
        <v>1</v>
      </c>
      <c r="Y559" t="n">
        <v>38670.03</v>
      </c>
      <c r="Z559" t="n">
        <v>0</v>
      </c>
      <c r="AA559" t="n">
        <v>83686.60000000001</v>
      </c>
      <c r="AF559" t="n">
        <v>0</v>
      </c>
      <c r="AG559" t="n">
        <v>132751.6</v>
      </c>
      <c r="AH559" t="n">
        <v>3.432932428549965</v>
      </c>
      <c r="AJ559" t="n">
        <v>3.432932428549965</v>
      </c>
      <c r="AK559" t="n">
        <v>3.432932428549965</v>
      </c>
      <c r="AQ559" t="n">
        <v>132751.6</v>
      </c>
      <c r="AR559" t="n">
        <v>3.432932428549965</v>
      </c>
      <c r="AS559" t="n">
        <v>3.789113743399458</v>
      </c>
      <c r="BL559" t="n">
        <v>0.986301369863013</v>
      </c>
      <c r="BM559" t="n">
        <v>33735</v>
      </c>
      <c r="BN559" t="n">
        <v>0</v>
      </c>
      <c r="BO559" t="n">
        <v>35525</v>
      </c>
      <c r="BP559" t="inlineStr">
        <is>
          <t>G,O</t>
        </is>
      </c>
      <c r="BQ559" t="inlineStr">
        <is>
          <t>T2</t>
        </is>
      </c>
      <c r="BS559" t="n">
        <v>1.038535645472062</v>
      </c>
      <c r="BT559" t="n">
        <v>0</v>
      </c>
      <c r="BV559" t="n">
        <v>1.038535645472062</v>
      </c>
      <c r="BY559" t="n">
        <v>35035</v>
      </c>
      <c r="BZ559" t="n">
        <v>1.038535645472062</v>
      </c>
      <c r="CP559" t="inlineStr">
        <is>
          <t>财经IT管理部</t>
        </is>
      </c>
      <c r="CQ559" t="inlineStr">
        <is>
          <t>3,3</t>
        </is>
      </c>
      <c r="CR559" t="n">
        <v>10</v>
      </c>
      <c r="CS559" t="inlineStr">
        <is>
          <t>T2</t>
        </is>
      </c>
      <c r="CT559" t="inlineStr">
        <is>
          <t>N</t>
        </is>
      </c>
    </row>
    <row r="560">
      <c r="A560" t="inlineStr">
        <is>
          <t>rebeccaMao(毛颖)</t>
        </is>
      </c>
      <c r="C560" t="n">
        <v>25093763</v>
      </c>
      <c r="D560" t="inlineStr">
        <is>
          <t>WXG财务管理</t>
        </is>
      </c>
      <c r="E560" t="inlineStr">
        <is>
          <t>微信支付财务管理中心</t>
        </is>
      </c>
      <c r="G560" t="inlineStr">
        <is>
          <t>S2职能系统－财经线/WXG财务管理/微信支付财务管理中心</t>
        </is>
      </c>
      <c r="H560" s="188" t="n">
        <v>39534</v>
      </c>
      <c r="I560" t="inlineStr">
        <is>
          <t>社会招聘</t>
        </is>
      </c>
      <c r="J560" t="inlineStr">
        <is>
          <t>财经类－FN</t>
        </is>
      </c>
      <c r="K560" t="inlineStr">
        <is>
          <t>财务管理</t>
        </is>
      </c>
      <c r="L560" t="inlineStr">
        <is>
          <t>S8</t>
        </is>
      </c>
      <c r="N560" t="inlineStr">
        <is>
          <t>T1</t>
        </is>
      </c>
      <c r="Q560" t="inlineStr">
        <is>
          <t>U,O</t>
        </is>
      </c>
      <c r="U560" t="n">
        <v>28047.65</v>
      </c>
      <c r="V560" t="n">
        <v>0.083333</v>
      </c>
      <c r="W560" t="inlineStr">
        <is>
          <t>CNY</t>
        </is>
      </c>
      <c r="X560" t="n">
        <v>1</v>
      </c>
      <c r="Y560" t="n">
        <v>25461.34</v>
      </c>
      <c r="Z560" t="n">
        <v>0</v>
      </c>
      <c r="AA560" t="n">
        <v>56095.3</v>
      </c>
      <c r="AF560" t="n">
        <v>0</v>
      </c>
      <c r="AG560" t="n">
        <v>115735.3</v>
      </c>
      <c r="AH560" t="n">
        <v>4.545530596582898</v>
      </c>
      <c r="AJ560" t="n">
        <v>4.545530596582898</v>
      </c>
      <c r="AK560" t="n">
        <v>4.545530596582898</v>
      </c>
      <c r="AQ560" t="n">
        <v>115735.3</v>
      </c>
      <c r="AR560" t="n">
        <v>4.545530596582898</v>
      </c>
      <c r="AS560" t="n">
        <v>0.9773702655913524</v>
      </c>
      <c r="BL560" t="n">
        <v>1</v>
      </c>
      <c r="BM560" t="n">
        <v>22585</v>
      </c>
      <c r="BN560" t="n">
        <v>0</v>
      </c>
      <c r="BO560" t="n">
        <v>23600</v>
      </c>
      <c r="BP560" t="inlineStr">
        <is>
          <t>G,G</t>
        </is>
      </c>
      <c r="BQ560" t="inlineStr">
        <is>
          <t>T1</t>
        </is>
      </c>
      <c r="BS560" t="n">
        <v>3.288687181757804</v>
      </c>
      <c r="BT560" t="n">
        <v>44140</v>
      </c>
      <c r="BV560" t="n">
        <v>5.243081691388089</v>
      </c>
      <c r="BY560" t="n">
        <v>118415</v>
      </c>
      <c r="BZ560" t="n">
        <v>5.243081691388089</v>
      </c>
      <c r="CP560" t="inlineStr">
        <is>
          <t>WXG财务管理</t>
        </is>
      </c>
      <c r="CQ560" t="inlineStr">
        <is>
          <t>5,1</t>
        </is>
      </c>
      <c r="CR560" t="n">
        <v>8</v>
      </c>
      <c r="CS560" t="inlineStr">
        <is>
          <t>T1</t>
        </is>
      </c>
      <c r="CT560" t="inlineStr">
        <is>
          <t>N</t>
        </is>
      </c>
    </row>
    <row r="561">
      <c r="A561" t="inlineStr">
        <is>
          <t>elenaShi(史妍晴)</t>
        </is>
      </c>
      <c r="C561" t="n">
        <v>41773378</v>
      </c>
      <c r="D561" t="inlineStr">
        <is>
          <t>风险管理和内部控制</t>
        </is>
      </c>
      <c r="E561" t="inlineStr">
        <is>
          <t>CSIG风控中心</t>
        </is>
      </c>
      <c r="G561" t="inlineStr">
        <is>
          <t>S2职能系统－财经线/风险管理和内部控制/CSIG风控中心</t>
        </is>
      </c>
      <c r="H561" s="188" t="n">
        <v>42916</v>
      </c>
      <c r="I561" t="inlineStr">
        <is>
          <t>社会招聘</t>
        </is>
      </c>
      <c r="J561" t="inlineStr">
        <is>
          <t>财经类－FN</t>
        </is>
      </c>
      <c r="K561" t="inlineStr">
        <is>
          <t>风险管理</t>
        </is>
      </c>
      <c r="L561" t="inlineStr">
        <is>
          <t>S10</t>
        </is>
      </c>
      <c r="N561" t="inlineStr">
        <is>
          <t>T1</t>
        </is>
      </c>
      <c r="Q561" t="inlineStr">
        <is>
          <t>G,O</t>
        </is>
      </c>
      <c r="U561" t="n">
        <v>35714.6</v>
      </c>
      <c r="V561" t="n">
        <v>0.083333</v>
      </c>
      <c r="W561" t="inlineStr">
        <is>
          <t>CNY</t>
        </is>
      </c>
      <c r="X561" t="n">
        <v>1</v>
      </c>
      <c r="Y561" t="n">
        <v>34118.15</v>
      </c>
      <c r="Z561" t="n">
        <v>0</v>
      </c>
      <c r="AA561" t="n">
        <v>107143.8</v>
      </c>
      <c r="AF561" t="n">
        <v>0</v>
      </c>
      <c r="AG561" t="n">
        <v>258388.8</v>
      </c>
      <c r="AH561" t="n">
        <v>7.573353185914241</v>
      </c>
      <c r="AJ561" t="n">
        <v>7.573353185914241</v>
      </c>
      <c r="AK561" t="n">
        <v>5.696786021516407</v>
      </c>
      <c r="AQ561" t="n">
        <v>258388.8</v>
      </c>
      <c r="AR561" t="n">
        <v>7.573353185914241</v>
      </c>
      <c r="AS561" t="n">
        <v>1.235216674235724</v>
      </c>
      <c r="BL561" t="n">
        <v>1</v>
      </c>
      <c r="BM561" t="n">
        <v>30395</v>
      </c>
      <c r="BN561" t="n">
        <v>0</v>
      </c>
      <c r="BO561" t="n">
        <v>32545</v>
      </c>
      <c r="BP561" t="inlineStr">
        <is>
          <t>O,O</t>
        </is>
      </c>
      <c r="BQ561" t="inlineStr">
        <is>
          <t>T1</t>
        </is>
      </c>
      <c r="BS561" t="n">
        <v>5.448758019411088</v>
      </c>
      <c r="BT561" t="n">
        <v>43570</v>
      </c>
      <c r="BV561" t="n">
        <v>6.882217469978615</v>
      </c>
      <c r="BY561" t="n">
        <v>209185</v>
      </c>
      <c r="BZ561" t="n">
        <v>6.882217469978615</v>
      </c>
      <c r="CP561" t="inlineStr">
        <is>
          <t>风险管理和内部控制</t>
        </is>
      </c>
      <c r="CQ561" t="inlineStr">
        <is>
          <t>5,3</t>
        </is>
      </c>
      <c r="CR561" t="n">
        <v>10</v>
      </c>
      <c r="CS561" t="inlineStr">
        <is>
          <t>T1</t>
        </is>
      </c>
      <c r="CT561" t="inlineStr">
        <is>
          <t>N</t>
        </is>
      </c>
    </row>
    <row r="562">
      <c r="A562" t="inlineStr">
        <is>
          <t>brandonNiu(牛凯宏)</t>
        </is>
      </c>
      <c r="C562" t="n">
        <v>72068721</v>
      </c>
      <c r="D562" t="inlineStr">
        <is>
          <t>财会及报告管理部</t>
        </is>
      </c>
      <c r="E562" t="inlineStr">
        <is>
          <t>应收管理中心</t>
        </is>
      </c>
      <c r="G562" t="inlineStr">
        <is>
          <t>S2职能系统－财经线/财会及报告管理部/应收管理中心</t>
        </is>
      </c>
      <c r="H562" s="188" t="n">
        <v>38165</v>
      </c>
      <c r="I562" t="inlineStr">
        <is>
          <t>高校招聘</t>
        </is>
      </c>
      <c r="J562" t="inlineStr">
        <is>
          <t>财经类－FN</t>
        </is>
      </c>
      <c r="K562" t="inlineStr">
        <is>
          <t>会计</t>
        </is>
      </c>
      <c r="L562" t="inlineStr">
        <is>
          <t>S8</t>
        </is>
      </c>
      <c r="N562" t="inlineStr">
        <is>
          <t>T2</t>
        </is>
      </c>
      <c r="Q562" t="inlineStr">
        <is>
          <t>G,G</t>
        </is>
      </c>
      <c r="U562" t="n">
        <v>33275.35</v>
      </c>
      <c r="V562" t="n">
        <v>0.083333</v>
      </c>
      <c r="W562" t="inlineStr">
        <is>
          <t>CNY</t>
        </is>
      </c>
      <c r="X562" t="n">
        <v>1</v>
      </c>
      <c r="Y562" t="n">
        <v>31177.12</v>
      </c>
      <c r="Z562" t="n">
        <v>0</v>
      </c>
      <c r="AA562" t="n">
        <v>66550.7</v>
      </c>
      <c r="AF562" t="n">
        <v>0</v>
      </c>
      <c r="AG562" t="n">
        <v>108755.7</v>
      </c>
      <c r="AH562" t="n">
        <v>3.488317715042313</v>
      </c>
      <c r="AJ562" t="n">
        <v>3.488317715042313</v>
      </c>
      <c r="AK562" t="n">
        <v>3.488317715042313</v>
      </c>
      <c r="AQ562" t="n">
        <v>108755.7</v>
      </c>
      <c r="AR562" t="n">
        <v>3.488317715042313</v>
      </c>
      <c r="AS562" t="n">
        <v>1.083008364867556</v>
      </c>
      <c r="BL562" t="n">
        <v>1</v>
      </c>
      <c r="BM562" t="n">
        <v>29505</v>
      </c>
      <c r="BN562" t="n">
        <v>0</v>
      </c>
      <c r="BO562" t="n">
        <v>29960</v>
      </c>
      <c r="BP562" t="inlineStr">
        <is>
          <t>G,G</t>
        </is>
      </c>
      <c r="BQ562" t="inlineStr">
        <is>
          <t>Others</t>
        </is>
      </c>
      <c r="BS562" t="n">
        <v>3.403490933740044</v>
      </c>
      <c r="BT562" t="n">
        <v>0</v>
      </c>
      <c r="BV562" t="n">
        <v>3.403490933740044</v>
      </c>
      <c r="BY562" t="n">
        <v>100420</v>
      </c>
      <c r="BZ562" t="n">
        <v>3.403490933740044</v>
      </c>
      <c r="CP562" t="inlineStr">
        <is>
          <t>财会及报告管理部</t>
        </is>
      </c>
      <c r="CQ562" t="inlineStr">
        <is>
          <t>3,3</t>
        </is>
      </c>
      <c r="CR562" t="n">
        <v>8</v>
      </c>
      <c r="CS562" t="inlineStr">
        <is>
          <t>T2</t>
        </is>
      </c>
      <c r="CT562" t="inlineStr">
        <is>
          <t>N</t>
        </is>
      </c>
    </row>
    <row r="563">
      <c r="A563" t="inlineStr">
        <is>
          <t>richardLiang(梁国)</t>
        </is>
      </c>
      <c r="C563" t="n">
        <v>35036212</v>
      </c>
      <c r="D563" t="inlineStr">
        <is>
          <t>风险管理和内部控制</t>
        </is>
      </c>
      <c r="E563" t="inlineStr">
        <is>
          <t>PCG风控中心</t>
        </is>
      </c>
      <c r="G563" t="inlineStr">
        <is>
          <t>S2职能系统－财经线/风险管理和内部控制/PCG风控中心</t>
        </is>
      </c>
      <c r="H563" s="188" t="n">
        <v>40780</v>
      </c>
      <c r="I563" t="inlineStr">
        <is>
          <t>社会招聘</t>
        </is>
      </c>
      <c r="J563" t="inlineStr">
        <is>
          <t>财经类－FN</t>
        </is>
      </c>
      <c r="K563" t="inlineStr">
        <is>
          <t>风险管理</t>
        </is>
      </c>
      <c r="L563" t="inlineStr">
        <is>
          <t>S5</t>
        </is>
      </c>
      <c r="N563" t="inlineStr">
        <is>
          <t>T1#</t>
        </is>
      </c>
      <c r="Q563" t="inlineStr">
        <is>
          <t>G,O</t>
        </is>
      </c>
      <c r="U563" t="n">
        <v>20386.8</v>
      </c>
      <c r="V563" t="n">
        <v>0.083333</v>
      </c>
      <c r="W563" t="inlineStr">
        <is>
          <t>CNY</t>
        </is>
      </c>
      <c r="X563" t="n">
        <v>1</v>
      </c>
      <c r="Y563" t="n">
        <v>18806.9</v>
      </c>
      <c r="Z563" t="n">
        <v>0</v>
      </c>
      <c r="AA563" t="n">
        <v>61160.4</v>
      </c>
      <c r="AF563" t="n">
        <v>0</v>
      </c>
      <c r="AG563" t="n">
        <v>149415.4</v>
      </c>
      <c r="AH563" t="n">
        <v>7.944711781314304</v>
      </c>
      <c r="AJ563" t="n">
        <v>7.944711781314304</v>
      </c>
      <c r="AK563" t="n">
        <v>6.664330644603841</v>
      </c>
      <c r="AQ563" t="n">
        <v>149415.4</v>
      </c>
      <c r="AR563" t="n">
        <v>7.944711781314304</v>
      </c>
      <c r="AS563" t="n">
        <v>1.207641139624166</v>
      </c>
      <c r="BL563" t="n">
        <v>1</v>
      </c>
      <c r="BM563" t="n">
        <v>17565</v>
      </c>
      <c r="BN563" t="n">
        <v>0</v>
      </c>
      <c r="BO563" t="n">
        <v>17870</v>
      </c>
      <c r="BP563" t="inlineStr">
        <is>
          <t>G,G</t>
        </is>
      </c>
      <c r="BQ563" t="inlineStr">
        <is>
          <t>T1#</t>
        </is>
      </c>
      <c r="BS563" t="n">
        <v>5.099629945915172</v>
      </c>
      <c r="BT563" t="n">
        <v>34150</v>
      </c>
      <c r="BV563" t="n">
        <v>7.043837176202675</v>
      </c>
      <c r="BY563" t="n">
        <v>123725</v>
      </c>
      <c r="BZ563" t="n">
        <v>7.043837176202675</v>
      </c>
      <c r="CP563" t="inlineStr">
        <is>
          <t>风险管理和内部控制</t>
        </is>
      </c>
      <c r="CQ563" t="inlineStr">
        <is>
          <t>5,3</t>
        </is>
      </c>
      <c r="CR563" t="n">
        <v>5</v>
      </c>
      <c r="CS563" t="inlineStr">
        <is>
          <t>T1#</t>
        </is>
      </c>
      <c r="CT563" t="inlineStr">
        <is>
          <t>N</t>
        </is>
      </c>
    </row>
    <row r="564">
      <c r="A564" t="inlineStr">
        <is>
          <t>terryJia(贾立锋)</t>
        </is>
      </c>
      <c r="C564" t="n">
        <v>95747828</v>
      </c>
      <c r="D564" t="inlineStr">
        <is>
          <t>CSIG财务管理</t>
        </is>
      </c>
      <c r="E564" t="inlineStr">
        <is>
          <t>综合财务管理中心</t>
        </is>
      </c>
      <c r="G564" t="inlineStr">
        <is>
          <t>S2职能系统－财经线/CSIG财务管理/综合财务管理中心</t>
        </is>
      </c>
      <c r="H564" s="188" t="n">
        <v>38754</v>
      </c>
      <c r="I564" t="inlineStr">
        <is>
          <t>高校招聘</t>
        </is>
      </c>
      <c r="J564" t="inlineStr">
        <is>
          <t>财经类－FN</t>
        </is>
      </c>
      <c r="K564" t="inlineStr">
        <is>
          <t>财务管理</t>
        </is>
      </c>
      <c r="L564" t="inlineStr">
        <is>
          <t>S8</t>
        </is>
      </c>
      <c r="N564" t="inlineStr">
        <is>
          <t>T1#</t>
        </is>
      </c>
      <c r="Q564" t="inlineStr">
        <is>
          <t>G,G</t>
        </is>
      </c>
      <c r="U564" t="n">
        <v>36606.7</v>
      </c>
      <c r="V564" t="n">
        <v>0.083333</v>
      </c>
      <c r="W564" t="inlineStr">
        <is>
          <t>CNY</t>
        </is>
      </c>
      <c r="X564" t="n">
        <v>1</v>
      </c>
      <c r="Y564" t="n">
        <v>35869.85</v>
      </c>
      <c r="Z564" t="n">
        <v>0</v>
      </c>
      <c r="AA564" t="n">
        <v>73213.39999999999</v>
      </c>
      <c r="AF564" t="n">
        <v>0</v>
      </c>
      <c r="AG564" t="n">
        <v>251768.4</v>
      </c>
      <c r="AH564" t="n">
        <v>7.018942092035512</v>
      </c>
      <c r="AJ564" t="n">
        <v>7.018942092035512</v>
      </c>
      <c r="AK564" t="n">
        <v>5.272768076811027</v>
      </c>
      <c r="AQ564" t="n">
        <v>251768.4</v>
      </c>
      <c r="AR564" t="n">
        <v>7.018942092035512</v>
      </c>
      <c r="AS564" t="n">
        <v>1.812522227421619</v>
      </c>
      <c r="BL564" t="n">
        <v>1</v>
      </c>
      <c r="BM564" t="n">
        <v>32365</v>
      </c>
      <c r="BN564" t="n">
        <v>0</v>
      </c>
      <c r="BO564" t="n">
        <v>33290</v>
      </c>
      <c r="BP564" t="inlineStr">
        <is>
          <t>G,U</t>
        </is>
      </c>
      <c r="BQ564" t="inlineStr">
        <is>
          <t>T1#</t>
        </is>
      </c>
      <c r="BS564" t="n">
        <v>4.291827591534065</v>
      </c>
      <c r="BT564" t="n">
        <v>0</v>
      </c>
      <c r="BV564" t="n">
        <v>4.291827591534065</v>
      </c>
      <c r="BY564" t="n">
        <v>138905</v>
      </c>
      <c r="BZ564" t="n">
        <v>4.291827591534065</v>
      </c>
      <c r="CP564" t="inlineStr">
        <is>
          <t>CSIG财务管理</t>
        </is>
      </c>
      <c r="CQ564" t="inlineStr">
        <is>
          <t>3,3</t>
        </is>
      </c>
      <c r="CR564" t="n">
        <v>8</v>
      </c>
      <c r="CS564" t="inlineStr">
        <is>
          <t>T1#</t>
        </is>
      </c>
      <c r="CT564" t="inlineStr">
        <is>
          <t>N</t>
        </is>
      </c>
    </row>
    <row r="565">
      <c r="A565" t="inlineStr">
        <is>
          <t>maryCheng(程诗)</t>
        </is>
      </c>
      <c r="C565" t="n">
        <v>47688462</v>
      </c>
      <c r="D565" t="inlineStr">
        <is>
          <t>财会及报告管理部</t>
        </is>
      </c>
      <c r="E565" t="inlineStr">
        <is>
          <t>资产管理组</t>
        </is>
      </c>
      <c r="G565" t="inlineStr">
        <is>
          <t>S2职能系统－财经线/财会及报告管理部/资产管理组</t>
        </is>
      </c>
      <c r="H565" s="188" t="n">
        <v>41540</v>
      </c>
      <c r="I565" t="inlineStr">
        <is>
          <t>高校招聘</t>
        </is>
      </c>
      <c r="J565" t="inlineStr">
        <is>
          <t>财经类－FN</t>
        </is>
      </c>
      <c r="K565" t="inlineStr">
        <is>
          <t>会计</t>
        </is>
      </c>
      <c r="L565" t="inlineStr">
        <is>
          <t>S5</t>
        </is>
      </c>
      <c r="N565" t="inlineStr">
        <is>
          <t>T1</t>
        </is>
      </c>
      <c r="Q565" t="inlineStr">
        <is>
          <t>O,G</t>
        </is>
      </c>
      <c r="U565" t="n">
        <v>28204.25</v>
      </c>
      <c r="V565" t="n">
        <v>0.083333</v>
      </c>
      <c r="W565" t="inlineStr">
        <is>
          <t>CNY</t>
        </is>
      </c>
      <c r="X565" t="n">
        <v>1</v>
      </c>
      <c r="Y565" t="n">
        <v>25573.53</v>
      </c>
      <c r="Z565" t="n">
        <v>0</v>
      </c>
      <c r="AA565" t="n">
        <v>84612.75</v>
      </c>
      <c r="AF565" t="n">
        <v>0</v>
      </c>
      <c r="AG565" t="n">
        <v>204072.75</v>
      </c>
      <c r="AH565" t="n">
        <v>7.979842829675841</v>
      </c>
      <c r="AJ565" t="n">
        <v>7.979842829675841</v>
      </c>
      <c r="AK565" t="n">
        <v>6.027237929218219</v>
      </c>
      <c r="AQ565" t="n">
        <v>204072.75</v>
      </c>
      <c r="AR565" t="n">
        <v>7.979842829675841</v>
      </c>
      <c r="AS565" t="n">
        <v>1.586694786766707</v>
      </c>
      <c r="BL565" t="n">
        <v>1</v>
      </c>
      <c r="BM565" t="n">
        <v>24255</v>
      </c>
      <c r="BN565" t="n">
        <v>0</v>
      </c>
      <c r="BO565" t="n">
        <v>24905</v>
      </c>
      <c r="BP565" t="inlineStr">
        <is>
          <t>O,G</t>
        </is>
      </c>
      <c r="BQ565" t="inlineStr">
        <is>
          <t>T1</t>
        </is>
      </c>
      <c r="BS565" t="n">
        <v>4.241805813234385</v>
      </c>
      <c r="BT565" t="n">
        <v>25730</v>
      </c>
      <c r="BV565" t="n">
        <v>5.302618016903732</v>
      </c>
      <c r="BY565" t="n">
        <v>128615</v>
      </c>
      <c r="BZ565" t="n">
        <v>5.302618016903732</v>
      </c>
      <c r="CP565" t="inlineStr">
        <is>
          <t>财会及报告管理部</t>
        </is>
      </c>
      <c r="CQ565" t="inlineStr">
        <is>
          <t>5,3</t>
        </is>
      </c>
      <c r="CR565" t="n">
        <v>5</v>
      </c>
      <c r="CS565" t="inlineStr">
        <is>
          <t>T1</t>
        </is>
      </c>
      <c r="CT565" t="inlineStr">
        <is>
          <t>N</t>
        </is>
      </c>
    </row>
    <row r="566">
      <c r="A566" t="inlineStr">
        <is>
          <t>gloriaLiu(刘秀)</t>
        </is>
      </c>
      <c r="C566" t="n">
        <v>40578099</v>
      </c>
      <c r="D566" t="inlineStr">
        <is>
          <t>CFO办公室</t>
        </is>
      </c>
      <c r="E566" t="inlineStr">
        <is>
          <t>ESG协同办公室</t>
        </is>
      </c>
      <c r="G566" t="inlineStr">
        <is>
          <t>S2职能系统－财经线/CFO办公室/ESG协同办公室</t>
        </is>
      </c>
      <c r="H566" s="188" t="n">
        <v>36594</v>
      </c>
      <c r="I566" t="inlineStr">
        <is>
          <t>社会招聘</t>
        </is>
      </c>
      <c r="J566" t="inlineStr">
        <is>
          <t>财经类－FN</t>
        </is>
      </c>
      <c r="K566" t="inlineStr">
        <is>
          <t>投资者关系</t>
        </is>
      </c>
      <c r="L566" t="inlineStr">
        <is>
          <t>S6</t>
        </is>
      </c>
      <c r="N566" t="inlineStr">
        <is>
          <t>T1</t>
        </is>
      </c>
      <c r="Q566" t="inlineStr">
        <is>
          <t>G,G</t>
        </is>
      </c>
      <c r="U566" t="n">
        <v>26203.1</v>
      </c>
      <c r="V566" t="n">
        <v>0.083333</v>
      </c>
      <c r="W566" t="inlineStr">
        <is>
          <t>CNY</t>
        </is>
      </c>
      <c r="X566" t="n">
        <v>1</v>
      </c>
      <c r="Y566" t="n">
        <v>24396.06</v>
      </c>
      <c r="Z566" t="n">
        <v>0</v>
      </c>
      <c r="AA566" t="n">
        <v>52406.2</v>
      </c>
      <c r="AF566" t="n">
        <v>0</v>
      </c>
      <c r="AG566" t="n">
        <v>136391.2</v>
      </c>
      <c r="AH566" t="n">
        <v>5.590706040237645</v>
      </c>
      <c r="AJ566" t="n">
        <v>5.590706040237645</v>
      </c>
      <c r="AK566" t="n">
        <v>4.424534125592411</v>
      </c>
      <c r="AQ566" t="n">
        <v>136391.2</v>
      </c>
      <c r="AR566" t="n">
        <v>5.590706040237645</v>
      </c>
      <c r="AS566" t="n">
        <v>0.8843650510617604</v>
      </c>
      <c r="BL566" t="n">
        <v>1</v>
      </c>
      <c r="BM566" t="n">
        <v>21125</v>
      </c>
      <c r="BN566" t="n">
        <v>0</v>
      </c>
      <c r="BO566" t="n">
        <v>21980</v>
      </c>
      <c r="BP566" t="inlineStr">
        <is>
          <t>O,O</t>
        </is>
      </c>
      <c r="BQ566" t="inlineStr">
        <is>
          <t>T1</t>
        </is>
      </c>
      <c r="BS566" t="n">
        <v>5.541301775147929</v>
      </c>
      <c r="BT566" t="n">
        <v>37165</v>
      </c>
      <c r="BV566" t="n">
        <v>7.300591715976331</v>
      </c>
      <c r="BY566" t="n">
        <v>154225</v>
      </c>
      <c r="BZ566" t="n">
        <v>7.300591715976331</v>
      </c>
      <c r="CP566" t="inlineStr">
        <is>
          <t>CFO办公室</t>
        </is>
      </c>
      <c r="CQ566" t="inlineStr">
        <is>
          <t>3,3</t>
        </is>
      </c>
      <c r="CR566" t="n">
        <v>6</v>
      </c>
      <c r="CS566" t="inlineStr">
        <is>
          <t>T1</t>
        </is>
      </c>
      <c r="CT566" t="inlineStr">
        <is>
          <t>N</t>
        </is>
      </c>
    </row>
    <row r="567">
      <c r="A567" t="inlineStr">
        <is>
          <t>kathrynZeng(曾畅嘉)</t>
        </is>
      </c>
      <c r="C567" t="n">
        <v>38122586</v>
      </c>
      <c r="D567" t="inlineStr">
        <is>
          <t>风险管理和内部控制</t>
        </is>
      </c>
      <c r="E567" t="inlineStr">
        <is>
          <t>IEG风控中心</t>
        </is>
      </c>
      <c r="G567" t="inlineStr">
        <is>
          <t>S2职能系统－财经线/风险管理和内部控制/IEG风控中心</t>
        </is>
      </c>
      <c r="H567" s="188" t="n">
        <v>38811</v>
      </c>
      <c r="I567" t="inlineStr">
        <is>
          <t>社会招聘</t>
        </is>
      </c>
      <c r="J567" t="inlineStr">
        <is>
          <t>财经类－FN</t>
        </is>
      </c>
      <c r="K567" t="inlineStr">
        <is>
          <t>风险管理</t>
        </is>
      </c>
      <c r="L567" t="inlineStr">
        <is>
          <t>S10</t>
        </is>
      </c>
      <c r="N567" t="inlineStr">
        <is>
          <t>T1</t>
        </is>
      </c>
      <c r="Q567" t="inlineStr">
        <is>
          <t>G,G</t>
        </is>
      </c>
      <c r="U567" t="n">
        <v>56374.9</v>
      </c>
      <c r="V567" t="n">
        <v>0.083333</v>
      </c>
      <c r="W567" t="inlineStr">
        <is>
          <t>CNY</t>
        </is>
      </c>
      <c r="X567" t="n">
        <v>1</v>
      </c>
      <c r="Y567" t="n">
        <v>53072.88</v>
      </c>
      <c r="Z567" t="n">
        <v>0</v>
      </c>
      <c r="AA567" t="n">
        <v>112749.8</v>
      </c>
      <c r="AF567" t="n">
        <v>0</v>
      </c>
      <c r="AG567" t="n">
        <v>304374.8</v>
      </c>
      <c r="AH567" t="n">
        <v>5.735034541181862</v>
      </c>
      <c r="AJ567" t="n">
        <v>5.735034541181862</v>
      </c>
      <c r="AK567" t="n">
        <v>4.644081873830853</v>
      </c>
      <c r="AQ567" t="n">
        <v>304374.8</v>
      </c>
      <c r="AR567" t="n">
        <v>5.735034541181862</v>
      </c>
      <c r="AS567" t="n">
        <v>2.62799861854602</v>
      </c>
      <c r="BL567" t="n">
        <v>1</v>
      </c>
      <c r="BM567" t="n">
        <v>45175</v>
      </c>
      <c r="BN567" t="n">
        <v>0</v>
      </c>
      <c r="BO567" t="n">
        <v>47105</v>
      </c>
      <c r="BP567" t="inlineStr">
        <is>
          <t>G,U</t>
        </is>
      </c>
      <c r="BQ567" t="inlineStr">
        <is>
          <t>T1</t>
        </is>
      </c>
      <c r="BS567" t="n">
        <v>2.563807415605977</v>
      </c>
      <c r="BT567" t="n">
        <v>0</v>
      </c>
      <c r="BV567" t="n">
        <v>2.563807415605977</v>
      </c>
      <c r="BY567" t="n">
        <v>115820</v>
      </c>
      <c r="BZ567" t="n">
        <v>2.563807415605977</v>
      </c>
      <c r="CP567" t="inlineStr">
        <is>
          <t>风险管理和内部控制</t>
        </is>
      </c>
      <c r="CQ567" t="inlineStr">
        <is>
          <t>3,3</t>
        </is>
      </c>
      <c r="CR567" t="n">
        <v>10</v>
      </c>
      <c r="CS567" t="inlineStr">
        <is>
          <t>T1</t>
        </is>
      </c>
      <c r="CT567" t="inlineStr">
        <is>
          <t>N</t>
        </is>
      </c>
    </row>
    <row r="568">
      <c r="A568" t="inlineStr">
        <is>
          <t>avaYao(姚妍玲)</t>
        </is>
      </c>
      <c r="C568" t="n">
        <v>12723519</v>
      </c>
      <c r="D568" t="inlineStr">
        <is>
          <t>税务部</t>
        </is>
      </c>
      <c r="E568" t="inlineStr">
        <is>
          <t>国内主体税务中心</t>
        </is>
      </c>
      <c r="G568" t="inlineStr">
        <is>
          <t>S2职能系统－财经线/税务部/国内主体税务中心</t>
        </is>
      </c>
      <c r="H568" s="188" t="n">
        <v>38893</v>
      </c>
      <c r="I568" t="inlineStr">
        <is>
          <t>高校招聘</t>
        </is>
      </c>
      <c r="J568" t="inlineStr">
        <is>
          <t>财经类－FN</t>
        </is>
      </c>
      <c r="K568" t="inlineStr">
        <is>
          <t>税务</t>
        </is>
      </c>
      <c r="L568" t="inlineStr">
        <is>
          <t>S5</t>
        </is>
      </c>
      <c r="N568" t="inlineStr">
        <is>
          <t>T1</t>
        </is>
      </c>
      <c r="Q568" t="inlineStr">
        <is>
          <t>G,G</t>
        </is>
      </c>
      <c r="U568" t="n">
        <v>154853.5</v>
      </c>
      <c r="V568" t="n">
        <v>0.083333</v>
      </c>
      <c r="W568" t="inlineStr">
        <is>
          <t>CNY</t>
        </is>
      </c>
      <c r="X568" t="n">
        <v>1</v>
      </c>
      <c r="Y568" t="n">
        <v>29506.01</v>
      </c>
      <c r="Z568" t="n">
        <v>0</v>
      </c>
      <c r="AA568" t="n">
        <v>61941.4</v>
      </c>
      <c r="AF568" t="n">
        <v>0</v>
      </c>
      <c r="AG568" t="n">
        <v>172921.4</v>
      </c>
      <c r="AH568" t="n">
        <v>5.860548410306917</v>
      </c>
      <c r="AJ568" t="n">
        <v>5.860548410306917</v>
      </c>
      <c r="AK568" t="n">
        <v>4.397795567750435</v>
      </c>
      <c r="AQ568" t="n">
        <v>172921.4</v>
      </c>
      <c r="AR568" t="n">
        <v>5.860548410306917</v>
      </c>
      <c r="AS568" t="n">
        <v>1.265062550296291</v>
      </c>
      <c r="BL568" t="n">
        <v>1</v>
      </c>
      <c r="BM568" t="n">
        <v>25445</v>
      </c>
      <c r="BN568" t="n">
        <v>0</v>
      </c>
      <c r="BO568" t="n">
        <v>27665</v>
      </c>
      <c r="BP568" t="inlineStr">
        <is>
          <t>G,G</t>
        </is>
      </c>
      <c r="BQ568" t="inlineStr">
        <is>
          <t>T1</t>
        </is>
      </c>
      <c r="BS568" t="n">
        <v>3.366476714482217</v>
      </c>
      <c r="BT568" t="n">
        <v>51030</v>
      </c>
      <c r="BV568" t="n">
        <v>5.371978777755944</v>
      </c>
      <c r="BY568" t="n">
        <v>136690</v>
      </c>
      <c r="BZ568" t="n">
        <v>5.371978777755944</v>
      </c>
      <c r="CP568" t="inlineStr">
        <is>
          <t>税务部</t>
        </is>
      </c>
      <c r="CQ568" t="inlineStr">
        <is>
          <t>3,3</t>
        </is>
      </c>
      <c r="CR568" t="n">
        <v>5</v>
      </c>
      <c r="CS568" t="inlineStr">
        <is>
          <t>T1</t>
        </is>
      </c>
      <c r="CT568" t="inlineStr">
        <is>
          <t>N</t>
        </is>
      </c>
    </row>
    <row r="569">
      <c r="A569" t="inlineStr">
        <is>
          <t>elenaZhao(赵妍澜)</t>
        </is>
      </c>
      <c r="C569" t="n">
        <v>90508341</v>
      </c>
      <c r="D569" t="inlineStr">
        <is>
          <t>财经IT管理部</t>
        </is>
      </c>
      <c r="E569" t="inlineStr">
        <is>
          <t>公共支持中心</t>
        </is>
      </c>
      <c r="G569" t="inlineStr">
        <is>
          <t>S2职能系统－财经线/财经IT管理部/公共支持中心</t>
        </is>
      </c>
      <c r="H569" s="188" t="n">
        <v>44337</v>
      </c>
      <c r="I569" t="inlineStr">
        <is>
          <t>高校招聘</t>
        </is>
      </c>
      <c r="J569" t="inlineStr">
        <is>
          <t>技术研发类－TRD</t>
        </is>
      </c>
      <c r="K569" t="inlineStr">
        <is>
          <t>应用开发</t>
        </is>
      </c>
      <c r="L569" t="inlineStr">
        <is>
          <t>T6</t>
        </is>
      </c>
      <c r="N569" t="inlineStr">
        <is>
          <t>T2</t>
        </is>
      </c>
      <c r="Q569" t="inlineStr">
        <is>
          <t>U,U</t>
        </is>
      </c>
      <c r="U569" t="n">
        <v>123457.25</v>
      </c>
      <c r="V569" t="n">
        <v>0.083333</v>
      </c>
      <c r="W569" t="inlineStr">
        <is>
          <t>CNY</t>
        </is>
      </c>
      <c r="X569" t="n">
        <v>1</v>
      </c>
      <c r="Y569" t="n">
        <v>22907.79</v>
      </c>
      <c r="Z569" t="n">
        <v>0</v>
      </c>
      <c r="AA569" t="n">
        <v>0</v>
      </c>
      <c r="AF569" t="n">
        <v>0</v>
      </c>
      <c r="AG569" t="n">
        <v>26800</v>
      </c>
      <c r="AH569" t="n">
        <v>1.169907703885883</v>
      </c>
      <c r="AJ569" t="n">
        <v>1.169907703885883</v>
      </c>
      <c r="AK569" t="n">
        <v>1.169907703885883</v>
      </c>
      <c r="AQ569" t="n">
        <v>26800</v>
      </c>
      <c r="AR569" t="n">
        <v>1.169907703885883</v>
      </c>
      <c r="AS569" t="n">
        <v>0.2772605007241879</v>
      </c>
      <c r="BL569" t="n">
        <v>1</v>
      </c>
      <c r="BM569" t="n">
        <v>22125</v>
      </c>
      <c r="BN569" t="n">
        <v>0</v>
      </c>
      <c r="BO569" t="n">
        <v>23140</v>
      </c>
      <c r="BP569" t="inlineStr">
        <is>
          <t>O,G</t>
        </is>
      </c>
      <c r="BQ569" t="inlineStr">
        <is>
          <t>T2</t>
        </is>
      </c>
      <c r="BS569" t="n">
        <v>4.368813559322034</v>
      </c>
      <c r="BT569" t="n">
        <v>0</v>
      </c>
      <c r="BV569" t="n">
        <v>4.368813559322034</v>
      </c>
      <c r="BY569" t="n">
        <v>96660</v>
      </c>
      <c r="BZ569" t="n">
        <v>4.368813559322034</v>
      </c>
      <c r="CP569" t="inlineStr">
        <is>
          <t>财经IT管理部</t>
        </is>
      </c>
      <c r="CQ569" t="inlineStr">
        <is>
          <t>1,1</t>
        </is>
      </c>
      <c r="CR569" t="n">
        <v>6</v>
      </c>
      <c r="CS569" t="inlineStr">
        <is>
          <t>T2</t>
        </is>
      </c>
      <c r="CT569" t="inlineStr">
        <is>
          <t>N</t>
        </is>
      </c>
    </row>
    <row r="570">
      <c r="A570" t="inlineStr">
        <is>
          <t>sarahXu(徐茜萱)</t>
        </is>
      </c>
      <c r="C570" t="n">
        <v>79166626</v>
      </c>
      <c r="D570" t="inlineStr">
        <is>
          <t>财经IT管理部</t>
        </is>
      </c>
      <c r="E570" t="inlineStr">
        <is>
          <t>公共支持中心</t>
        </is>
      </c>
      <c r="G570" t="inlineStr">
        <is>
          <t>S2职能系统－财经线/财经IT管理部/公共支持中心</t>
        </is>
      </c>
      <c r="H570" s="188" t="n">
        <v>45432</v>
      </c>
      <c r="I570" t="inlineStr">
        <is>
          <t>社会招聘</t>
        </is>
      </c>
      <c r="J570" t="inlineStr">
        <is>
          <t>技术研发类－TRD</t>
        </is>
      </c>
      <c r="K570" t="inlineStr">
        <is>
          <t>应用开发</t>
        </is>
      </c>
      <c r="L570" t="inlineStr">
        <is>
          <t>T8</t>
        </is>
      </c>
      <c r="N570" t="inlineStr">
        <is>
          <t>T2</t>
        </is>
      </c>
      <c r="Q570" t="inlineStr">
        <is>
          <t>N,G</t>
        </is>
      </c>
      <c r="U570" t="n">
        <v>209490.75</v>
      </c>
      <c r="V570" t="n">
        <v>0.083333</v>
      </c>
      <c r="W570" t="inlineStr">
        <is>
          <t>CNY</t>
        </is>
      </c>
      <c r="X570" t="n">
        <v>0.616438</v>
      </c>
      <c r="Y570" t="n">
        <v>38334.1</v>
      </c>
      <c r="Z570" t="n">
        <v>0</v>
      </c>
      <c r="AA570" t="n">
        <v>25827.61</v>
      </c>
      <c r="AF570" t="n">
        <v>0</v>
      </c>
      <c r="AG570" t="n">
        <v>25827.61</v>
      </c>
      <c r="AH570" t="n">
        <v>0.6737502641251523</v>
      </c>
      <c r="AJ570" t="n">
        <v>0.6737502641251523</v>
      </c>
      <c r="AK570" t="n">
        <v>0.6737502641251523</v>
      </c>
      <c r="AQ570" t="n">
        <v>25827.61</v>
      </c>
      <c r="AR570" t="n">
        <v>0.6737502641251523</v>
      </c>
      <c r="BM570" t="n">
        <v>0</v>
      </c>
      <c r="BN570" t="n">
        <v>0</v>
      </c>
      <c r="BO570" t="n">
        <v>0</v>
      </c>
      <c r="BT570" t="n">
        <v>0</v>
      </c>
      <c r="BY570" t="n">
        <v>0</v>
      </c>
      <c r="CP570" t="inlineStr">
        <is>
          <t>财经IT管理部</t>
        </is>
      </c>
      <c r="CQ570" t="n">
        <v>3</v>
      </c>
      <c r="CR570" t="n">
        <v>8</v>
      </c>
      <c r="CS570" t="inlineStr">
        <is>
          <t>T2</t>
        </is>
      </c>
      <c r="CT570" t="inlineStr">
        <is>
          <t>N</t>
        </is>
      </c>
    </row>
    <row r="571">
      <c r="A571" t="inlineStr">
        <is>
          <t>amandaLin(林柔)</t>
        </is>
      </c>
      <c r="C571" t="n">
        <v>69735895</v>
      </c>
      <c r="D571" t="inlineStr">
        <is>
          <t>CDG财务管理</t>
        </is>
      </c>
      <c r="E571" t="inlineStr">
        <is>
          <t>AMS收入支持中心</t>
        </is>
      </c>
      <c r="G571" t="inlineStr">
        <is>
          <t>S2职能系统－财经线/CDG财务管理/AMS收入支持中心</t>
        </is>
      </c>
      <c r="H571" s="188" t="n">
        <v>40796</v>
      </c>
      <c r="I571" t="inlineStr">
        <is>
          <t>社会招聘</t>
        </is>
      </c>
      <c r="J571" t="inlineStr">
        <is>
          <t>财经类－FN</t>
        </is>
      </c>
      <c r="K571" t="inlineStr">
        <is>
          <t>财务管理</t>
        </is>
      </c>
      <c r="M571" t="inlineStr">
        <is>
          <t>L3-1</t>
        </is>
      </c>
      <c r="N571" t="inlineStr">
        <is>
          <t>T2</t>
        </is>
      </c>
      <c r="Q571" t="inlineStr">
        <is>
          <t>O,O</t>
        </is>
      </c>
      <c r="U571" t="n">
        <v>421288</v>
      </c>
      <c r="V571" t="n">
        <v>0.083333</v>
      </c>
      <c r="W571" t="inlineStr">
        <is>
          <t>CNY</t>
        </is>
      </c>
      <c r="X571" t="n">
        <v>1</v>
      </c>
      <c r="Y571" t="n">
        <v>81971.42</v>
      </c>
      <c r="Z571" t="n">
        <v>0</v>
      </c>
      <c r="AA571" t="n">
        <v>337030.4</v>
      </c>
      <c r="AF571" t="n">
        <v>3360</v>
      </c>
      <c r="AG571" t="n">
        <v>422465.4</v>
      </c>
      <c r="AH571" t="n">
        <v>5.15381336568282</v>
      </c>
      <c r="AJ571" t="n">
        <v>5.194803261917386</v>
      </c>
      <c r="AK571" t="n">
        <v>5.194803261917386</v>
      </c>
      <c r="AQ571" t="n">
        <v>425825.4</v>
      </c>
      <c r="AR571" t="n">
        <v>5.194803261917386</v>
      </c>
      <c r="AS571" t="n">
        <v>1.145153691004437</v>
      </c>
      <c r="BL571" t="n">
        <v>1</v>
      </c>
      <c r="BM571" t="n">
        <v>73635</v>
      </c>
      <c r="BN571" t="n">
        <v>0</v>
      </c>
      <c r="BO571" t="n">
        <v>74280</v>
      </c>
      <c r="BP571" t="inlineStr">
        <is>
          <t>O,O</t>
        </is>
      </c>
      <c r="BQ571" t="inlineStr">
        <is>
          <t>T2</t>
        </is>
      </c>
      <c r="BS571" t="n">
        <v>5.049908331635771</v>
      </c>
      <c r="BT571" t="n">
        <v>0</v>
      </c>
      <c r="BV571" t="n">
        <v>5.049908331635771</v>
      </c>
      <c r="BY571" t="n">
        <v>371850</v>
      </c>
      <c r="BZ571" t="n">
        <v>5.049908331635771</v>
      </c>
      <c r="CP571" t="inlineStr">
        <is>
          <t>CDG财务管理</t>
        </is>
      </c>
      <c r="CQ571" t="inlineStr">
        <is>
          <t>5,5</t>
        </is>
      </c>
      <c r="CR571" t="inlineStr">
        <is>
          <t>L3-1</t>
        </is>
      </c>
      <c r="CS571" t="inlineStr">
        <is>
          <t>T2</t>
        </is>
      </c>
      <c r="CT571" t="inlineStr">
        <is>
          <t>N</t>
        </is>
      </c>
    </row>
    <row r="572">
      <c r="A572" t="inlineStr">
        <is>
          <t>judithJiang(姜沁云)</t>
        </is>
      </c>
      <c r="C572" t="n">
        <v>66930580</v>
      </c>
      <c r="D572" t="inlineStr">
        <is>
          <t>税务部</t>
        </is>
      </c>
      <c r="E572" t="inlineStr">
        <is>
          <t>印章及文档管理组</t>
        </is>
      </c>
      <c r="G572" t="inlineStr">
        <is>
          <t>S2职能系统－财经线/税务部/印章及文档管理组</t>
        </is>
      </c>
      <c r="H572" s="188" t="n">
        <v>41772</v>
      </c>
      <c r="I572" t="inlineStr">
        <is>
          <t>社会招聘</t>
        </is>
      </c>
      <c r="J572" t="inlineStr">
        <is>
          <t>财经类－FN</t>
        </is>
      </c>
      <c r="K572" t="inlineStr">
        <is>
          <t>税务</t>
        </is>
      </c>
      <c r="L572" t="inlineStr">
        <is>
          <t>S9</t>
        </is>
      </c>
      <c r="N572" t="inlineStr">
        <is>
          <t>T1</t>
        </is>
      </c>
      <c r="Q572" t="inlineStr">
        <is>
          <t>O,G</t>
        </is>
      </c>
      <c r="U572" t="n">
        <v>205628</v>
      </c>
      <c r="V572" t="n">
        <v>0.083333</v>
      </c>
      <c r="W572" t="inlineStr">
        <is>
          <t>CNY</t>
        </is>
      </c>
      <c r="X572" t="n">
        <v>1</v>
      </c>
      <c r="Y572" t="n">
        <v>39022.2</v>
      </c>
      <c r="Z572" t="n">
        <v>0</v>
      </c>
      <c r="AA572" t="n">
        <v>123376.8</v>
      </c>
      <c r="AF572" t="n">
        <v>0</v>
      </c>
      <c r="AG572" t="n">
        <v>260606.8</v>
      </c>
      <c r="AH572" t="n">
        <v>6.678424076551297</v>
      </c>
      <c r="AJ572" t="n">
        <v>6.678424076551297</v>
      </c>
      <c r="AK572" t="n">
        <v>5.596219587824367</v>
      </c>
      <c r="AQ572" t="n">
        <v>260606.8</v>
      </c>
      <c r="AR572" t="n">
        <v>6.678424076551297</v>
      </c>
      <c r="AS572" t="n">
        <v>1.627825978325369</v>
      </c>
      <c r="BL572" t="n">
        <v>1</v>
      </c>
      <c r="BM572" t="n">
        <v>35310</v>
      </c>
      <c r="BN572" t="n">
        <v>0</v>
      </c>
      <c r="BO572" t="n">
        <v>37510</v>
      </c>
      <c r="BP572" t="inlineStr">
        <is>
          <t>G,O</t>
        </is>
      </c>
      <c r="BQ572" t="inlineStr">
        <is>
          <t>Others</t>
        </is>
      </c>
      <c r="BS572" t="n">
        <v>4.533984706881903</v>
      </c>
      <c r="BT572" t="n">
        <v>0</v>
      </c>
      <c r="BV572" t="n">
        <v>4.533984706881903</v>
      </c>
      <c r="BY572" t="n">
        <v>160095</v>
      </c>
      <c r="BZ572" t="n">
        <v>4.533984706881903</v>
      </c>
      <c r="CP572" t="inlineStr">
        <is>
          <t>税务部</t>
        </is>
      </c>
      <c r="CQ572" t="inlineStr">
        <is>
          <t>5,3</t>
        </is>
      </c>
      <c r="CR572" t="n">
        <v>9</v>
      </c>
      <c r="CS572" t="inlineStr">
        <is>
          <t>T1</t>
        </is>
      </c>
      <c r="CT572" t="inlineStr">
        <is>
          <t>N</t>
        </is>
      </c>
    </row>
    <row r="573">
      <c r="A573" t="inlineStr">
        <is>
          <t>elizabethYu(余曦晶)</t>
        </is>
      </c>
      <c r="C573" t="n">
        <v>60277865</v>
      </c>
      <c r="D573" t="inlineStr">
        <is>
          <t>财经IT管理部</t>
        </is>
      </c>
      <c r="E573" t="inlineStr">
        <is>
          <t>中台开发中心</t>
        </is>
      </c>
      <c r="G573" t="inlineStr">
        <is>
          <t>S2职能系统－财经线/财经IT管理部/中台开发中心</t>
        </is>
      </c>
      <c r="H573" s="188" t="n">
        <v>45133</v>
      </c>
      <c r="I573" t="inlineStr">
        <is>
          <t>高校招聘</t>
        </is>
      </c>
      <c r="J573" t="inlineStr">
        <is>
          <t>技术研发类－TRD</t>
        </is>
      </c>
      <c r="K573" t="inlineStr">
        <is>
          <t>应用开发</t>
        </is>
      </c>
      <c r="L573" t="inlineStr">
        <is>
          <t>T6</t>
        </is>
      </c>
      <c r="N573" t="inlineStr">
        <is>
          <t>T2</t>
        </is>
      </c>
      <c r="Q573" t="inlineStr">
        <is>
          <t>G,G</t>
        </is>
      </c>
      <c r="U573" t="n">
        <v>171066.5</v>
      </c>
      <c r="V573" t="n">
        <v>0.083333</v>
      </c>
      <c r="W573" t="inlineStr">
        <is>
          <t>CNY</t>
        </is>
      </c>
      <c r="X573" t="n">
        <v>1</v>
      </c>
      <c r="Y573" t="n">
        <v>33776.01</v>
      </c>
      <c r="Z573" t="n">
        <v>0</v>
      </c>
      <c r="AA573" t="n">
        <v>68426.60000000001</v>
      </c>
      <c r="AF573" t="n">
        <v>0</v>
      </c>
      <c r="AG573" t="n">
        <v>115836.6</v>
      </c>
      <c r="AH573" t="n">
        <v>3.429552513751624</v>
      </c>
      <c r="AJ573" t="n">
        <v>3.429552513751624</v>
      </c>
      <c r="AK573" t="n">
        <v>3.429552513751624</v>
      </c>
      <c r="AQ573" t="n">
        <v>115836.6</v>
      </c>
      <c r="AR573" t="n">
        <v>3.429552513751624</v>
      </c>
      <c r="AS573" t="n">
        <v>9.518208709942481</v>
      </c>
      <c r="BL573" t="n">
        <v>0.432876712328767</v>
      </c>
      <c r="BM573" t="n">
        <v>28125</v>
      </c>
      <c r="BN573" t="n">
        <v>0</v>
      </c>
      <c r="BO573" t="n">
        <v>28125</v>
      </c>
      <c r="BP573" t="inlineStr">
        <is>
          <t>N,U</t>
        </is>
      </c>
      <c r="BQ573" t="inlineStr">
        <is>
          <t>T2</t>
        </is>
      </c>
      <c r="BS573" t="n">
        <v>0.4327111111111111</v>
      </c>
      <c r="BT573" t="n">
        <v>0</v>
      </c>
      <c r="BV573" t="n">
        <v>0.4327111111111111</v>
      </c>
      <c r="BY573" t="n">
        <v>12170</v>
      </c>
      <c r="BZ573" t="n">
        <v>0.4327111111111111</v>
      </c>
      <c r="CP573" t="inlineStr">
        <is>
          <t>财经IT管理部</t>
        </is>
      </c>
      <c r="CQ573" t="inlineStr">
        <is>
          <t>3,3</t>
        </is>
      </c>
      <c r="CR573" t="n">
        <v>6</v>
      </c>
      <c r="CS573" t="inlineStr">
        <is>
          <t>T2</t>
        </is>
      </c>
      <c r="CT573" t="inlineStr">
        <is>
          <t>N</t>
        </is>
      </c>
    </row>
    <row r="574">
      <c r="A574" t="inlineStr">
        <is>
          <t>bellaXia(夏诗)</t>
        </is>
      </c>
      <c r="C574" t="n">
        <v>89663157</v>
      </c>
      <c r="D574" t="inlineStr">
        <is>
          <t>风险管理和内部控制</t>
        </is>
      </c>
      <c r="E574" t="inlineStr">
        <is>
          <t>CSIG风控中心</t>
        </is>
      </c>
      <c r="G574" t="inlineStr">
        <is>
          <t>S2职能系统－财经线/风险管理和内部控制/CSIG风控中心</t>
        </is>
      </c>
      <c r="H574" s="188" t="n">
        <v>45381</v>
      </c>
      <c r="I574" t="inlineStr">
        <is>
          <t>社会招聘</t>
        </is>
      </c>
      <c r="J574" t="inlineStr">
        <is>
          <t>财经类－FN</t>
        </is>
      </c>
      <c r="K574" t="inlineStr">
        <is>
          <t>风险管理</t>
        </is>
      </c>
      <c r="L574" t="inlineStr">
        <is>
          <t>S12</t>
        </is>
      </c>
      <c r="N574" t="inlineStr">
        <is>
          <t>T1</t>
        </is>
      </c>
      <c r="Q574" t="inlineStr">
        <is>
          <t>G,G</t>
        </is>
      </c>
      <c r="U574" t="n">
        <v>291432.25</v>
      </c>
      <c r="V574" t="n">
        <v>0.083333</v>
      </c>
      <c r="W574" t="inlineStr">
        <is>
          <t>CNY</t>
        </is>
      </c>
      <c r="X574" t="n">
        <v>0.7561639999999999</v>
      </c>
      <c r="Y574" t="n">
        <v>53154.48</v>
      </c>
      <c r="Z574" t="n">
        <v>0</v>
      </c>
      <c r="AA574" t="n">
        <v>44074.12</v>
      </c>
      <c r="AF574" t="n">
        <v>0</v>
      </c>
      <c r="AG574" t="n">
        <v>44074.12</v>
      </c>
      <c r="AH574" t="n">
        <v>0.8291703728453368</v>
      </c>
      <c r="AJ574" t="n">
        <v>0.8291703728453368</v>
      </c>
      <c r="AK574" t="n">
        <v>0.8291703728453368</v>
      </c>
      <c r="AQ574" t="n">
        <v>44074.12</v>
      </c>
      <c r="AR574" t="n">
        <v>0.8291703728453368</v>
      </c>
      <c r="BM574" t="n">
        <v>0</v>
      </c>
      <c r="BN574" t="n">
        <v>0</v>
      </c>
      <c r="BO574" t="n">
        <v>0</v>
      </c>
      <c r="BT574" t="n">
        <v>0</v>
      </c>
      <c r="BY574" t="n">
        <v>0</v>
      </c>
      <c r="CP574" t="inlineStr">
        <is>
          <t>风险管理和内部控制</t>
        </is>
      </c>
      <c r="CQ574" t="inlineStr">
        <is>
          <t>3,3</t>
        </is>
      </c>
      <c r="CR574" t="n">
        <v>12</v>
      </c>
      <c r="CS574" t="inlineStr">
        <is>
          <t>T1</t>
        </is>
      </c>
      <c r="CT574" t="inlineStr">
        <is>
          <t>N</t>
        </is>
      </c>
    </row>
    <row r="575">
      <c r="A575" t="inlineStr">
        <is>
          <t>jacobLai(赖宏文)</t>
        </is>
      </c>
      <c r="C575" t="n">
        <v>32321319</v>
      </c>
      <c r="D575" t="inlineStr">
        <is>
          <t>财经IT管理部</t>
        </is>
      </c>
      <c r="E575" t="inlineStr">
        <is>
          <t>业务开发中心</t>
        </is>
      </c>
      <c r="G575" t="inlineStr">
        <is>
          <t>S2职能系统－财经线/财经IT管理部/业务开发中心</t>
        </is>
      </c>
      <c r="H575" s="188" t="n">
        <v>37675</v>
      </c>
      <c r="I575" t="inlineStr">
        <is>
          <t>社会招聘</t>
        </is>
      </c>
      <c r="J575" t="inlineStr">
        <is>
          <t>技术研发类－TRD</t>
        </is>
      </c>
      <c r="K575" t="inlineStr">
        <is>
          <t>应用开发</t>
        </is>
      </c>
      <c r="L575" t="inlineStr">
        <is>
          <t>T9</t>
        </is>
      </c>
      <c r="N575" t="inlineStr">
        <is>
          <t>Others</t>
        </is>
      </c>
      <c r="Q575" t="inlineStr">
        <is>
          <t>G,G</t>
        </is>
      </c>
      <c r="U575" t="n">
        <v>165961.25</v>
      </c>
      <c r="V575" t="n">
        <v>0.083333</v>
      </c>
      <c r="W575" t="inlineStr">
        <is>
          <t>CNY</t>
        </is>
      </c>
      <c r="X575" t="n">
        <v>1</v>
      </c>
      <c r="Y575" t="n">
        <v>32504.31</v>
      </c>
      <c r="Z575" t="n">
        <v>0</v>
      </c>
      <c r="AA575" t="n">
        <v>66384.5</v>
      </c>
      <c r="AF575" t="n">
        <v>0</v>
      </c>
      <c r="AG575" t="n">
        <v>97664.5</v>
      </c>
      <c r="AH575" t="n">
        <v>3.004663073912352</v>
      </c>
      <c r="AJ575" t="n">
        <v>3.004663073912352</v>
      </c>
      <c r="AK575" t="n">
        <v>3.004663073912352</v>
      </c>
      <c r="AQ575" t="n">
        <v>97664.5</v>
      </c>
      <c r="AR575" t="n">
        <v>3.004663073912352</v>
      </c>
      <c r="AS575" t="n">
        <v>1.043981827899519</v>
      </c>
      <c r="BL575" t="n">
        <v>1</v>
      </c>
      <c r="BM575" t="n">
        <v>26995</v>
      </c>
      <c r="BN575" t="n">
        <v>0</v>
      </c>
      <c r="BO575" t="n">
        <v>29195</v>
      </c>
      <c r="BP575" t="inlineStr">
        <is>
          <t>G,G</t>
        </is>
      </c>
      <c r="BQ575" t="inlineStr">
        <is>
          <t>Others</t>
        </is>
      </c>
      <c r="BS575" t="n">
        <v>3.465456566030746</v>
      </c>
      <c r="BT575" t="n">
        <v>0</v>
      </c>
      <c r="BV575" t="n">
        <v>3.465456566030746</v>
      </c>
      <c r="BY575" t="n">
        <v>93550</v>
      </c>
      <c r="BZ575" t="n">
        <v>3.465456566030746</v>
      </c>
      <c r="CP575" t="inlineStr">
        <is>
          <t>财经IT管理部</t>
        </is>
      </c>
      <c r="CQ575" t="inlineStr">
        <is>
          <t>3,3</t>
        </is>
      </c>
      <c r="CR575" t="n">
        <v>9</v>
      </c>
      <c r="CS575" t="inlineStr">
        <is>
          <t>Others</t>
        </is>
      </c>
      <c r="CT575" t="inlineStr">
        <is>
          <t>N</t>
        </is>
      </c>
    </row>
    <row r="576">
      <c r="A576" t="inlineStr">
        <is>
          <t>penelopeSun(孙茹诗)</t>
        </is>
      </c>
      <c r="C576" t="n">
        <v>79058956</v>
      </c>
      <c r="D576" t="inlineStr">
        <is>
          <t>财经投资并购及管理部</t>
        </is>
      </c>
      <c r="E576" t="inlineStr">
        <is>
          <t>财经投资并购及管理部</t>
        </is>
      </c>
      <c r="G576" t="inlineStr">
        <is>
          <t>S2职能系统－财经线/财经投资并购及管理部</t>
        </is>
      </c>
      <c r="H576" s="188" t="n">
        <v>36950</v>
      </c>
      <c r="I576" t="inlineStr">
        <is>
          <t>社会招聘</t>
        </is>
      </c>
      <c r="J576" t="inlineStr">
        <is>
          <t>财经类－FN</t>
        </is>
      </c>
      <c r="K576" t="inlineStr">
        <is>
          <t>投资并购</t>
        </is>
      </c>
      <c r="L576" t="inlineStr">
        <is>
          <t>S7</t>
        </is>
      </c>
      <c r="N576" t="inlineStr">
        <is>
          <t>Others</t>
        </is>
      </c>
      <c r="Q576" t="inlineStr">
        <is>
          <t>G,G</t>
        </is>
      </c>
      <c r="U576" t="n">
        <v>187517</v>
      </c>
      <c r="V576" t="n">
        <v>0.083333</v>
      </c>
      <c r="W576" t="inlineStr">
        <is>
          <t>CNY</t>
        </is>
      </c>
      <c r="X576" t="n">
        <v>1</v>
      </c>
      <c r="Y576" t="n">
        <v>36249.82</v>
      </c>
      <c r="Z576" t="n">
        <v>0</v>
      </c>
      <c r="AA576" t="n">
        <v>75006.8</v>
      </c>
      <c r="AF576" t="n">
        <v>0</v>
      </c>
      <c r="AG576" t="n">
        <v>99871.8</v>
      </c>
      <c r="AH576" t="n">
        <v>2.755097818416754</v>
      </c>
      <c r="AJ576" t="n">
        <v>2.755097818416754</v>
      </c>
      <c r="AK576" t="n">
        <v>2.755097818416754</v>
      </c>
      <c r="AQ576" t="n">
        <v>99871.8</v>
      </c>
      <c r="AR576" t="n">
        <v>2.755097818416754</v>
      </c>
      <c r="AS576" t="n">
        <v>1.521624133465377</v>
      </c>
      <c r="BL576" t="n">
        <v>1</v>
      </c>
      <c r="BM576" t="n">
        <v>30955</v>
      </c>
      <c r="BN576" t="n">
        <v>0</v>
      </c>
      <c r="BO576" t="n">
        <v>31245</v>
      </c>
      <c r="BP576" t="inlineStr">
        <is>
          <t>U,G</t>
        </is>
      </c>
      <c r="BQ576" t="inlineStr">
        <is>
          <t>Others</t>
        </is>
      </c>
      <c r="BS576" t="n">
        <v>2.120335971571636</v>
      </c>
      <c r="BT576" t="n">
        <v>0</v>
      </c>
      <c r="BV576" t="n">
        <v>2.120335971571636</v>
      </c>
      <c r="BY576" t="n">
        <v>65635</v>
      </c>
      <c r="BZ576" t="n">
        <v>2.120335971571636</v>
      </c>
      <c r="CP576" t="inlineStr">
        <is>
          <t>财经投资并购及管理部</t>
        </is>
      </c>
      <c r="CQ576" t="inlineStr">
        <is>
          <t>3,3</t>
        </is>
      </c>
      <c r="CR576" t="n">
        <v>7</v>
      </c>
      <c r="CS576" t="inlineStr">
        <is>
          <t>Others</t>
        </is>
      </c>
      <c r="CT576" t="inlineStr">
        <is>
          <t>N</t>
        </is>
      </c>
    </row>
    <row r="577">
      <c r="A577" t="inlineStr">
        <is>
          <t>jordanJin(金磊国)</t>
        </is>
      </c>
      <c r="C577" t="n">
        <v>13168842</v>
      </c>
      <c r="D577" t="inlineStr">
        <is>
          <t>IEG财务管理</t>
        </is>
      </c>
      <c r="E577" t="inlineStr">
        <is>
          <t>综合分析组</t>
        </is>
      </c>
      <c r="G577" t="inlineStr">
        <is>
          <t>S2职能系统－财经线/IEG财务管理/综合分析组</t>
        </is>
      </c>
      <c r="H577" s="188" t="n">
        <v>43873</v>
      </c>
      <c r="I577" t="inlineStr">
        <is>
          <t>社会招聘</t>
        </is>
      </c>
      <c r="J577" t="inlineStr">
        <is>
          <t>财经类－FN</t>
        </is>
      </c>
      <c r="K577" t="inlineStr">
        <is>
          <t>财务管理</t>
        </is>
      </c>
      <c r="L577" t="inlineStr">
        <is>
          <t>S11</t>
        </is>
      </c>
      <c r="N577" t="inlineStr">
        <is>
          <t>T2</t>
        </is>
      </c>
      <c r="Q577" t="inlineStr">
        <is>
          <t>G,G</t>
        </is>
      </c>
      <c r="U577" t="n">
        <v>340439.25</v>
      </c>
      <c r="V577" t="n">
        <v>0.083333</v>
      </c>
      <c r="W577" t="inlineStr">
        <is>
          <t>CNY</t>
        </is>
      </c>
      <c r="X577" t="n">
        <v>1</v>
      </c>
      <c r="Y577" t="n">
        <v>63294.76</v>
      </c>
      <c r="Z577" t="n">
        <v>0</v>
      </c>
      <c r="AA577" t="n">
        <v>136175.7</v>
      </c>
      <c r="AF577" t="n">
        <v>0</v>
      </c>
      <c r="AG577" t="n">
        <v>232435.7</v>
      </c>
      <c r="AH577" t="n">
        <v>3.67227397655035</v>
      </c>
      <c r="AJ577" t="n">
        <v>3.67227397655035</v>
      </c>
      <c r="AK577" t="n">
        <v>3.67227397655035</v>
      </c>
      <c r="AQ577" t="n">
        <v>232435.7</v>
      </c>
      <c r="AR577" t="n">
        <v>3.67227397655035</v>
      </c>
      <c r="AS577" t="n">
        <v>1.157029717755986</v>
      </c>
      <c r="BL577" t="n">
        <v>1</v>
      </c>
      <c r="BM577" t="n">
        <v>58060</v>
      </c>
      <c r="BN577" t="n">
        <v>0</v>
      </c>
      <c r="BO577" t="n">
        <v>61685</v>
      </c>
      <c r="BP577" t="inlineStr">
        <is>
          <t>G,G</t>
        </is>
      </c>
      <c r="BQ577" t="inlineStr">
        <is>
          <t>Others</t>
        </is>
      </c>
      <c r="BS577" t="n">
        <v>3.460041336548398</v>
      </c>
      <c r="BT577" t="n">
        <v>0</v>
      </c>
      <c r="BV577" t="n">
        <v>3.460041336548398</v>
      </c>
      <c r="BY577" t="n">
        <v>200890</v>
      </c>
      <c r="BZ577" t="n">
        <v>3.460041336548398</v>
      </c>
      <c r="CP577" t="inlineStr">
        <is>
          <t>IEG财务管理</t>
        </is>
      </c>
      <c r="CQ577" t="inlineStr">
        <is>
          <t>3,3</t>
        </is>
      </c>
      <c r="CR577" t="n">
        <v>11</v>
      </c>
      <c r="CS577" t="inlineStr">
        <is>
          <t>T2</t>
        </is>
      </c>
      <c r="CT577" t="inlineStr">
        <is>
          <t>N</t>
        </is>
      </c>
    </row>
    <row r="578">
      <c r="A578" t="inlineStr">
        <is>
          <t>addisonLu(陆洁)</t>
        </is>
      </c>
      <c r="C578" t="n">
        <v>19042429</v>
      </c>
      <c r="D578" t="inlineStr">
        <is>
          <t>TEG财务管理</t>
        </is>
      </c>
      <c r="E578" t="inlineStr">
        <is>
          <t>TEG财务管理</t>
        </is>
      </c>
      <c r="G578" t="inlineStr">
        <is>
          <t>S2职能系统－财经线/TEG财务管理</t>
        </is>
      </c>
      <c r="H578" s="188" t="n">
        <v>40006</v>
      </c>
      <c r="I578" t="inlineStr">
        <is>
          <t>社会招聘</t>
        </is>
      </c>
      <c r="J578" t="inlineStr">
        <is>
          <t>财经类－FN</t>
        </is>
      </c>
      <c r="K578" t="inlineStr">
        <is>
          <t>财务管理</t>
        </is>
      </c>
      <c r="L578" t="inlineStr">
        <is>
          <t>S11</t>
        </is>
      </c>
      <c r="N578" t="inlineStr">
        <is>
          <t>T2</t>
        </is>
      </c>
      <c r="Q578" t="inlineStr">
        <is>
          <t>G,G</t>
        </is>
      </c>
      <c r="U578" t="n">
        <v>198628.25</v>
      </c>
      <c r="V578" t="n">
        <v>0.083333</v>
      </c>
      <c r="W578" t="inlineStr">
        <is>
          <t>CNY</t>
        </is>
      </c>
      <c r="X578" t="n">
        <v>1</v>
      </c>
      <c r="Y578" t="n">
        <v>36415.35</v>
      </c>
      <c r="Z578" t="n">
        <v>0</v>
      </c>
      <c r="AA578" t="n">
        <v>79451.3</v>
      </c>
      <c r="AF578" t="n">
        <v>0</v>
      </c>
      <c r="AG578" t="n">
        <v>130651.3</v>
      </c>
      <c r="AH578" t="n">
        <v>3.587808437925216</v>
      </c>
      <c r="AJ578" t="n">
        <v>3.587808437925216</v>
      </c>
      <c r="AK578" t="n">
        <v>3.587808437925216</v>
      </c>
      <c r="AQ578" t="n">
        <v>130651.3</v>
      </c>
      <c r="AR578" t="n">
        <v>3.587808437925216</v>
      </c>
      <c r="AS578" t="n">
        <v>1.028264599401857</v>
      </c>
      <c r="BL578" t="n">
        <v>1</v>
      </c>
      <c r="BM578" t="n">
        <v>34730</v>
      </c>
      <c r="BN578" t="n">
        <v>0</v>
      </c>
      <c r="BO578" t="n">
        <v>36555</v>
      </c>
      <c r="BP578" t="inlineStr">
        <is>
          <t>G,G</t>
        </is>
      </c>
      <c r="BQ578" t="inlineStr">
        <is>
          <t>T2</t>
        </is>
      </c>
      <c r="BS578" t="n">
        <v>3.658508494097322</v>
      </c>
      <c r="BT578" t="n">
        <v>0</v>
      </c>
      <c r="BV578" t="n">
        <v>3.658508494097322</v>
      </c>
      <c r="BY578" t="n">
        <v>127060</v>
      </c>
      <c r="BZ578" t="n">
        <v>3.658508494097322</v>
      </c>
      <c r="CP578" t="inlineStr">
        <is>
          <t>TEG财务管理</t>
        </is>
      </c>
      <c r="CQ578" t="inlineStr">
        <is>
          <t>3,3</t>
        </is>
      </c>
      <c r="CR578" t="n">
        <v>11</v>
      </c>
      <c r="CS578" t="inlineStr">
        <is>
          <t>T2</t>
        </is>
      </c>
      <c r="CT578" t="inlineStr">
        <is>
          <t>N</t>
        </is>
      </c>
    </row>
    <row r="579">
      <c r="A579" t="inlineStr">
        <is>
          <t>teresaSong(宋颖)</t>
        </is>
      </c>
      <c r="C579" t="n">
        <v>51846326</v>
      </c>
      <c r="D579" t="inlineStr">
        <is>
          <t>财会及报告管理部</t>
        </is>
      </c>
      <c r="E579" t="inlineStr">
        <is>
          <t>员工报销服务中心</t>
        </is>
      </c>
      <c r="G579" t="inlineStr">
        <is>
          <t>S2职能系统－财经线/财会及报告管理部/员工报销服务中心</t>
        </is>
      </c>
      <c r="H579" s="188" t="n">
        <v>44285</v>
      </c>
      <c r="I579" t="inlineStr">
        <is>
          <t>高校招聘</t>
        </is>
      </c>
      <c r="J579" t="inlineStr">
        <is>
          <t>财经类－FN</t>
        </is>
      </c>
      <c r="K579" t="inlineStr">
        <is>
          <t>会计</t>
        </is>
      </c>
      <c r="L579" t="inlineStr">
        <is>
          <t>S8</t>
        </is>
      </c>
      <c r="N579" t="inlineStr">
        <is>
          <t>Others</t>
        </is>
      </c>
      <c r="Q579" t="inlineStr">
        <is>
          <t>G,G</t>
        </is>
      </c>
      <c r="U579" t="n">
        <v>185696.75</v>
      </c>
      <c r="V579" t="n">
        <v>0.083333</v>
      </c>
      <c r="W579" t="inlineStr">
        <is>
          <t>CNY</t>
        </is>
      </c>
      <c r="X579" t="n">
        <v>1</v>
      </c>
      <c r="Y579" t="n">
        <v>36090.64</v>
      </c>
      <c r="Z579" t="n">
        <v>0</v>
      </c>
      <c r="AA579" t="n">
        <v>74278.7</v>
      </c>
      <c r="AF579" t="n">
        <v>0</v>
      </c>
      <c r="AG579" t="n">
        <v>96973.7</v>
      </c>
      <c r="AH579" t="n">
        <v>2.686948749038532</v>
      </c>
      <c r="AJ579" t="n">
        <v>2.686948749038532</v>
      </c>
      <c r="AK579" t="n">
        <v>2.686948749038532</v>
      </c>
      <c r="AQ579" t="n">
        <v>96973.7</v>
      </c>
      <c r="AR579" t="n">
        <v>2.686948749038532</v>
      </c>
      <c r="AS579" t="n">
        <v>0.838473909472137</v>
      </c>
      <c r="BL579" t="n">
        <v>1</v>
      </c>
      <c r="BM579" t="n">
        <v>33125</v>
      </c>
      <c r="BN579" t="n">
        <v>0</v>
      </c>
      <c r="BO579" t="n">
        <v>35025</v>
      </c>
      <c r="BP579" t="inlineStr">
        <is>
          <t>G,G</t>
        </is>
      </c>
      <c r="BQ579" t="inlineStr">
        <is>
          <t>Others</t>
        </is>
      </c>
      <c r="BS579" t="n">
        <v>3.491471698113207</v>
      </c>
      <c r="BT579" t="n">
        <v>0</v>
      </c>
      <c r="BV579" t="n">
        <v>3.491471698113207</v>
      </c>
      <c r="BY579" t="n">
        <v>115655</v>
      </c>
      <c r="BZ579" t="n">
        <v>3.491471698113207</v>
      </c>
      <c r="CP579" t="inlineStr">
        <is>
          <t>财会及报告管理部</t>
        </is>
      </c>
      <c r="CQ579" t="inlineStr">
        <is>
          <t>3,3</t>
        </is>
      </c>
      <c r="CR579" t="n">
        <v>8</v>
      </c>
      <c r="CS579" t="inlineStr">
        <is>
          <t>Others</t>
        </is>
      </c>
      <c r="CT579" t="inlineStr">
        <is>
          <t>N</t>
        </is>
      </c>
    </row>
    <row r="580">
      <c r="A580" t="inlineStr">
        <is>
          <t>danielTian(田志)</t>
        </is>
      </c>
      <c r="C580" t="n">
        <v>92244182</v>
      </c>
      <c r="D580" t="inlineStr">
        <is>
          <t>风险管理和内部控制</t>
        </is>
      </c>
      <c r="E580" t="inlineStr">
        <is>
          <t>PCG风控中心</t>
        </is>
      </c>
      <c r="G580" t="inlineStr">
        <is>
          <t>S2职能系统－财经线/风险管理和内部控制/PCG风控中心</t>
        </is>
      </c>
      <c r="H580" s="188" t="n">
        <v>41028</v>
      </c>
      <c r="I580" t="inlineStr">
        <is>
          <t>社会招聘</t>
        </is>
      </c>
      <c r="J580" t="inlineStr">
        <is>
          <t>财经类－FN</t>
        </is>
      </c>
      <c r="K580" t="inlineStr">
        <is>
          <t>风险管理</t>
        </is>
      </c>
      <c r="L580" t="inlineStr">
        <is>
          <t>S6</t>
        </is>
      </c>
      <c r="N580" t="inlineStr">
        <is>
          <t>T2</t>
        </is>
      </c>
      <c r="Q580" t="inlineStr">
        <is>
          <t>G,G</t>
        </is>
      </c>
      <c r="U580" t="n">
        <v>192175</v>
      </c>
      <c r="V580" t="n">
        <v>0.083333</v>
      </c>
      <c r="W580" t="inlineStr">
        <is>
          <t>CNY</t>
        </is>
      </c>
      <c r="X580" t="n">
        <v>1</v>
      </c>
      <c r="Y580" t="n">
        <v>36275.47</v>
      </c>
      <c r="Z580" t="n">
        <v>0</v>
      </c>
      <c r="AA580" t="n">
        <v>76870</v>
      </c>
      <c r="AF580" t="n">
        <v>0</v>
      </c>
      <c r="AG580" t="n">
        <v>116875</v>
      </c>
      <c r="AH580" t="n">
        <v>3.221874175579255</v>
      </c>
      <c r="AJ580" t="n">
        <v>3.221874175579255</v>
      </c>
      <c r="AK580" t="n">
        <v>3.221874175579255</v>
      </c>
      <c r="AQ580" t="n">
        <v>116875</v>
      </c>
      <c r="AR580" t="n">
        <v>3.221874175579255</v>
      </c>
      <c r="AS580" t="n">
        <v>0.4420971005995499</v>
      </c>
      <c r="BL580" t="n">
        <v>1</v>
      </c>
      <c r="BM580" t="n">
        <v>32465</v>
      </c>
      <c r="BN580" t="n">
        <v>0</v>
      </c>
      <c r="BO580" t="n">
        <v>34460</v>
      </c>
      <c r="BP580" t="inlineStr">
        <is>
          <t>O,G</t>
        </is>
      </c>
      <c r="BQ580" t="inlineStr">
        <is>
          <t>T1#</t>
        </is>
      </c>
      <c r="BS580" t="n">
        <v>6.666255967965501</v>
      </c>
      <c r="BT580" t="n">
        <v>47945</v>
      </c>
      <c r="BV580" t="n">
        <v>8.143077160018482</v>
      </c>
      <c r="BY580" t="n">
        <v>264365</v>
      </c>
      <c r="BZ580" t="n">
        <v>8.143077160018482</v>
      </c>
      <c r="CP580" t="inlineStr">
        <is>
          <t>风险管理和内部控制</t>
        </is>
      </c>
      <c r="CQ580" t="inlineStr">
        <is>
          <t>3,3</t>
        </is>
      </c>
      <c r="CR580" t="n">
        <v>6</v>
      </c>
      <c r="CS580" t="inlineStr">
        <is>
          <t>T2</t>
        </is>
      </c>
      <c r="CT580" t="inlineStr">
        <is>
          <t>N</t>
        </is>
      </c>
    </row>
    <row r="581">
      <c r="A581" t="inlineStr">
        <is>
          <t>rubyMa(马红)</t>
        </is>
      </c>
      <c r="C581" t="n">
        <v>78246281</v>
      </c>
      <c r="D581" t="inlineStr">
        <is>
          <t>风险管理和内部控制</t>
        </is>
      </c>
      <c r="E581" t="inlineStr">
        <is>
          <t>WXG风控中心</t>
        </is>
      </c>
      <c r="G581" t="inlineStr">
        <is>
          <t>S2职能系统－财经线/风险管理和内部控制/WXG风控中心</t>
        </is>
      </c>
      <c r="H581" s="188" t="n">
        <v>43065</v>
      </c>
      <c r="I581" t="inlineStr">
        <is>
          <t>高校招聘</t>
        </is>
      </c>
      <c r="J581" t="inlineStr">
        <is>
          <t>财经类－FN</t>
        </is>
      </c>
      <c r="K581" t="inlineStr">
        <is>
          <t>风险管理</t>
        </is>
      </c>
      <c r="L581" t="inlineStr">
        <is>
          <t>S8</t>
        </is>
      </c>
      <c r="N581" t="inlineStr">
        <is>
          <t>T1</t>
        </is>
      </c>
      <c r="Q581" t="inlineStr">
        <is>
          <t>G,O</t>
        </is>
      </c>
      <c r="U581" t="n">
        <v>183429.75</v>
      </c>
      <c r="V581" t="n">
        <v>0.083333</v>
      </c>
      <c r="W581" t="inlineStr">
        <is>
          <t>CNY</t>
        </is>
      </c>
      <c r="X581" t="n">
        <v>1</v>
      </c>
      <c r="Y581" t="n">
        <v>33055.85</v>
      </c>
      <c r="Z581" t="n">
        <v>0</v>
      </c>
      <c r="AA581" t="n">
        <v>110057.85</v>
      </c>
      <c r="AF581" t="n">
        <v>0</v>
      </c>
      <c r="AG581" t="n">
        <v>256652.85</v>
      </c>
      <c r="AH581" t="n">
        <v>7.764218738891906</v>
      </c>
      <c r="AJ581" t="n">
        <v>7.764218738891906</v>
      </c>
      <c r="AK581" t="n">
        <v>5.673212154580808</v>
      </c>
      <c r="AQ581" t="n">
        <v>256652.85</v>
      </c>
      <c r="AR581" t="n">
        <v>7.764218738891906</v>
      </c>
      <c r="AS581" t="n">
        <v>1.586578369857509</v>
      </c>
      <c r="BL581" t="n">
        <v>1</v>
      </c>
      <c r="BM581" t="n">
        <v>30450</v>
      </c>
      <c r="BN581" t="n">
        <v>0</v>
      </c>
      <c r="BO581" t="n">
        <v>32700</v>
      </c>
      <c r="BP581" t="inlineStr">
        <is>
          <t>G,G</t>
        </is>
      </c>
      <c r="BQ581" t="inlineStr">
        <is>
          <t>T1</t>
        </is>
      </c>
      <c r="BS581" t="n">
        <v>3.300985221674877</v>
      </c>
      <c r="BT581" t="n">
        <v>61250</v>
      </c>
      <c r="BV581" t="n">
        <v>5.31247947454844</v>
      </c>
      <c r="BY581" t="n">
        <v>161765</v>
      </c>
      <c r="BZ581" t="n">
        <v>5.31247947454844</v>
      </c>
      <c r="CP581" t="inlineStr">
        <is>
          <t>风险管理和内部控制</t>
        </is>
      </c>
      <c r="CQ581" t="inlineStr">
        <is>
          <t>5,3</t>
        </is>
      </c>
      <c r="CR581" t="n">
        <v>8</v>
      </c>
      <c r="CS581" t="inlineStr">
        <is>
          <t>T1</t>
        </is>
      </c>
      <c r="CT581" t="inlineStr">
        <is>
          <t>N</t>
        </is>
      </c>
    </row>
    <row r="582">
      <c r="A582" t="inlineStr">
        <is>
          <t>hazelDai(戴瑶)</t>
        </is>
      </c>
      <c r="C582" t="n">
        <v>85722761</v>
      </c>
      <c r="D582" t="inlineStr">
        <is>
          <t>风险管理和内部控制</t>
        </is>
      </c>
      <c r="E582" t="inlineStr">
        <is>
          <t>WXG风控中心</t>
        </is>
      </c>
      <c r="G582" t="inlineStr">
        <is>
          <t>S2职能系统－财经线/风险管理和内部控制/WXG风控中心</t>
        </is>
      </c>
      <c r="H582" s="188" t="n">
        <v>40292</v>
      </c>
      <c r="I582" t="inlineStr">
        <is>
          <t>高校招聘</t>
        </is>
      </c>
      <c r="J582" t="inlineStr">
        <is>
          <t>财经类－FN</t>
        </is>
      </c>
      <c r="K582" t="inlineStr">
        <is>
          <t>风险管理</t>
        </is>
      </c>
      <c r="L582" t="inlineStr">
        <is>
          <t>S8</t>
        </is>
      </c>
      <c r="N582" t="inlineStr">
        <is>
          <t>T1#</t>
        </is>
      </c>
      <c r="Q582" t="inlineStr">
        <is>
          <t>G,G</t>
        </is>
      </c>
      <c r="U582" t="n">
        <v>218465.5</v>
      </c>
      <c r="V582" t="n">
        <v>0.083333</v>
      </c>
      <c r="W582" t="inlineStr">
        <is>
          <t>CNY</t>
        </is>
      </c>
      <c r="X582" t="n">
        <v>1</v>
      </c>
      <c r="Y582" t="n">
        <v>40839.87</v>
      </c>
      <c r="Z582" t="n">
        <v>0</v>
      </c>
      <c r="AA582" t="n">
        <v>87386.2</v>
      </c>
      <c r="AF582" t="n">
        <v>0</v>
      </c>
      <c r="AG582" t="n">
        <v>314566.2</v>
      </c>
      <c r="AH582" t="n">
        <v>7.702429023402866</v>
      </c>
      <c r="AJ582" t="n">
        <v>7.702429023402866</v>
      </c>
      <c r="AK582" t="n">
        <v>5.671448023708205</v>
      </c>
      <c r="AQ582" t="n">
        <v>314566.2</v>
      </c>
      <c r="AR582" t="n">
        <v>7.702429023402866</v>
      </c>
      <c r="AS582" t="n">
        <v>1.069698371136124</v>
      </c>
      <c r="BL582" t="n">
        <v>1</v>
      </c>
      <c r="BM582" t="n">
        <v>35440</v>
      </c>
      <c r="BN582" t="n">
        <v>0</v>
      </c>
      <c r="BO582" t="n">
        <v>38940</v>
      </c>
      <c r="BP582" t="inlineStr">
        <is>
          <t>G,O</t>
        </is>
      </c>
      <c r="BQ582" t="inlineStr">
        <is>
          <t>T1#</t>
        </is>
      </c>
      <c r="BS582" t="n">
        <v>6.849181715575621</v>
      </c>
      <c r="BT582" t="n">
        <v>51335</v>
      </c>
      <c r="BV582" t="n">
        <v>8.297686230248306</v>
      </c>
      <c r="BY582" t="n">
        <v>294070</v>
      </c>
      <c r="BZ582" t="n">
        <v>8.297686230248306</v>
      </c>
      <c r="CP582" t="inlineStr">
        <is>
          <t>风险管理和内部控制</t>
        </is>
      </c>
      <c r="CQ582" t="inlineStr">
        <is>
          <t>3,3</t>
        </is>
      </c>
      <c r="CR582" t="n">
        <v>8</v>
      </c>
      <c r="CS582" t="inlineStr">
        <is>
          <t>T1#</t>
        </is>
      </c>
      <c r="CT582" t="inlineStr">
        <is>
          <t>N</t>
        </is>
      </c>
    </row>
    <row r="583">
      <c r="A583" t="inlineStr">
        <is>
          <t>jamesJia(贾伟华)</t>
        </is>
      </c>
      <c r="C583" t="n">
        <v>23413279</v>
      </c>
      <c r="D583" t="inlineStr">
        <is>
          <t>财经IT管理部</t>
        </is>
      </c>
      <c r="E583" t="inlineStr">
        <is>
          <t>业务开发中心</t>
        </is>
      </c>
      <c r="G583" t="inlineStr">
        <is>
          <t>S2职能系统－财经线/财经IT管理部/业务开发中心</t>
        </is>
      </c>
      <c r="H583" s="188" t="n">
        <v>36890</v>
      </c>
      <c r="I583" t="inlineStr">
        <is>
          <t>高校招聘</t>
        </is>
      </c>
      <c r="J583" t="inlineStr">
        <is>
          <t>技术研发类－TRD</t>
        </is>
      </c>
      <c r="K583" t="inlineStr">
        <is>
          <t>应用开发</t>
        </is>
      </c>
      <c r="L583" t="inlineStr">
        <is>
          <t>T11</t>
        </is>
      </c>
      <c r="N583" t="inlineStr">
        <is>
          <t>T1#</t>
        </is>
      </c>
      <c r="Q583" t="inlineStr">
        <is>
          <t>O,G</t>
        </is>
      </c>
      <c r="U583" t="n">
        <v>320790</v>
      </c>
      <c r="V583" t="n">
        <v>0.083333</v>
      </c>
      <c r="W583" t="inlineStr">
        <is>
          <t>CNY</t>
        </is>
      </c>
      <c r="X583" t="n">
        <v>1</v>
      </c>
      <c r="Y583" t="n">
        <v>58289.7</v>
      </c>
      <c r="Z583" t="n">
        <v>0</v>
      </c>
      <c r="AA583" t="n">
        <v>192474</v>
      </c>
      <c r="AF583" t="n">
        <v>0</v>
      </c>
      <c r="AG583" t="n">
        <v>492709</v>
      </c>
      <c r="AH583" t="n">
        <v>8.452762666474523</v>
      </c>
      <c r="AJ583" t="n">
        <v>8.452762666474523</v>
      </c>
      <c r="AK583" t="n">
        <v>6.690701787794413</v>
      </c>
      <c r="AQ583" t="n">
        <v>492709</v>
      </c>
      <c r="AR583" t="n">
        <v>8.452762666474523</v>
      </c>
      <c r="AS583" t="n">
        <v>1.086578454074319</v>
      </c>
      <c r="BL583" t="n">
        <v>1</v>
      </c>
      <c r="BM583" t="n">
        <v>56160</v>
      </c>
      <c r="BN583" t="n">
        <v>0</v>
      </c>
      <c r="BO583" t="n">
        <v>60680</v>
      </c>
      <c r="BP583" t="inlineStr">
        <is>
          <t>G,G</t>
        </is>
      </c>
      <c r="BQ583" t="inlineStr">
        <is>
          <t>T1#</t>
        </is>
      </c>
      <c r="BS583" t="n">
        <v>5.92156339031339</v>
      </c>
      <c r="BT583" t="n">
        <v>120895</v>
      </c>
      <c r="BV583" t="n">
        <v>8.074252136752136</v>
      </c>
      <c r="BY583" t="n">
        <v>453450</v>
      </c>
      <c r="BZ583" t="n">
        <v>8.074252136752136</v>
      </c>
      <c r="CP583" t="inlineStr">
        <is>
          <t>财经IT管理部</t>
        </is>
      </c>
      <c r="CQ583" t="inlineStr">
        <is>
          <t>5,3</t>
        </is>
      </c>
      <c r="CR583" t="n">
        <v>11</v>
      </c>
      <c r="CS583" t="inlineStr">
        <is>
          <t>T1#</t>
        </is>
      </c>
      <c r="CT583" t="inlineStr">
        <is>
          <t>N</t>
        </is>
      </c>
    </row>
    <row r="584">
      <c r="A584" t="inlineStr">
        <is>
          <t>jessicaTan(谭嫦)</t>
        </is>
      </c>
      <c r="C584" t="n">
        <v>40039377</v>
      </c>
      <c r="D584" t="inlineStr">
        <is>
          <t>CFO办公室</t>
        </is>
      </c>
      <c r="E584" t="inlineStr">
        <is>
          <t>CFO办公室</t>
        </is>
      </c>
      <c r="G584" t="inlineStr">
        <is>
          <t>S2职能系统－财经线/CFO办公室</t>
        </is>
      </c>
      <c r="H584" s="188" t="n">
        <v>40496</v>
      </c>
      <c r="I584" t="inlineStr">
        <is>
          <t>社会招聘</t>
        </is>
      </c>
      <c r="J584" t="inlineStr">
        <is>
          <t>财经类－FN</t>
        </is>
      </c>
      <c r="K584" t="inlineStr">
        <is>
          <t>投资者关系</t>
        </is>
      </c>
      <c r="L584" t="inlineStr">
        <is>
          <t>S5</t>
        </is>
      </c>
      <c r="N584" t="inlineStr">
        <is>
          <t>T2</t>
        </is>
      </c>
      <c r="Q584" t="inlineStr">
        <is>
          <t>U,G</t>
        </is>
      </c>
      <c r="U584" t="n">
        <v>107490</v>
      </c>
      <c r="V584" t="n">
        <v>0.083333</v>
      </c>
      <c r="W584" t="inlineStr">
        <is>
          <t>CNY</t>
        </is>
      </c>
      <c r="X584" t="n">
        <v>1</v>
      </c>
      <c r="Y584" t="n">
        <v>19805.71</v>
      </c>
      <c r="Z584" t="n">
        <v>0</v>
      </c>
      <c r="AA584" t="n">
        <v>21498</v>
      </c>
      <c r="AF584" t="n">
        <v>0</v>
      </c>
      <c r="AG584" t="n">
        <v>50818</v>
      </c>
      <c r="AH584" t="n">
        <v>2.565825713897659</v>
      </c>
      <c r="AJ584" t="n">
        <v>2.565825713897659</v>
      </c>
      <c r="AK584" t="n">
        <v>2.565825713897659</v>
      </c>
      <c r="AQ584" t="n">
        <v>50818</v>
      </c>
      <c r="AR584" t="n">
        <v>2.565825713897659</v>
      </c>
      <c r="AS584" t="n">
        <v>0.4643457602339181</v>
      </c>
      <c r="BL584" t="n">
        <v>1</v>
      </c>
      <c r="BM584" t="n">
        <v>18740</v>
      </c>
      <c r="BN584" t="n">
        <v>0</v>
      </c>
      <c r="BO584" t="n">
        <v>20075</v>
      </c>
      <c r="BP584" t="inlineStr">
        <is>
          <t>O,O</t>
        </is>
      </c>
      <c r="BQ584" t="inlineStr">
        <is>
          <t>T2</t>
        </is>
      </c>
      <c r="BS584" t="n">
        <v>5.83991462113127</v>
      </c>
      <c r="BT584" t="n">
        <v>0</v>
      </c>
      <c r="BV584" t="n">
        <v>5.83991462113127</v>
      </c>
      <c r="BY584" t="n">
        <v>109440</v>
      </c>
      <c r="BZ584" t="n">
        <v>5.83991462113127</v>
      </c>
      <c r="CP584" t="inlineStr">
        <is>
          <t>CFO办公室</t>
        </is>
      </c>
      <c r="CQ584" t="inlineStr">
        <is>
          <t>3,1</t>
        </is>
      </c>
      <c r="CR584" t="n">
        <v>5</v>
      </c>
      <c r="CS584" t="inlineStr">
        <is>
          <t>T2</t>
        </is>
      </c>
      <c r="CT584" t="inlineStr">
        <is>
          <t>N</t>
        </is>
      </c>
    </row>
    <row r="585">
      <c r="A585" t="inlineStr">
        <is>
          <t>skylarZhao(赵嫣曦)</t>
        </is>
      </c>
      <c r="C585" t="n">
        <v>66180511</v>
      </c>
      <c r="D585" t="inlineStr">
        <is>
          <t>CSIG财务管理</t>
        </is>
      </c>
      <c r="E585" t="inlineStr">
        <is>
          <t>投资公司财务管理中心</t>
        </is>
      </c>
      <c r="G585" t="inlineStr">
        <is>
          <t>S2职能系统－财经线/CSIG财务管理/投资公司财务管理中心</t>
        </is>
      </c>
      <c r="H585" s="188" t="n">
        <v>38306</v>
      </c>
      <c r="I585" t="inlineStr">
        <is>
          <t>高校招聘</t>
        </is>
      </c>
      <c r="J585" t="inlineStr">
        <is>
          <t>财经类－FN</t>
        </is>
      </c>
      <c r="K585" t="inlineStr">
        <is>
          <t>财务管理</t>
        </is>
      </c>
      <c r="L585" t="inlineStr">
        <is>
          <t>S7</t>
        </is>
      </c>
      <c r="N585" t="inlineStr">
        <is>
          <t>T1#</t>
        </is>
      </c>
      <c r="Q585" t="inlineStr">
        <is>
          <t>O,G</t>
        </is>
      </c>
      <c r="U585" t="n">
        <v>197000</v>
      </c>
      <c r="V585" t="n">
        <v>0.083333</v>
      </c>
      <c r="W585" t="inlineStr">
        <is>
          <t>CNY</t>
        </is>
      </c>
      <c r="X585" t="n">
        <v>1</v>
      </c>
      <c r="Y585" t="n">
        <v>36479.19</v>
      </c>
      <c r="Z585" t="n">
        <v>0</v>
      </c>
      <c r="AA585" t="n">
        <v>118200</v>
      </c>
      <c r="AF585" t="n">
        <v>0</v>
      </c>
      <c r="AG585" t="n">
        <v>289900</v>
      </c>
      <c r="AH585" t="n">
        <v>7.946996630133508</v>
      </c>
      <c r="AJ585" t="n">
        <v>7.946996630133508</v>
      </c>
      <c r="AK585" t="n">
        <v>6.817311458944126</v>
      </c>
      <c r="AQ585" t="n">
        <v>289900</v>
      </c>
      <c r="AR585" t="n">
        <v>7.946996630133508</v>
      </c>
      <c r="AS585" t="n">
        <v>1.31034171035979</v>
      </c>
      <c r="BL585" t="n">
        <v>1</v>
      </c>
      <c r="BM585" t="n">
        <v>31655</v>
      </c>
      <c r="BN585" t="n">
        <v>0</v>
      </c>
      <c r="BO585" t="n">
        <v>34380</v>
      </c>
      <c r="BP585" t="inlineStr">
        <is>
          <t>G,G</t>
        </is>
      </c>
      <c r="BQ585" t="inlineStr">
        <is>
          <t>T1#</t>
        </is>
      </c>
      <c r="BS585" t="n">
        <v>5.556626125414627</v>
      </c>
      <c r="BT585" t="n">
        <v>45345</v>
      </c>
      <c r="BV585" t="n">
        <v>6.989101247828147</v>
      </c>
      <c r="BY585" t="n">
        <v>221240</v>
      </c>
      <c r="BZ585" t="n">
        <v>6.989101247828147</v>
      </c>
      <c r="CP585" t="inlineStr">
        <is>
          <t>CSIG财务管理</t>
        </is>
      </c>
      <c r="CQ585" t="inlineStr">
        <is>
          <t>5,3</t>
        </is>
      </c>
      <c r="CR585" t="n">
        <v>7</v>
      </c>
      <c r="CS585" t="inlineStr">
        <is>
          <t>T1#</t>
        </is>
      </c>
      <c r="CT585" t="inlineStr">
        <is>
          <t>N</t>
        </is>
      </c>
    </row>
    <row r="586">
      <c r="A586" t="inlineStr">
        <is>
          <t>dylanZheng(郑宇阳)</t>
        </is>
      </c>
      <c r="C586" t="n">
        <v>26833144</v>
      </c>
      <c r="D586" t="inlineStr">
        <is>
          <t>风险管理和内部控制</t>
        </is>
      </c>
      <c r="E586" t="inlineStr">
        <is>
          <t>IEG风控中心</t>
        </is>
      </c>
      <c r="G586" t="inlineStr">
        <is>
          <t>S2职能系统－财经线/风险管理和内部控制/IEG风控中心</t>
        </is>
      </c>
      <c r="H586" s="188" t="n">
        <v>41946</v>
      </c>
      <c r="I586" t="inlineStr">
        <is>
          <t>社会招聘</t>
        </is>
      </c>
      <c r="J586" t="inlineStr">
        <is>
          <t>财经类－FN</t>
        </is>
      </c>
      <c r="K586" t="inlineStr">
        <is>
          <t>风险管理</t>
        </is>
      </c>
      <c r="L586" t="inlineStr">
        <is>
          <t>S5</t>
        </is>
      </c>
      <c r="N586" t="inlineStr">
        <is>
          <t>T1</t>
        </is>
      </c>
      <c r="Q586" t="inlineStr">
        <is>
          <t>O,G</t>
        </is>
      </c>
      <c r="U586" t="n">
        <v>112025</v>
      </c>
      <c r="V586" t="n">
        <v>0.083333</v>
      </c>
      <c r="W586" t="inlineStr">
        <is>
          <t>CNY</t>
        </is>
      </c>
      <c r="X586" t="n">
        <v>1</v>
      </c>
      <c r="Y586" t="n">
        <v>21863.36</v>
      </c>
      <c r="Z586" t="n">
        <v>0</v>
      </c>
      <c r="AA586" t="n">
        <v>67215</v>
      </c>
      <c r="AF586" t="n">
        <v>0</v>
      </c>
      <c r="AG586" t="n">
        <v>154685</v>
      </c>
      <c r="AH586" t="n">
        <v>7.075079036342081</v>
      </c>
      <c r="AJ586" t="n">
        <v>7.075079036342081</v>
      </c>
      <c r="AK586" t="n">
        <v>5.400588015748723</v>
      </c>
      <c r="AQ586" t="n">
        <v>154685</v>
      </c>
      <c r="AR586" t="n">
        <v>7.075079036342081</v>
      </c>
      <c r="AS586" t="n">
        <v>1.613739502373376</v>
      </c>
      <c r="BL586" t="n">
        <v>1</v>
      </c>
      <c r="BM586" t="n">
        <v>18845</v>
      </c>
      <c r="BN586" t="n">
        <v>0</v>
      </c>
      <c r="BO586" t="n">
        <v>18910</v>
      </c>
      <c r="BP586" t="inlineStr">
        <is>
          <t>G,G</t>
        </is>
      </c>
      <c r="BQ586" t="inlineStr">
        <is>
          <t>T1</t>
        </is>
      </c>
      <c r="BS586" t="n">
        <v>3.110108782170337</v>
      </c>
      <c r="BT586" t="n">
        <v>37245</v>
      </c>
      <c r="BV586" t="n">
        <v>5.086495091536216</v>
      </c>
      <c r="BY586" t="n">
        <v>95855</v>
      </c>
      <c r="BZ586" t="n">
        <v>5.086495091536216</v>
      </c>
      <c r="CP586" t="inlineStr">
        <is>
          <t>风险管理和内部控制</t>
        </is>
      </c>
      <c r="CQ586" t="inlineStr">
        <is>
          <t>5,3</t>
        </is>
      </c>
      <c r="CR586" t="n">
        <v>5</v>
      </c>
      <c r="CS586" t="inlineStr">
        <is>
          <t>T1</t>
        </is>
      </c>
      <c r="CT586" t="inlineStr">
        <is>
          <t>N</t>
        </is>
      </c>
    </row>
    <row r="587">
      <c r="A587" t="inlineStr">
        <is>
          <t>allisonFan(范萱艳)</t>
        </is>
      </c>
      <c r="C587" t="n">
        <v>89276750</v>
      </c>
      <c r="D587" t="inlineStr">
        <is>
          <t>PCG财务管理</t>
        </is>
      </c>
      <c r="E587" t="inlineStr">
        <is>
          <t>应用宝财务管理组</t>
        </is>
      </c>
      <c r="G587" t="inlineStr">
        <is>
          <t>S2职能系统－财经线/PCG财务管理/应用宝财务管理组</t>
        </is>
      </c>
      <c r="H587" s="188" t="n">
        <v>38572</v>
      </c>
      <c r="I587" t="inlineStr">
        <is>
          <t>社会招聘</t>
        </is>
      </c>
      <c r="J587" t="inlineStr">
        <is>
          <t>财经类－FN</t>
        </is>
      </c>
      <c r="K587" t="inlineStr">
        <is>
          <t>财务管理</t>
        </is>
      </c>
      <c r="L587" t="inlineStr">
        <is>
          <t>S8</t>
        </is>
      </c>
      <c r="N587" t="inlineStr">
        <is>
          <t>T1</t>
        </is>
      </c>
      <c r="Q587" t="inlineStr">
        <is>
          <t>G,O</t>
        </is>
      </c>
      <c r="U587" t="n">
        <v>169933</v>
      </c>
      <c r="V587" t="n">
        <v>0.083333</v>
      </c>
      <c r="W587" t="inlineStr">
        <is>
          <t>CNY</t>
        </is>
      </c>
      <c r="X587" t="n">
        <v>1</v>
      </c>
      <c r="Y587" t="n">
        <v>31619.2</v>
      </c>
      <c r="Z587" t="n">
        <v>0</v>
      </c>
      <c r="AA587" t="n">
        <v>101959.8</v>
      </c>
      <c r="AF587" t="n">
        <v>0</v>
      </c>
      <c r="AG587" t="n">
        <v>227069.8</v>
      </c>
      <c r="AH587" t="n">
        <v>7.181389788482947</v>
      </c>
      <c r="AJ587" t="n">
        <v>7.181389788482947</v>
      </c>
      <c r="AK587" t="n">
        <v>5.720094120028337</v>
      </c>
      <c r="AQ587" t="n">
        <v>227069.8</v>
      </c>
      <c r="AR587" t="n">
        <v>7.181389788482947</v>
      </c>
      <c r="AS587" t="n">
        <v>1.174154816691659</v>
      </c>
      <c r="BL587" t="n">
        <v>1</v>
      </c>
      <c r="BM587" t="n">
        <v>28440</v>
      </c>
      <c r="BN587" t="n">
        <v>0</v>
      </c>
      <c r="BO587" t="n">
        <v>28500</v>
      </c>
      <c r="BP587" t="inlineStr">
        <is>
          <t>O,O</t>
        </is>
      </c>
      <c r="BQ587" t="inlineStr">
        <is>
          <t>T1</t>
        </is>
      </c>
      <c r="BS587" t="n">
        <v>5.144690576652602</v>
      </c>
      <c r="BT587" t="n">
        <v>47075</v>
      </c>
      <c r="BV587" t="n">
        <v>6.799929676511955</v>
      </c>
      <c r="BY587" t="n">
        <v>193390</v>
      </c>
      <c r="BZ587" t="n">
        <v>6.799929676511955</v>
      </c>
      <c r="CP587" t="inlineStr">
        <is>
          <t>PCG财务管理</t>
        </is>
      </c>
      <c r="CQ587" t="inlineStr">
        <is>
          <t>5,3</t>
        </is>
      </c>
      <c r="CR587" t="n">
        <v>8</v>
      </c>
      <c r="CS587" t="inlineStr">
        <is>
          <t>T1</t>
        </is>
      </c>
      <c r="CT587" t="inlineStr">
        <is>
          <t>N</t>
        </is>
      </c>
    </row>
  </sheetData>
  <conditionalFormatting sqref="O14:O20">
    <cfRule type="cellIs" priority="40" operator="equal" dxfId="0" stopIfTrue="1">
      <formula>0</formula>
    </cfRule>
  </conditionalFormatting>
  <conditionalFormatting sqref="P14:P20">
    <cfRule type="beginsWith" priority="37" operator="beginsWith" dxfId="34" text="不变">
      <formula>LEFT(P14,LEN("不变"))="不变"</formula>
    </cfRule>
    <cfRule type="expression" priority="36" dxfId="6" stopIfTrue="1">
      <formula>IF(ISNUMBER(VALUE(P9))=TRUE,IF(VALUE(P9)&gt;0,TRUE,FALSE),IF(LEFT(P9,2)="上升",TRUE,FALSE))</formula>
    </cfRule>
    <cfRule type="cellIs" priority="35" operator="equal">
      <formula>0</formula>
    </cfRule>
    <cfRule type="expression" priority="34" dxfId="10">
      <formula>IF(ISNUMBER(VALUE(P9))=TRUE,IF(VALUE(P9)&lt;0,TRUE,FALSE),IF(LEFT(P9,2)="下降",TRUE,FALSE))</formula>
    </cfRule>
  </conditionalFormatting>
  <conditionalFormatting sqref="S14:S20">
    <cfRule type="cellIs" priority="39" operator="equal" dxfId="0" stopIfTrue="1">
      <formula>0</formula>
    </cfRule>
  </conditionalFormatting>
  <conditionalFormatting sqref="T14:T20">
    <cfRule type="expression" priority="30" dxfId="10">
      <formula>IF(ISNUMBER(VALUE(T14))=TRUE,IF(VALUE(T14)&lt;0,TRUE,FALSE),IF(LEFT(T14,2)="下降",TRUE,FALSE))</formula>
    </cfRule>
    <cfRule type="beginsWith" priority="33" operator="beginsWith" dxfId="34" text="不变">
      <formula>LEFT(T14,LEN("不变"))="不变"</formula>
    </cfRule>
    <cfRule type="expression" priority="32" dxfId="6" stopIfTrue="1">
      <formula>IF(ISNUMBER(VALUE(T14))=TRUE,IF(VALUE(T14)&gt;0,TRUE,FALSE),IF(LEFT(T14,2)="上升",TRUE,FALSE))</formula>
    </cfRule>
    <cfRule type="cellIs" priority="31" operator="equal">
      <formula>0</formula>
    </cfRule>
  </conditionalFormatting>
  <conditionalFormatting sqref="AC1:AC5">
    <cfRule type="cellIs" priority="54" operator="equal" dxfId="0" stopIfTrue="1">
      <formula>0</formula>
    </cfRule>
  </conditionalFormatting>
  <conditionalFormatting sqref="AE1:AE7">
    <cfRule type="cellIs" priority="45" operator="equal" dxfId="0" stopIfTrue="1">
      <formula>0</formula>
    </cfRule>
  </conditionalFormatting>
  <conditionalFormatting sqref="AP1:AP8">
    <cfRule type="cellIs" priority="11" operator="equal" dxfId="0" stopIfTrue="1">
      <formula>0</formula>
    </cfRule>
  </conditionalFormatting>
  <conditionalFormatting sqref="AQ14:AQ20">
    <cfRule type="cellIs" priority="55" operator="equal" dxfId="0" stopIfTrue="1">
      <formula>0</formula>
    </cfRule>
  </conditionalFormatting>
  <conditionalFormatting sqref="AQ3:AT9 AQ22:AR22 AT22 BA3:BA9 BA22 BG3:CF9 BG22:BL22 BG24:CF65529 BN22:BR22 BT22:BU22 BW22:CF22">
    <cfRule type="cellIs" priority="53" operator="equal" dxfId="0" stopIfTrue="1">
      <formula>0</formula>
    </cfRule>
  </conditionalFormatting>
  <conditionalFormatting sqref="AQ24:BA65529">
    <cfRule type="cellIs" priority="13" operator="equal" dxfId="0" stopIfTrue="1">
      <formula>0</formula>
    </cfRule>
  </conditionalFormatting>
  <conditionalFormatting sqref="AV1:AV8">
    <cfRule type="cellIs" priority="8" operator="equal" dxfId="0" stopIfTrue="1">
      <formula>0</formula>
    </cfRule>
  </conditionalFormatting>
  <conditionalFormatting sqref="AX1:AX8">
    <cfRule type="cellIs" priority="10" operator="equal" dxfId="0" stopIfTrue="1">
      <formula>0</formula>
    </cfRule>
  </conditionalFormatting>
  <conditionalFormatting sqref="AZ1:AZ8">
    <cfRule type="cellIs" priority="9" operator="equal" dxfId="0" stopIfTrue="1">
      <formula>0</formula>
    </cfRule>
  </conditionalFormatting>
  <conditionalFormatting sqref="BA11:BB12">
    <cfRule type="cellIs" priority="43" operator="equal" dxfId="0" stopIfTrue="1">
      <formula>0</formula>
    </cfRule>
  </conditionalFormatting>
  <conditionalFormatting sqref="BA10:BP10">
    <cfRule type="cellIs" priority="47" operator="equal" dxfId="0" stopIfTrue="1">
      <formula>0</formula>
    </cfRule>
  </conditionalFormatting>
  <conditionalFormatting sqref="BD11 BD12:BN12">
    <cfRule type="cellIs" priority="42" operator="equal" dxfId="0" stopIfTrue="1">
      <formula>0</formula>
    </cfRule>
  </conditionalFormatting>
  <conditionalFormatting sqref="BE14:BE20">
    <cfRule type="beginsWith" priority="27" operator="beginsWith" dxfId="7" text="浅绿：">
      <formula>LEFT(BE14,LEN("浅绿："))="浅绿："</formula>
    </cfRule>
    <cfRule type="beginsWith" priority="29" operator="beginsWith" dxfId="5" text="深绿：">
      <formula>LEFT(BE14,LEN("深绿："))="深绿："</formula>
    </cfRule>
    <cfRule type="beginsWith" priority="28" operator="beginsWith" dxfId="6" text="绿：">
      <formula>LEFT(BE14,LEN("绿："))="绿："</formula>
    </cfRule>
    <cfRule type="beginsWith" priority="26" operator="beginsWith" dxfId="8" text="蓝：">
      <formula>LEFT(BE14,LEN("蓝："))="蓝："</formula>
    </cfRule>
    <cfRule type="beginsWith" priority="25" operator="beginsWith" dxfId="9" text="黄：">
      <formula>LEFT(BE14,LEN("黄："))="黄："</formula>
    </cfRule>
    <cfRule type="beginsWith" priority="24" operator="beginsWith" dxfId="10" text="橙：">
      <formula>LEFT(BE14,LEN("橙："))="橙："</formula>
    </cfRule>
    <cfRule type="beginsWith" priority="23" operator="beginsWith" dxfId="11" text="红：">
      <formula>LEFT(BE14,LEN("红："))="红："</formula>
    </cfRule>
    <cfRule type="beginsWith" priority="22" operator="beginsWith" dxfId="12" text="深红:">
      <formula>LEFT(BE14,LEN("深红:"))="深红:"</formula>
    </cfRule>
    <cfRule type="beginsWith" priority="21" operator="beginsWith" dxfId="12" text="深红：">
      <formula>LEFT(BE14,LEN("深红："))="深红："</formula>
    </cfRule>
    <cfRule type="beginsWith" priority="20" operator="beginsWith" dxfId="11" text="红:">
      <formula>LEFT(BE14,LEN("红:"))="红:"</formula>
    </cfRule>
    <cfRule type="beginsWith" priority="19" operator="beginsWith" dxfId="10" text="橙:">
      <formula>LEFT(BE14,LEN("橙:"))="橙:"</formula>
    </cfRule>
    <cfRule type="beginsWith" priority="18" operator="beginsWith" dxfId="9" text="黄:">
      <formula>LEFT(BE14,LEN("黄:"))="黄:"</formula>
    </cfRule>
    <cfRule type="beginsWith" priority="17" operator="beginsWith" dxfId="8" text="蓝:">
      <formula>LEFT(BE14,LEN("蓝:"))="蓝:"</formula>
    </cfRule>
    <cfRule type="beginsWith" priority="16" operator="beginsWith" dxfId="7" text="浅绿:">
      <formula>LEFT(BE14,LEN("浅绿:"))="浅绿:"</formula>
    </cfRule>
    <cfRule type="beginsWith" priority="15" operator="beginsWith" dxfId="6" text="绿:">
      <formula>LEFT(BE14,LEN("绿:"))="绿:"</formula>
    </cfRule>
    <cfRule type="beginsWith" priority="14" operator="beginsWith" dxfId="5" text="深绿:">
      <formula>LEFT(BE14,LEN("深绿:"))="深绿:"</formula>
    </cfRule>
  </conditionalFormatting>
  <conditionalFormatting sqref="BF11:BN11">
    <cfRule type="cellIs" priority="4" operator="equal" dxfId="0" stopIfTrue="1">
      <formula>0</formula>
    </cfRule>
  </conditionalFormatting>
  <conditionalFormatting sqref="BG14:CF20">
    <cfRule type="cellIs" priority="46" operator="equal" dxfId="0" stopIfTrue="1">
      <formula>0</formula>
    </cfRule>
  </conditionalFormatting>
  <conditionalFormatting sqref="BH13:BL13">
    <cfRule type="cellIs" priority="2" operator="equal" dxfId="0" stopIfTrue="1">
      <formula>0</formula>
    </cfRule>
  </conditionalFormatting>
  <conditionalFormatting sqref="CE13">
    <cfRule type="cellIs" priority="3" operator="equal" dxfId="0" stopIfTrue="1">
      <formula>0</formula>
    </cfRule>
  </conditionalFormatting>
  <conditionalFormatting sqref="CS6">
    <cfRule type="cellIs" priority="52" operator="equal" dxfId="0" stopIfTrue="1">
      <formula>0</formula>
    </cfRule>
  </conditionalFormatting>
  <dataValidations count="1">
    <dataValidation sqref="AB1:AB5 AC6 AC21:AC65529 AE21:AE65529 AO2:AO5 AU2:AU5 AW2:AW5 AY2:AY5" showDropDown="0" showInputMessage="1" showErrorMessage="1" allowBlank="1" type="whole">
      <formula1>0</formula1>
      <formula2>100000000</formula2>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5"/>
  <sheetViews>
    <sheetView workbookViewId="0">
      <pane xSplit="1" ySplit="1" topLeftCell="B2" activePane="bottomRight" state="frozen"/>
      <selection pane="topRight" activeCell="B1" sqref="B1"/>
      <selection pane="bottomLeft" activeCell="A2" sqref="A2"/>
      <selection pane="bottomRight" activeCell="K38" sqref="K38"/>
    </sheetView>
  </sheetViews>
  <sheetFormatPr baseColWidth="10" defaultColWidth="10.19921875" defaultRowHeight="14"/>
  <cols>
    <col width="9.796875" customWidth="1" style="109" min="1" max="1"/>
    <col width="13.19921875" customWidth="1" style="109" min="2" max="2"/>
    <col width="10.19921875" customWidth="1" style="110" min="3" max="16384"/>
  </cols>
  <sheetData>
    <row r="1" ht="15" customHeight="1" s="178">
      <c r="A1" s="109" t="inlineStr">
        <is>
          <t>本币</t>
        </is>
      </c>
      <c r="B1" s="109" t="inlineStr">
        <is>
          <t>本币转CNY汇率</t>
        </is>
      </c>
    </row>
    <row r="2">
      <c r="A2" s="111" t="inlineStr">
        <is>
          <t>CNY</t>
        </is>
      </c>
      <c r="B2" s="189" t="n">
        <v>1</v>
      </c>
    </row>
    <row r="3">
      <c r="A3" s="111" t="inlineStr">
        <is>
          <t>CNY</t>
        </is>
      </c>
      <c r="B3" s="189" t="n">
        <v>1</v>
      </c>
    </row>
    <row r="4">
      <c r="A4" s="111" t="inlineStr">
        <is>
          <t>SGD</t>
        </is>
      </c>
      <c r="B4" s="189" t="n">
        <v>5.4589</v>
      </c>
    </row>
    <row r="5" ht="15" customHeight="1" s="178" thickBot="1">
      <c r="A5" s="111" t="inlineStr">
        <is>
          <t>USD</t>
        </is>
      </c>
      <c r="B5" s="189" t="n">
        <v>7.0789</v>
      </c>
    </row>
  </sheetData>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nicolechen(陈丽)</dc:creator>
  <dcterms:created xmlns:dcterms="http://purl.org/dc/terms/" xmlns:xsi="http://www.w3.org/2001/XMLSchema-instance" xsi:type="dcterms:W3CDTF">2013-01-25T14:59:54Z</dcterms:created>
  <dcterms:modified xmlns:dcterms="http://purl.org/dc/terms/" xmlns:xsi="http://www.w3.org/2001/XMLSchema-instance" xsi:type="dcterms:W3CDTF">2026-01-19T12:07:44Z</dcterms:modified>
  <cp:lastModifiedBy>T139528</cp:lastModifiedBy>
</cp:coreProperties>
</file>